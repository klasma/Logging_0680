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46257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46257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46257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46257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46257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46257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46257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46257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46257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46257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46257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46257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46257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46257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46257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46257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46257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11258-2023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44992</v>
      </c>
      <c r="E23" s="1" t="n">
        <v>46257</v>
      </c>
      <c r="F23" t="inlineStr">
        <is>
          <t>JÖNKÖPINGS LÄN</t>
        </is>
      </c>
      <c r="G23" t="inlineStr">
        <is>
          <t>JÖNKÖPING</t>
        </is>
      </c>
      <c r="I23" t="n">
        <v>2.3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7</v>
      </c>
      <c r="U23" t="n">
        <v>0</v>
      </c>
      <c r="V23" s="2" t="inlineStr">
        <is>
          <t>Knärot
Nötkråka
Grönpyrola
Spindelblomster
Grönvit nattviol</t>
        </is>
      </c>
      <c r="W23">
        <f>HYPERLINK("https://klasma.github.io/Logging_0680/artfynd/A 11258-2023 artfynd.xlsx", "A 11258-2023")</f>
        <v/>
      </c>
      <c r="X23">
        <f>HYPERLINK("https://klasma.github.io/Logging_0680/kartor/A 11258-2023 karta.png", "A 11258-2023")</f>
        <v/>
      </c>
      <c r="Y23">
        <f>HYPERLINK("https://klasma.github.io/Logging_0680/kartor_geotiff/A 11258-2023 georefererad karta.tif", "A 11258-2023")</f>
        <v/>
      </c>
      <c r="Z23">
        <f>HYPERLINK("https://klasma.github.io/Logging_0680/knärot/A 11258-2023 karta knärot.png", "A 11258-2023")</f>
        <v/>
      </c>
      <c r="AA23">
        <f>HYPERLINK("https://klasma.github.io/Logging_0680/klagomål/A 11258-2023 FSC-klagomål.docx", "A 11258-2023")</f>
        <v/>
      </c>
      <c r="AB23">
        <f>HYPERLINK("https://klasma.github.io/Logging_0680/klagomålsmail/A 11258-2023 FSC-klagomål mail.docx", "A 11258-2023")</f>
        <v/>
      </c>
      <c r="AC23">
        <f>HYPERLINK("https://klasma.github.io/Logging_0680/tillsyn/A 11258-2023 tillsynsbegäran.docx", "A 11258-2023")</f>
        <v/>
      </c>
      <c r="AD23">
        <f>HYPERLINK("https://klasma.github.io/Logging_0680/tillsynsmail/A 11258-2023 tillsynsbegäran mail.docx", "A 11258-2023")</f>
        <v/>
      </c>
      <c r="AE23">
        <f>HYPERLINK("https://klasma.github.io/Logging_0680/fåglar/A 11258-2023 prioriterade fågelarter.docx", "A 11258-2023")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46257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46257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46257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46257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46257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46257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51492-2024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45604</v>
      </c>
      <c r="E30" s="1" t="n">
        <v>46257</v>
      </c>
      <c r="F30" t="inlineStr">
        <is>
          <t>JÖNKÖPINGS LÄN</t>
        </is>
      </c>
      <c r="G30" t="inlineStr">
        <is>
          <t>JÖNKÖPING</t>
        </is>
      </c>
      <c r="I30" t="n">
        <v>3.1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Rostfläck
Vanlig padda
Grönvit nattviol
Revlummer</t>
        </is>
      </c>
      <c r="W30">
        <f>HYPERLINK("https://klasma.github.io/Logging_0680/artfynd/A 51492-2024 artfynd.xlsx", "A 51492-2024")</f>
        <v/>
      </c>
      <c r="X30">
        <f>HYPERLINK("https://klasma.github.io/Logging_0680/kartor/A 51492-2024 karta.png", "A 51492-2024")</f>
        <v/>
      </c>
      <c r="Y30">
        <f>HYPERLINK("https://klasma.github.io/Logging_0680/kartor_geotiff/A 51492-2024 georefererad karta.tif", "A 51492-2024")</f>
        <v/>
      </c>
      <c r="AA30">
        <f>HYPERLINK("https://klasma.github.io/Logging_0680/klagomål/A 51492-2024 FSC-klagomål.docx", "A 51492-2024")</f>
        <v/>
      </c>
      <c r="AB30">
        <f>HYPERLINK("https://klasma.github.io/Logging_0680/klagomålsmail/A 51492-2024 FSC-klagomål mail.docx", "A 51492-2024")</f>
        <v/>
      </c>
      <c r="AC30">
        <f>HYPERLINK("https://klasma.github.io/Logging_0680/tillsyn/A 51492-2024 tillsynsbegäran.docx", "A 51492-2024")</f>
        <v/>
      </c>
      <c r="AD30">
        <f>HYPERLINK("https://klasma.github.io/Logging_0680/tillsynsmail/A 51492-2024 tillsynsbegäran mail.docx", "A 51492-2024")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46257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46257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46257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46257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46257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46257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46257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46257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46257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46257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46257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46257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46257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46257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46257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46257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46257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2486-2023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44943</v>
      </c>
      <c r="E48" s="1" t="n">
        <v>46257</v>
      </c>
      <c r="F48" t="inlineStr">
        <is>
          <t>JÖNKÖPINGS LÄN</t>
        </is>
      </c>
      <c r="G48" t="inlineStr">
        <is>
          <t>JÖNKÖPING</t>
        </is>
      </c>
      <c r="I48" t="n">
        <v>2.5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Solvända
Fällmossa</t>
        </is>
      </c>
      <c r="W48">
        <f>HYPERLINK("https://klasma.github.io/Logging_0680/artfynd/A 2486-2023 artfynd.xlsx", "A 2486-2023")</f>
        <v/>
      </c>
      <c r="X48">
        <f>HYPERLINK("https://klasma.github.io/Logging_0680/kartor/A 2486-2023 karta.png", "A 2486-2023")</f>
        <v/>
      </c>
      <c r="Y48">
        <f>HYPERLINK("https://klasma.github.io/Logging_0680/kartor_geotiff/A 2486-2023 georefererad karta.tif", "A 2486-2023")</f>
        <v/>
      </c>
      <c r="AA48">
        <f>HYPERLINK("https://klasma.github.io/Logging_0680/klagomål/A 2486-2023 FSC-klagomål.docx", "A 2486-2023")</f>
        <v/>
      </c>
      <c r="AB48">
        <f>HYPERLINK("https://klasma.github.io/Logging_0680/klagomålsmail/A 2486-2023 FSC-klagomål mail.docx", "A 2486-2023")</f>
        <v/>
      </c>
      <c r="AC48">
        <f>HYPERLINK("https://klasma.github.io/Logging_0680/tillsyn/A 2486-2023 tillsynsbegäran.docx", "A 2486-2023")</f>
        <v/>
      </c>
      <c r="AD48">
        <f>HYPERLINK("https://klasma.github.io/Logging_0680/tillsynsmail/A 2486-2023 tillsynsbegäran mail.docx", "A 2486-2023")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46257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46257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36799-2024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45538</v>
      </c>
      <c r="E51" s="1" t="n">
        <v>46257</v>
      </c>
      <c r="F51" t="inlineStr">
        <is>
          <t>JÖNKÖPINGS LÄN</t>
        </is>
      </c>
      <c r="G51" t="inlineStr">
        <is>
          <t>JÖNKÖPING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Grönpyrola</t>
        </is>
      </c>
      <c r="W51">
        <f>HYPERLINK("https://klasma.github.io/Logging_0680/artfynd/A 36799-2024 artfynd.xlsx", "A 36799-2024")</f>
        <v/>
      </c>
      <c r="X51">
        <f>HYPERLINK("https://klasma.github.io/Logging_0680/kartor/A 36799-2024 karta.png", "A 36799-2024")</f>
        <v/>
      </c>
      <c r="Y51">
        <f>HYPERLINK("https://klasma.github.io/Logging_0680/kartor_geotiff/A 36799-2024 georefererad karta.tif", "A 36799-2024")</f>
        <v/>
      </c>
      <c r="AA51">
        <f>HYPERLINK("https://klasma.github.io/Logging_0680/klagomål/A 36799-2024 FSC-klagomål.docx", "A 36799-2024")</f>
        <v/>
      </c>
      <c r="AB51">
        <f>HYPERLINK("https://klasma.github.io/Logging_0680/klagomålsmail/A 36799-2024 FSC-klagomål mail.docx", "A 36799-2024")</f>
        <v/>
      </c>
      <c r="AC51">
        <f>HYPERLINK("https://klasma.github.io/Logging_0680/tillsyn/A 36799-2024 tillsynsbegäran.docx", "A 36799-2024")</f>
        <v/>
      </c>
      <c r="AD51">
        <f>HYPERLINK("https://klasma.github.io/Logging_0680/tillsynsmail/A 36799-2024 tillsynsbegäran mail.docx", "A 36799-2024")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46257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46257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46257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46257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1235-2024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45302</v>
      </c>
      <c r="E56" s="1" t="n">
        <v>46257</v>
      </c>
      <c r="F56" t="inlineStr">
        <is>
          <t>JÖNKÖPINGS LÄN</t>
        </is>
      </c>
      <c r="G56" t="inlineStr">
        <is>
          <t>JÖNKÖPING</t>
        </is>
      </c>
      <c r="I56" t="n">
        <v>2.8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3</v>
      </c>
      <c r="U56" t="n">
        <v>0</v>
      </c>
      <c r="V56" s="2" t="inlineStr">
        <is>
          <t>Lakritsmusseron
Dropptaggsvamp</t>
        </is>
      </c>
      <c r="W56">
        <f>HYPERLINK("https://klasma.github.io/Logging_0680/artfynd/A 1235-2024 artfynd.xlsx", "A 1235-2024")</f>
        <v/>
      </c>
      <c r="X56">
        <f>HYPERLINK("https://klasma.github.io/Logging_0680/kartor/A 1235-2024 karta.png", "A 1235-2024")</f>
        <v/>
      </c>
      <c r="Y56">
        <f>HYPERLINK("https://klasma.github.io/Logging_0680/kartor_geotiff/A 1235-2024 georefererad karta.tif", "A 1235-2024")</f>
        <v/>
      </c>
      <c r="AA56">
        <f>HYPERLINK("https://klasma.github.io/Logging_0680/klagomål/A 1235-2024 FSC-klagomål.docx", "A 1235-2024")</f>
        <v/>
      </c>
      <c r="AB56">
        <f>HYPERLINK("https://klasma.github.io/Logging_0680/klagomålsmail/A 1235-2024 FSC-klagomål mail.docx", "A 1235-2024")</f>
        <v/>
      </c>
      <c r="AC56">
        <f>HYPERLINK("https://klasma.github.io/Logging_0680/tillsyn/A 1235-2024 tillsynsbegäran.docx", "A 1235-2024")</f>
        <v/>
      </c>
      <c r="AD56">
        <f>HYPERLINK("https://klasma.github.io/Logging_0680/tillsynsmail/A 1235-2024 tillsynsbegäran mail.docx", "A 1235-2024")</f>
        <v/>
      </c>
    </row>
    <row r="57" ht="15" customHeight="1">
      <c r="A57" t="inlineStr">
        <is>
          <t>A 11623-2024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46257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Sexfläckig bastardsvärmare
Ängsmetallvinge</t>
        </is>
      </c>
      <c r="W57">
        <f>HYPERLINK("https://klasma.github.io/Logging_0680/artfynd/A 11623-2024 artfynd.xlsx", "A 11623-2024")</f>
        <v/>
      </c>
      <c r="X57">
        <f>HYPERLINK("https://klasma.github.io/Logging_0680/kartor/A 11623-2024 karta.png", "A 11623-2024")</f>
        <v/>
      </c>
      <c r="Y57">
        <f>HYPERLINK("https://klasma.github.io/Logging_0680/kartor_geotiff/A 11623-2024 georefererad karta.tif", "A 11623-2024")</f>
        <v/>
      </c>
      <c r="AA57">
        <f>HYPERLINK("https://klasma.github.io/Logging_0680/klagomål/A 11623-2024 FSC-klagomål.docx", "A 11623-2024")</f>
        <v/>
      </c>
      <c r="AB57">
        <f>HYPERLINK("https://klasma.github.io/Logging_0680/klagomålsmail/A 11623-2024 FSC-klagomål mail.docx", "A 11623-2024")</f>
        <v/>
      </c>
      <c r="AC57">
        <f>HYPERLINK("https://klasma.github.io/Logging_0680/tillsyn/A 11623-2024 tillsynsbegäran.docx", "A 11623-2024")</f>
        <v/>
      </c>
      <c r="AD57">
        <f>HYPERLINK("https://klasma.github.io/Logging_0680/tillsynsmail/A 11623-2024 tillsynsbegäran mail.docx", "A 11623-2024")</f>
        <v/>
      </c>
    </row>
    <row r="58" ht="15" customHeight="1">
      <c r="A58" t="inlineStr">
        <is>
          <t>A 4810-2026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46048</v>
      </c>
      <c r="E58" s="1" t="n">
        <v>46257</v>
      </c>
      <c r="F58" t="inlineStr">
        <is>
          <t>JÖNKÖPINGS LÄN</t>
        </is>
      </c>
      <c r="G58" t="inlineStr">
        <is>
          <t>JÖNKÖPING</t>
        </is>
      </c>
      <c r="I58" t="n">
        <v>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Gullviva</t>
        </is>
      </c>
      <c r="W58">
        <f>HYPERLINK("https://klasma.github.io/Logging_0680/artfynd/A 4810-2026 artfynd.xlsx", "A 4810-2026")</f>
        <v/>
      </c>
      <c r="X58">
        <f>HYPERLINK("https://klasma.github.io/Logging_0680/kartor/A 4810-2026 karta.png", "A 4810-2026")</f>
        <v/>
      </c>
      <c r="Y58">
        <f>HYPERLINK("https://klasma.github.io/Logging_0680/kartor_geotiff/A 4810-2026 georefererad karta.tif", "A 4810-2026")</f>
        <v/>
      </c>
      <c r="AA58">
        <f>HYPERLINK("https://klasma.github.io/Logging_0680/klagomål/A 4810-2026 FSC-klagomål.docx", "A 4810-2026")</f>
        <v/>
      </c>
      <c r="AB58">
        <f>HYPERLINK("https://klasma.github.io/Logging_0680/klagomålsmail/A 4810-2026 FSC-klagomål mail.docx", "A 4810-2026")</f>
        <v/>
      </c>
      <c r="AC58">
        <f>HYPERLINK("https://klasma.github.io/Logging_0680/tillsyn/A 4810-2026 tillsynsbegäran.docx", "A 4810-2026")</f>
        <v/>
      </c>
      <c r="AD58">
        <f>HYPERLINK("https://klasma.github.io/Logging_0680/tillsynsmail/A 4810-2026 tillsynsbegäran mail.docx", "A 4810-2026")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46257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Sommarfibbla
Svinrot</t>
        </is>
      </c>
      <c r="W59">
        <f>HYPERLINK("https://klasma.github.io/Logging_0680/artfynd/A 5125-2026 artfynd.xlsx", "A 5125-2026")</f>
        <v/>
      </c>
      <c r="X59">
        <f>HYPERLINK("https://klasma.github.io/Logging_0680/kartor/A 5125-2026 karta.png", "A 5125-2026")</f>
        <v/>
      </c>
      <c r="Y59">
        <f>HYPERLINK("https://klasma.github.io/Logging_0680/kartor_geotiff/A 5125-2026 georefererad karta.tif", "A 5125-2026")</f>
        <v/>
      </c>
      <c r="AA59">
        <f>HYPERLINK("https://klasma.github.io/Logging_0680/klagomål/A 5125-2026 FSC-klagomål.docx", "A 5125-2026")</f>
        <v/>
      </c>
      <c r="AB59">
        <f>HYPERLINK("https://klasma.github.io/Logging_0680/klagomålsmail/A 5125-2026 FSC-klagomål mail.docx", "A 5125-2026")</f>
        <v/>
      </c>
      <c r="AC59">
        <f>HYPERLINK("https://klasma.github.io/Logging_0680/tillsyn/A 5125-2026 tillsynsbegäran.docx", "A 5125-2026")</f>
        <v/>
      </c>
      <c r="AD59">
        <f>HYPERLINK("https://klasma.github.io/Logging_0680/tillsynsmail/A 5125-2026 tillsynsbegäran mail.docx", "A 5125-2026")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46257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46257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46257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46257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46257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46257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Storgröe
Springkorn</t>
        </is>
      </c>
      <c r="W65">
        <f>HYPERLINK("https://klasma.github.io/Logging_0680/artfynd/A 58082-2025 artfynd.xlsx", "A 58082-2025")</f>
        <v/>
      </c>
      <c r="X65">
        <f>HYPERLINK("https://klasma.github.io/Logging_0680/kartor/A 58082-2025 karta.png", "A 58082-2025")</f>
        <v/>
      </c>
      <c r="Y65">
        <f>HYPERLINK("https://klasma.github.io/Logging_0680/kartor_geotiff/A 58082-2025 georefererad karta.tif", "A 58082-2025")</f>
        <v/>
      </c>
      <c r="AA65">
        <f>HYPERLINK("https://klasma.github.io/Logging_0680/klagomål/A 58082-2025 FSC-klagomål.docx", "A 58082-2025")</f>
        <v/>
      </c>
      <c r="AB65">
        <f>HYPERLINK("https://klasma.github.io/Logging_0680/klagomålsmail/A 58082-2025 FSC-klagomål mail.docx", "A 58082-2025")</f>
        <v/>
      </c>
      <c r="AC65">
        <f>HYPERLINK("https://klasma.github.io/Logging_0680/tillsyn/A 58082-2025 tillsynsbegäran.docx", "A 58082-2025")</f>
        <v/>
      </c>
      <c r="AD65">
        <f>HYPERLINK("https://klasma.github.io/Logging_0680/tillsynsmail/A 58082-2025 tillsynsbegäran mail.docx", "A 58082-2025")</f>
        <v/>
      </c>
    </row>
    <row r="66" ht="15" customHeight="1">
      <c r="A66" t="inlineStr">
        <is>
          <t>A 9221-2024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46257</v>
      </c>
      <c r="F66" t="inlineStr">
        <is>
          <t>JÖNKÖPINGS LÄN</t>
        </is>
      </c>
      <c r="G66" t="inlineStr">
        <is>
          <t>JÖNKÖPING</t>
        </is>
      </c>
      <c r="I66" t="n">
        <v>4.7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Motaggsvamp
Blomkålssvamp</t>
        </is>
      </c>
      <c r="W66">
        <f>HYPERLINK("https://klasma.github.io/Logging_0680/artfynd/A 9221-2024 artfynd.xlsx", "A 9221-2024")</f>
        <v/>
      </c>
      <c r="X66">
        <f>HYPERLINK("https://klasma.github.io/Logging_0680/kartor/A 9221-2024 karta.png", "A 9221-2024")</f>
        <v/>
      </c>
      <c r="Y66">
        <f>HYPERLINK("https://klasma.github.io/Logging_0680/kartor_geotiff/A 9221-2024 georefererad karta.tif", "A 9221-2024")</f>
        <v/>
      </c>
      <c r="AA66">
        <f>HYPERLINK("https://klasma.github.io/Logging_0680/klagomål/A 9221-2024 FSC-klagomål.docx", "A 9221-2024")</f>
        <v/>
      </c>
      <c r="AB66">
        <f>HYPERLINK("https://klasma.github.io/Logging_0680/klagomålsmail/A 9221-2024 FSC-klagomål mail.docx", "A 9221-2024")</f>
        <v/>
      </c>
      <c r="AC66">
        <f>HYPERLINK("https://klasma.github.io/Logging_0680/tillsyn/A 9221-2024 tillsynsbegäran.docx", "A 9221-2024")</f>
        <v/>
      </c>
      <c r="AD66">
        <f>HYPERLINK("https://klasma.github.io/Logging_0680/tillsynsmail/A 9221-2024 tillsynsbegäran mail.docx", "A 9221-2024")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46257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46257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46257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46257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46257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46257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46257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46257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46257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47492-2024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45587</v>
      </c>
      <c r="E76" s="1" t="n">
        <v>46257</v>
      </c>
      <c r="F76" t="inlineStr">
        <is>
          <t>JÖNKÖPINGS LÄN</t>
        </is>
      </c>
      <c r="G76" t="inlineStr">
        <is>
          <t>JÖNKÖPING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Ask</t>
        </is>
      </c>
      <c r="W76">
        <f>HYPERLINK("https://klasma.github.io/Logging_0680/artfynd/A 47492-2024 artfynd.xlsx", "A 47492-2024")</f>
        <v/>
      </c>
      <c r="X76">
        <f>HYPERLINK("https://klasma.github.io/Logging_0680/kartor/A 47492-2024 karta.png", "A 47492-2024")</f>
        <v/>
      </c>
      <c r="Y76">
        <f>HYPERLINK("https://klasma.github.io/Logging_0680/kartor_geotiff/A 47492-2024 georefererad karta.tif", "A 47492-2024")</f>
        <v/>
      </c>
      <c r="AA76">
        <f>HYPERLINK("https://klasma.github.io/Logging_0680/klagomål/A 47492-2024 FSC-klagomål.docx", "A 47492-2024")</f>
        <v/>
      </c>
      <c r="AB76">
        <f>HYPERLINK("https://klasma.github.io/Logging_0680/klagomålsmail/A 47492-2024 FSC-klagomål mail.docx", "A 47492-2024")</f>
        <v/>
      </c>
      <c r="AC76">
        <f>HYPERLINK("https://klasma.github.io/Logging_0680/tillsyn/A 47492-2024 tillsynsbegäran.docx", "A 47492-2024")</f>
        <v/>
      </c>
      <c r="AD76">
        <f>HYPERLINK("https://klasma.github.io/Logging_0680/tillsynsmail/A 47492-2024 tillsynsbegäran mail.docx", "A 47492-2024")</f>
        <v/>
      </c>
    </row>
    <row r="77" ht="15" customHeight="1">
      <c r="A77" t="inlineStr">
        <is>
          <t>A 28230-2024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46257</v>
      </c>
      <c r="F77" t="inlineStr">
        <is>
          <t>JÖNKÖPINGS LÄN</t>
        </is>
      </c>
      <c r="G77" t="inlineStr">
        <is>
          <t>JÖNKÖPING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HYPERLINK("https://klasma.github.io/Logging_0680/artfynd/A 28230-2024 artfynd.xlsx", "A 28230-2024")</f>
        <v/>
      </c>
      <c r="X77">
        <f>HYPERLINK("https://klasma.github.io/Logging_0680/kartor/A 28230-2024 karta.png", "A 28230-2024")</f>
        <v/>
      </c>
      <c r="Y77">
        <f>HYPERLINK("https://klasma.github.io/Logging_0680/kartor_geotiff/A 28230-2024 georefererad karta.tif", "A 28230-2024")</f>
        <v/>
      </c>
      <c r="AA77">
        <f>HYPERLINK("https://klasma.github.io/Logging_0680/klagomål/A 28230-2024 FSC-klagomål.docx", "A 28230-2024")</f>
        <v/>
      </c>
      <c r="AB77">
        <f>HYPERLINK("https://klasma.github.io/Logging_0680/klagomålsmail/A 28230-2024 FSC-klagomål mail.docx", "A 28230-2024")</f>
        <v/>
      </c>
      <c r="AC77">
        <f>HYPERLINK("https://klasma.github.io/Logging_0680/tillsyn/A 28230-2024 tillsynsbegäran.docx", "A 28230-2024")</f>
        <v/>
      </c>
      <c r="AD77">
        <f>HYPERLINK("https://klasma.github.io/Logging_0680/tillsynsmail/A 28230-2024 tillsynsbegäran mail.docx", "A 28230-2024")</f>
        <v/>
      </c>
    </row>
    <row r="78" ht="15" customHeight="1">
      <c r="A78" t="inlineStr">
        <is>
          <t>A 29056-2022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46257</v>
      </c>
      <c r="F78" t="inlineStr">
        <is>
          <t>JÖNKÖPINGS LÄN</t>
        </is>
      </c>
      <c r="G78" t="inlineStr">
        <is>
          <t>JÖNKÖPING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Toppvaxing</t>
        </is>
      </c>
      <c r="W78">
        <f>HYPERLINK("https://klasma.github.io/Logging_0680/artfynd/A 29056-2022 artfynd.xlsx", "A 29056-2022")</f>
        <v/>
      </c>
      <c r="X78">
        <f>HYPERLINK("https://klasma.github.io/Logging_0680/kartor/A 29056-2022 karta.png", "A 29056-2022")</f>
        <v/>
      </c>
      <c r="Y78">
        <f>HYPERLINK("https://klasma.github.io/Logging_0680/kartor_geotiff/A 29056-2022 georefererad karta.tif", "A 29056-2022")</f>
        <v/>
      </c>
      <c r="AA78">
        <f>HYPERLINK("https://klasma.github.io/Logging_0680/klagomål/A 29056-2022 FSC-klagomål.docx", "A 29056-2022")</f>
        <v/>
      </c>
      <c r="AB78">
        <f>HYPERLINK("https://klasma.github.io/Logging_0680/klagomålsmail/A 29056-2022 FSC-klagomål mail.docx", "A 29056-2022")</f>
        <v/>
      </c>
      <c r="AC78">
        <f>HYPERLINK("https://klasma.github.io/Logging_0680/tillsyn/A 29056-2022 tillsynsbegäran.docx", "A 29056-2022")</f>
        <v/>
      </c>
      <c r="AD78">
        <f>HYPERLINK("https://klasma.github.io/Logging_0680/tillsynsmail/A 29056-2022 tillsynsbegäran mail.docx", "A 29056-2022")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46257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6456-2024 artfynd.xlsx", "A 6456-2024")</f>
        <v/>
      </c>
      <c r="X79">
        <f>HYPERLINK("https://klasma.github.io/Logging_0680/kartor/A 6456-2024 karta.png", "A 6456-2024")</f>
        <v/>
      </c>
      <c r="Y79">
        <f>HYPERLINK("https://klasma.github.io/Logging_0680/kartor_geotiff/A 6456-2024 georefererad karta.tif", "A 6456-2024")</f>
        <v/>
      </c>
      <c r="AA79">
        <f>HYPERLINK("https://klasma.github.io/Logging_0680/klagomål/A 6456-2024 FSC-klagomål.docx", "A 6456-2024")</f>
        <v/>
      </c>
      <c r="AB79">
        <f>HYPERLINK("https://klasma.github.io/Logging_0680/klagomålsmail/A 6456-2024 FSC-klagomål mail.docx", "A 6456-2024")</f>
        <v/>
      </c>
      <c r="AC79">
        <f>HYPERLINK("https://klasma.github.io/Logging_0680/tillsyn/A 6456-2024 tillsynsbegäran.docx", "A 6456-2024")</f>
        <v/>
      </c>
      <c r="AD79">
        <f>HYPERLINK("https://klasma.github.io/Logging_0680/tillsynsmail/A 6456-2024 tillsynsbegäran mail.docx", "A 6456-2024")</f>
        <v/>
      </c>
    </row>
    <row r="80" ht="15" customHeight="1">
      <c r="A80" t="inlineStr">
        <is>
          <t>A 10455-2025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46257</v>
      </c>
      <c r="F80" t="inlineStr">
        <is>
          <t>JÖNKÖPINGS LÄN</t>
        </is>
      </c>
      <c r="G80" t="inlineStr">
        <is>
          <t>JÖNKÖPING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Hasselmus</t>
        </is>
      </c>
      <c r="W80">
        <f>HYPERLINK("https://klasma.github.io/Logging_0680/artfynd/A 10455-2025 artfynd.xlsx", "A 10455-2025")</f>
        <v/>
      </c>
      <c r="X80">
        <f>HYPERLINK("https://klasma.github.io/Logging_0680/kartor/A 10455-2025 karta.png", "A 10455-2025")</f>
        <v/>
      </c>
      <c r="Y80">
        <f>HYPERLINK("https://klasma.github.io/Logging_0680/kartor_geotiff/A 10455-2025 georefererad karta.tif", "A 10455-2025")</f>
        <v/>
      </c>
      <c r="AA80">
        <f>HYPERLINK("https://klasma.github.io/Logging_0680/klagomål/A 10455-2025 FSC-klagomål.docx", "A 10455-2025")</f>
        <v/>
      </c>
      <c r="AB80">
        <f>HYPERLINK("https://klasma.github.io/Logging_0680/klagomålsmail/A 10455-2025 FSC-klagomål mail.docx", "A 10455-2025")</f>
        <v/>
      </c>
      <c r="AC80">
        <f>HYPERLINK("https://klasma.github.io/Logging_0680/tillsyn/A 10455-2025 tillsynsbegäran.docx", "A 10455-2025")</f>
        <v/>
      </c>
      <c r="AD80">
        <f>HYPERLINK("https://klasma.github.io/Logging_0680/tillsynsmail/A 10455-2025 tillsynsbegäran mail.docx", "A 10455-2025")</f>
        <v/>
      </c>
    </row>
    <row r="81" ht="15" customHeight="1">
      <c r="A81" t="inlineStr">
        <is>
          <t>A 48114-2023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45205</v>
      </c>
      <c r="E81" s="1" t="n">
        <v>46257</v>
      </c>
      <c r="F81" t="inlineStr">
        <is>
          <t>JÖNKÖPINGS LÄN</t>
        </is>
      </c>
      <c r="G81" t="inlineStr">
        <is>
          <t>JÖNKÖPING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HYPERLINK("https://klasma.github.io/Logging_0680/artfynd/A 48114-2023 artfynd.xlsx", "A 48114-2023")</f>
        <v/>
      </c>
      <c r="X81">
        <f>HYPERLINK("https://klasma.github.io/Logging_0680/kartor/A 48114-2023 karta.png", "A 48114-2023")</f>
        <v/>
      </c>
      <c r="Y81">
        <f>HYPERLINK("https://klasma.github.io/Logging_0680/kartor_geotiff/A 48114-2023 georefererad karta.tif", "A 48114-2023")</f>
        <v/>
      </c>
      <c r="AA81">
        <f>HYPERLINK("https://klasma.github.io/Logging_0680/klagomål/A 48114-2023 FSC-klagomål.docx", "A 48114-2023")</f>
        <v/>
      </c>
      <c r="AB81">
        <f>HYPERLINK("https://klasma.github.io/Logging_0680/klagomålsmail/A 48114-2023 FSC-klagomål mail.docx", "A 48114-2023")</f>
        <v/>
      </c>
      <c r="AC81">
        <f>HYPERLINK("https://klasma.github.io/Logging_0680/tillsyn/A 48114-2023 tillsynsbegäran.docx", "A 48114-2023")</f>
        <v/>
      </c>
      <c r="AD81">
        <f>HYPERLINK("https://klasma.github.io/Logging_0680/tillsynsmail/A 48114-2023 tillsynsbegäran mail.docx", "A 48114-2023")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46257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18770-2025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46257</v>
      </c>
      <c r="F83" t="inlineStr">
        <is>
          <t>JÖNKÖPINGS LÄN</t>
        </is>
      </c>
      <c r="G83" t="inlineStr">
        <is>
          <t>JÖNKÖPING</t>
        </is>
      </c>
      <c r="I83" t="n">
        <v>3.3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Gullpudra</t>
        </is>
      </c>
      <c r="W83">
        <f>HYPERLINK("https://klasma.github.io/Logging_0680/artfynd/A 18770-2025 artfynd.xlsx", "A 18770-2025")</f>
        <v/>
      </c>
      <c r="X83">
        <f>HYPERLINK("https://klasma.github.io/Logging_0680/kartor/A 18770-2025 karta.png", "A 18770-2025")</f>
        <v/>
      </c>
      <c r="Y83">
        <f>HYPERLINK("https://klasma.github.io/Logging_0680/kartor_geotiff/A 18770-2025 georefererad karta.tif", "A 18770-2025")</f>
        <v/>
      </c>
      <c r="AA83">
        <f>HYPERLINK("https://klasma.github.io/Logging_0680/klagomål/A 18770-2025 FSC-klagomål.docx", "A 18770-2025")</f>
        <v/>
      </c>
      <c r="AB83">
        <f>HYPERLINK("https://klasma.github.io/Logging_0680/klagomålsmail/A 18770-2025 FSC-klagomål mail.docx", "A 18770-2025")</f>
        <v/>
      </c>
      <c r="AC83">
        <f>HYPERLINK("https://klasma.github.io/Logging_0680/tillsyn/A 18770-2025 tillsynsbegäran.docx", "A 18770-2025")</f>
        <v/>
      </c>
      <c r="AD83">
        <f>HYPERLINK("https://klasma.github.io/Logging_0680/tillsynsmail/A 18770-2025 tillsynsbegäran mail.docx", "A 18770-2025")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46257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46257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46816-2025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46257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Ask</t>
        </is>
      </c>
      <c r="W86">
        <f>HYPERLINK("https://klasma.github.io/Logging_0680/artfynd/A 46816-2025 artfynd.xlsx", "A 46816-2025")</f>
        <v/>
      </c>
      <c r="X86">
        <f>HYPERLINK("https://klasma.github.io/Logging_0680/kartor/A 46816-2025 karta.png", "A 46816-2025")</f>
        <v/>
      </c>
      <c r="Y86">
        <f>HYPERLINK("https://klasma.github.io/Logging_0680/kartor_geotiff/A 46816-2025 georefererad karta.tif", "A 46816-2025")</f>
        <v/>
      </c>
      <c r="AA86">
        <f>HYPERLINK("https://klasma.github.io/Logging_0680/klagomål/A 46816-2025 FSC-klagomål.docx", "A 46816-2025")</f>
        <v/>
      </c>
      <c r="AB86">
        <f>HYPERLINK("https://klasma.github.io/Logging_0680/klagomålsmail/A 46816-2025 FSC-klagomål mail.docx", "A 46816-2025")</f>
        <v/>
      </c>
      <c r="AC86">
        <f>HYPERLINK("https://klasma.github.io/Logging_0680/tillsyn/A 46816-2025 tillsynsbegäran.docx", "A 46816-2025")</f>
        <v/>
      </c>
      <c r="AD86">
        <f>HYPERLINK("https://klasma.github.io/Logging_0680/tillsynsmail/A 46816-2025 tillsynsbegäran mail.docx", "A 46816-2025")</f>
        <v/>
      </c>
    </row>
    <row r="87" ht="15" customHeight="1">
      <c r="A87" t="inlineStr">
        <is>
          <t>A 45366-2022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46257</v>
      </c>
      <c r="F87" t="inlineStr">
        <is>
          <t>JÖNKÖPINGS LÄN</t>
        </is>
      </c>
      <c r="G87" t="inlineStr">
        <is>
          <t>JÖNKÖPING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Mörk husmossa</t>
        </is>
      </c>
      <c r="W87">
        <f>HYPERLINK("https://klasma.github.io/Logging_0680/artfynd/A 45366-2022 artfynd.xlsx", "A 45366-2022")</f>
        <v/>
      </c>
      <c r="X87">
        <f>HYPERLINK("https://klasma.github.io/Logging_0680/kartor/A 45366-2022 karta.png", "A 45366-2022")</f>
        <v/>
      </c>
      <c r="Y87">
        <f>HYPERLINK("https://klasma.github.io/Logging_0680/kartor_geotiff/A 45366-2022 georefererad karta.tif", "A 45366-2022")</f>
        <v/>
      </c>
      <c r="AA87">
        <f>HYPERLINK("https://klasma.github.io/Logging_0680/klagomål/A 45366-2022 FSC-klagomål.docx", "A 45366-2022")</f>
        <v/>
      </c>
      <c r="AB87">
        <f>HYPERLINK("https://klasma.github.io/Logging_0680/klagomålsmail/A 45366-2022 FSC-klagomål mail.docx", "A 45366-2022")</f>
        <v/>
      </c>
      <c r="AC87">
        <f>HYPERLINK("https://klasma.github.io/Logging_0680/tillsyn/A 45366-2022 tillsynsbegäran.docx", "A 45366-2022")</f>
        <v/>
      </c>
      <c r="AD87">
        <f>HYPERLINK("https://klasma.github.io/Logging_0680/tillsynsmail/A 45366-2022 tillsynsbegäran mail.docx", "A 45366-2022")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46257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62844-2023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46257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Ask</t>
        </is>
      </c>
      <c r="W89">
        <f>HYPERLINK("https://klasma.github.io/Logging_0680/artfynd/A 62844-2023 artfynd.xlsx", "A 62844-2023")</f>
        <v/>
      </c>
      <c r="X89">
        <f>HYPERLINK("https://klasma.github.io/Logging_0680/kartor/A 62844-2023 karta.png", "A 62844-2023")</f>
        <v/>
      </c>
      <c r="Y89">
        <f>HYPERLINK("https://klasma.github.io/Logging_0680/kartor_geotiff/A 62844-2023 georefererad karta.tif", "A 62844-2023")</f>
        <v/>
      </c>
      <c r="AA89">
        <f>HYPERLINK("https://klasma.github.io/Logging_0680/klagomål/A 62844-2023 FSC-klagomål.docx", "A 62844-2023")</f>
        <v/>
      </c>
      <c r="AB89">
        <f>HYPERLINK("https://klasma.github.io/Logging_0680/klagomålsmail/A 62844-2023 FSC-klagomål mail.docx", "A 62844-2023")</f>
        <v/>
      </c>
      <c r="AC89">
        <f>HYPERLINK("https://klasma.github.io/Logging_0680/tillsyn/A 62844-2023 tillsynsbegäran.docx", "A 62844-2023")</f>
        <v/>
      </c>
      <c r="AD89">
        <f>HYPERLINK("https://klasma.github.io/Logging_0680/tillsynsmail/A 62844-2023 tillsynsbegäran mail.docx", "A 62844-2023")</f>
        <v/>
      </c>
    </row>
    <row r="90" ht="15" customHeight="1">
      <c r="A90" t="inlineStr">
        <is>
          <t>A 43624-2023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46257</v>
      </c>
      <c r="F90" t="inlineStr">
        <is>
          <t>JÖNKÖPINGS LÄN</t>
        </is>
      </c>
      <c r="G90" t="inlineStr">
        <is>
          <t>JÖNKÖPING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Gullpudra</t>
        </is>
      </c>
      <c r="W90">
        <f>HYPERLINK("https://klasma.github.io/Logging_0680/artfynd/A 43624-2023 artfynd.xlsx", "A 43624-2023")</f>
        <v/>
      </c>
      <c r="X90">
        <f>HYPERLINK("https://klasma.github.io/Logging_0680/kartor/A 43624-2023 karta.png", "A 43624-2023")</f>
        <v/>
      </c>
      <c r="Y90">
        <f>HYPERLINK("https://klasma.github.io/Logging_0680/kartor_geotiff/A 43624-2023 georefererad karta.tif", "A 43624-2023")</f>
        <v/>
      </c>
      <c r="AA90">
        <f>HYPERLINK("https://klasma.github.io/Logging_0680/klagomål/A 43624-2023 FSC-klagomål.docx", "A 43624-2023")</f>
        <v/>
      </c>
      <c r="AB90">
        <f>HYPERLINK("https://klasma.github.io/Logging_0680/klagomålsmail/A 43624-2023 FSC-klagomål mail.docx", "A 43624-2023")</f>
        <v/>
      </c>
      <c r="AC90">
        <f>HYPERLINK("https://klasma.github.io/Logging_0680/tillsyn/A 43624-2023 tillsynsbegäran.docx", "A 43624-2023")</f>
        <v/>
      </c>
      <c r="AD90">
        <f>HYPERLINK("https://klasma.github.io/Logging_0680/tillsynsmail/A 43624-2023 tillsynsbegäran mail.docx", "A 43624-2023")</f>
        <v/>
      </c>
    </row>
    <row r="91" ht="15" customHeight="1">
      <c r="A91" t="inlineStr">
        <is>
          <t>A 48371-2023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45205</v>
      </c>
      <c r="E91" s="1" t="n">
        <v>46257</v>
      </c>
      <c r="F91" t="inlineStr">
        <is>
          <t>JÖNKÖPINGS LÄN</t>
        </is>
      </c>
      <c r="G91" t="inlineStr">
        <is>
          <t>JÖNKÖPING</t>
        </is>
      </c>
      <c r="I91" t="n">
        <v>4.9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HYPERLINK("https://klasma.github.io/Logging_0680/artfynd/A 48371-2023 artfynd.xlsx", "A 48371-2023")</f>
        <v/>
      </c>
      <c r="X91">
        <f>HYPERLINK("https://klasma.github.io/Logging_0680/kartor/A 48371-2023 karta.png", "A 48371-2023")</f>
        <v/>
      </c>
      <c r="Y91">
        <f>HYPERLINK("https://klasma.github.io/Logging_0680/kartor_geotiff/A 48371-2023 georefererad karta.tif", "A 48371-2023")</f>
        <v/>
      </c>
      <c r="AA91">
        <f>HYPERLINK("https://klasma.github.io/Logging_0680/klagomål/A 48371-2023 FSC-klagomål.docx", "A 48371-2023")</f>
        <v/>
      </c>
      <c r="AB91">
        <f>HYPERLINK("https://klasma.github.io/Logging_0680/klagomålsmail/A 48371-2023 FSC-klagomål mail.docx", "A 48371-2023")</f>
        <v/>
      </c>
      <c r="AC91">
        <f>HYPERLINK("https://klasma.github.io/Logging_0680/tillsyn/A 48371-2023 tillsynsbegäran.docx", "A 48371-2023")</f>
        <v/>
      </c>
      <c r="AD91">
        <f>HYPERLINK("https://klasma.github.io/Logging_0680/tillsynsmail/A 48371-2023 tillsynsbegäran mail.docx", "A 48371-2023")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46257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HYPERLINK("https://klasma.github.io/Logging_0680/artfynd/A 54325-2024 artfynd.xlsx", "A 54325-2024")</f>
        <v/>
      </c>
      <c r="X92">
        <f>HYPERLINK("https://klasma.github.io/Logging_0680/kartor/A 54325-2024 karta.png", "A 54325-2024")</f>
        <v/>
      </c>
      <c r="Y92">
        <f>HYPERLINK("https://klasma.github.io/Logging_0680/kartor_geotiff/A 54325-2024 georefererad karta.tif", "A 54325-2024")</f>
        <v/>
      </c>
      <c r="AA92">
        <f>HYPERLINK("https://klasma.github.io/Logging_0680/klagomål/A 54325-2024 FSC-klagomål.docx", "A 54325-2024")</f>
        <v/>
      </c>
      <c r="AB92">
        <f>HYPERLINK("https://klasma.github.io/Logging_0680/klagomålsmail/A 54325-2024 FSC-klagomål mail.docx", "A 54325-2024")</f>
        <v/>
      </c>
      <c r="AC92">
        <f>HYPERLINK("https://klasma.github.io/Logging_0680/tillsyn/A 54325-2024 tillsynsbegäran.docx", "A 54325-2024")</f>
        <v/>
      </c>
      <c r="AD92">
        <f>HYPERLINK("https://klasma.github.io/Logging_0680/tillsynsmail/A 54325-2024 tillsynsbegäran mail.docx", "A 54325-2024")</f>
        <v/>
      </c>
      <c r="AE92">
        <f>HYPERLINK("https://klasma.github.io/Logging_0680/fåglar/A 54325-2024 prioriterade fågelarter.docx", "A 54325-2024")</f>
        <v/>
      </c>
    </row>
    <row r="93" ht="15" customHeight="1">
      <c r="A93" t="inlineStr">
        <is>
          <t>A 74117-2021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46257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Nattskärra</t>
        </is>
      </c>
      <c r="W93">
        <f>HYPERLINK("https://klasma.github.io/Logging_0680/artfynd/A 74117-2021 artfynd.xlsx", "A 74117-2021")</f>
        <v/>
      </c>
      <c r="X93">
        <f>HYPERLINK("https://klasma.github.io/Logging_0680/kartor/A 74117-2021 karta.png", "A 74117-2021")</f>
        <v/>
      </c>
      <c r="Y93">
        <f>HYPERLINK("https://klasma.github.io/Logging_0680/kartor_geotiff/A 74117-2021 georefererad karta.tif", "A 74117-2021")</f>
        <v/>
      </c>
      <c r="AA93">
        <f>HYPERLINK("https://klasma.github.io/Logging_0680/klagomål/A 74117-2021 FSC-klagomål.docx", "A 74117-2021")</f>
        <v/>
      </c>
      <c r="AB93">
        <f>HYPERLINK("https://klasma.github.io/Logging_0680/klagomålsmail/A 74117-2021 FSC-klagomål mail.docx", "A 74117-2021")</f>
        <v/>
      </c>
      <c r="AC93">
        <f>HYPERLINK("https://klasma.github.io/Logging_0680/tillsyn/A 74117-2021 tillsynsbegäran.docx", "A 74117-2021")</f>
        <v/>
      </c>
      <c r="AD93">
        <f>HYPERLINK("https://klasma.github.io/Logging_0680/tillsynsmail/A 74117-2021 tillsynsbegäran mail.docx", "A 74117-2021")</f>
        <v/>
      </c>
      <c r="AE93">
        <f>HYPERLINK("https://klasma.github.io/Logging_0680/fåglar/A 74117-2021 prioriterade fågelarter.docx", "A 74117-2021")</f>
        <v/>
      </c>
    </row>
    <row r="94" ht="15" customHeight="1">
      <c r="A94" t="inlineStr">
        <is>
          <t>A 63550-2025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46257</v>
      </c>
      <c r="F94" t="inlineStr">
        <is>
          <t>JÖNKÖPINGS LÄN</t>
        </is>
      </c>
      <c r="G94" t="inlineStr">
        <is>
          <t>JÖNKÖPING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HYPERLINK("https://klasma.github.io/Logging_0680/artfynd/A 63550-2025 artfynd.xlsx", "A 63550-2025")</f>
        <v/>
      </c>
      <c r="X94">
        <f>HYPERLINK("https://klasma.github.io/Logging_0680/kartor/A 63550-2025 karta.png", "A 63550-2025")</f>
        <v/>
      </c>
      <c r="Y94">
        <f>HYPERLINK("https://klasma.github.io/Logging_0680/kartor_geotiff/A 63550-2025 georefererad karta.tif", "A 63550-2025")</f>
        <v/>
      </c>
      <c r="AA94">
        <f>HYPERLINK("https://klasma.github.io/Logging_0680/klagomål/A 63550-2025 FSC-klagomål.docx", "A 63550-2025")</f>
        <v/>
      </c>
      <c r="AB94">
        <f>HYPERLINK("https://klasma.github.io/Logging_0680/klagomålsmail/A 63550-2025 FSC-klagomål mail.docx", "A 63550-2025")</f>
        <v/>
      </c>
      <c r="AC94">
        <f>HYPERLINK("https://klasma.github.io/Logging_0680/tillsyn/A 63550-2025 tillsynsbegäran.docx", "A 63550-2025")</f>
        <v/>
      </c>
      <c r="AD94">
        <f>HYPERLINK("https://klasma.github.io/Logging_0680/tillsynsmail/A 63550-2025 tillsynsbegäran mail.docx", "A 63550-2025")</f>
        <v/>
      </c>
    </row>
    <row r="95" ht="15" customHeight="1">
      <c r="A95" t="inlineStr">
        <is>
          <t>A 5898-2023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46257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Utter</t>
        </is>
      </c>
      <c r="W95">
        <f>HYPERLINK("https://klasma.github.io/Logging_0680/artfynd/A 5898-2023 artfynd.xlsx", "A 5898-2023")</f>
        <v/>
      </c>
      <c r="X95">
        <f>HYPERLINK("https://klasma.github.io/Logging_0680/kartor/A 5898-2023 karta.png", "A 5898-2023")</f>
        <v/>
      </c>
      <c r="Y95">
        <f>HYPERLINK("https://klasma.github.io/Logging_0680/kartor_geotiff/A 5898-2023 georefererad karta.tif", "A 5898-2023")</f>
        <v/>
      </c>
      <c r="AA95">
        <f>HYPERLINK("https://klasma.github.io/Logging_0680/klagomål/A 5898-2023 FSC-klagomål.docx", "A 5898-2023")</f>
        <v/>
      </c>
      <c r="AB95">
        <f>HYPERLINK("https://klasma.github.io/Logging_0680/klagomålsmail/A 5898-2023 FSC-klagomål mail.docx", "A 5898-2023")</f>
        <v/>
      </c>
      <c r="AC95">
        <f>HYPERLINK("https://klasma.github.io/Logging_0680/tillsyn/A 5898-2023 tillsynsbegäran.docx", "A 5898-2023")</f>
        <v/>
      </c>
      <c r="AD95">
        <f>HYPERLINK("https://klasma.github.io/Logging_0680/tillsynsmail/A 5898-2023 tillsynsbegäran mail.docx", "A 5898-2023")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46257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46257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34597-2025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46257</v>
      </c>
      <c r="F98" t="inlineStr">
        <is>
          <t>JÖNKÖPINGS LÄN</t>
        </is>
      </c>
      <c r="G98" t="inlineStr">
        <is>
          <t>JÖNKÖPING</t>
        </is>
      </c>
      <c r="H98" t="inlineStr">
        <is>
          <t>Kyrkan</t>
        </is>
      </c>
      <c r="I98" t="n">
        <v>7.3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HYPERLINK("https://klasma.github.io/Logging_0680/artfynd/A 34597-2025 artfynd.xlsx", "A 34597-2025")</f>
        <v/>
      </c>
      <c r="X98">
        <f>HYPERLINK("https://klasma.github.io/Logging_0680/kartor/A 34597-2025 karta.png", "A 34597-2025")</f>
        <v/>
      </c>
      <c r="Y98">
        <f>HYPERLINK("https://klasma.github.io/Logging_0680/kartor_geotiff/A 34597-2025 georefererad karta.tif", "A 34597-2025")</f>
        <v/>
      </c>
      <c r="Z98">
        <f>HYPERLINK("https://klasma.github.io/Logging_0680/knärot/A 34597-2025 karta knärot.png", "A 34597-2025")</f>
        <v/>
      </c>
      <c r="AA98">
        <f>HYPERLINK("https://klasma.github.io/Logging_0680/klagomål/A 34597-2025 FSC-klagomål.docx", "A 34597-2025")</f>
        <v/>
      </c>
      <c r="AB98">
        <f>HYPERLINK("https://klasma.github.io/Logging_0680/klagomålsmail/A 34597-2025 FSC-klagomål mail.docx", "A 34597-2025")</f>
        <v/>
      </c>
      <c r="AC98">
        <f>HYPERLINK("https://klasma.github.io/Logging_0680/tillsyn/A 34597-2025 tillsynsbegäran.docx", "A 34597-2025")</f>
        <v/>
      </c>
      <c r="AD98">
        <f>HYPERLINK("https://klasma.github.io/Logging_0680/tillsynsmail/A 34597-2025 tillsynsbegäran mail.docx", "A 34597-2025")</f>
        <v/>
      </c>
    </row>
    <row r="99" ht="15" customHeight="1">
      <c r="A99" t="inlineStr">
        <is>
          <t>A 6168-2026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46257</v>
      </c>
      <c r="F99" t="inlineStr">
        <is>
          <t>JÖNKÖPINGS LÄN</t>
        </is>
      </c>
      <c r="G99" t="inlineStr">
        <is>
          <t>JÖNKÖPING</t>
        </is>
      </c>
      <c r="I99" t="n">
        <v>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HYPERLINK("https://klasma.github.io/Logging_0680/artfynd/A 6168-2026 artfynd.xlsx", "A 6168-2026")</f>
        <v/>
      </c>
      <c r="X99">
        <f>HYPERLINK("https://klasma.github.io/Logging_0680/kartor/A 6168-2026 karta.png", "A 6168-2026")</f>
        <v/>
      </c>
      <c r="Y99">
        <f>HYPERLINK("https://klasma.github.io/Logging_0680/kartor_geotiff/A 6168-2026 georefererad karta.tif", "A 6168-2026")</f>
        <v/>
      </c>
      <c r="AA99">
        <f>HYPERLINK("https://klasma.github.io/Logging_0680/klagomål/A 6168-2026 FSC-klagomål.docx", "A 6168-2026")</f>
        <v/>
      </c>
      <c r="AB99">
        <f>HYPERLINK("https://klasma.github.io/Logging_0680/klagomålsmail/A 6168-2026 FSC-klagomål mail.docx", "A 6168-2026")</f>
        <v/>
      </c>
      <c r="AC99">
        <f>HYPERLINK("https://klasma.github.io/Logging_0680/tillsyn/A 6168-2026 tillsynsbegäran.docx", "A 6168-2026")</f>
        <v/>
      </c>
      <c r="AD99">
        <f>HYPERLINK("https://klasma.github.io/Logging_0680/tillsynsmail/A 6168-2026 tillsynsbegäran mail.docx", "A 6168-2026")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46257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11260-2023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46257</v>
      </c>
      <c r="F101" t="inlineStr">
        <is>
          <t>JÖNKÖPINGS LÄN</t>
        </is>
      </c>
      <c r="G101" t="inlineStr">
        <is>
          <t>JÖNKÖPING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HYPERLINK("https://klasma.github.io/Logging_0680/artfynd/A 11260-2023 artfynd.xlsx", "A 11260-2023")</f>
        <v/>
      </c>
      <c r="X101">
        <f>HYPERLINK("https://klasma.github.io/Logging_0680/kartor/A 11260-2023 karta.png", "A 11260-2023")</f>
        <v/>
      </c>
      <c r="Y101">
        <f>HYPERLINK("https://klasma.github.io/Logging_0680/kartor_geotiff/A 11260-2023 georefererad karta.tif", "A 11260-2023")</f>
        <v/>
      </c>
      <c r="Z101">
        <f>HYPERLINK("https://klasma.github.io/Logging_0680/knärot/A 11260-2023 karta knärot.png", "A 11260-2023")</f>
        <v/>
      </c>
      <c r="AA101">
        <f>HYPERLINK("https://klasma.github.io/Logging_0680/klagomål/A 11260-2023 FSC-klagomål.docx", "A 11260-2023")</f>
        <v/>
      </c>
      <c r="AB101">
        <f>HYPERLINK("https://klasma.github.io/Logging_0680/klagomålsmail/A 11260-2023 FSC-klagomål mail.docx", "A 11260-2023")</f>
        <v/>
      </c>
      <c r="AC101">
        <f>HYPERLINK("https://klasma.github.io/Logging_0680/tillsyn/A 11260-2023 tillsynsbegäran.docx", "A 11260-2023")</f>
        <v/>
      </c>
      <c r="AD101">
        <f>HYPERLINK("https://klasma.github.io/Logging_0680/tillsynsmail/A 11260-2023 tillsynsbegäran mail.docx", "A 11260-2023")</f>
        <v/>
      </c>
    </row>
    <row r="102" ht="15" customHeight="1">
      <c r="A102" t="inlineStr">
        <is>
          <t>A 43538-2021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44433</v>
      </c>
      <c r="E102" s="1" t="n">
        <v>46257</v>
      </c>
      <c r="F102" t="inlineStr">
        <is>
          <t>JÖNKÖPINGS LÄN</t>
        </is>
      </c>
      <c r="G102" t="inlineStr">
        <is>
          <t>JÖNKÖPING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HYPERLINK("https://klasma.github.io/Logging_0680/artfynd/A 43538-2021 artfynd.xlsx", "A 43538-2021")</f>
        <v/>
      </c>
      <c r="X102">
        <f>HYPERLINK("https://klasma.github.io/Logging_0680/kartor/A 43538-2021 karta.png", "A 43538-2021")</f>
        <v/>
      </c>
      <c r="Y102">
        <f>HYPERLINK("https://klasma.github.io/Logging_0680/kartor_geotiff/A 43538-2021 georefererad karta.tif", "A 43538-2021")</f>
        <v/>
      </c>
      <c r="AA102">
        <f>HYPERLINK("https://klasma.github.io/Logging_0680/klagomål/A 43538-2021 FSC-klagomål.docx", "A 43538-2021")</f>
        <v/>
      </c>
      <c r="AB102">
        <f>HYPERLINK("https://klasma.github.io/Logging_0680/klagomålsmail/A 43538-2021 FSC-klagomål mail.docx", "A 43538-2021")</f>
        <v/>
      </c>
      <c r="AC102">
        <f>HYPERLINK("https://klasma.github.io/Logging_0680/tillsyn/A 43538-2021 tillsynsbegäran.docx", "A 43538-2021")</f>
        <v/>
      </c>
      <c r="AD102">
        <f>HYPERLINK("https://klasma.github.io/Logging_0680/tillsynsmail/A 43538-2021 tillsynsbegäran mail.docx", "A 43538-2021")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46257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12518-2025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46257</v>
      </c>
      <c r="F104" t="inlineStr">
        <is>
          <t>JÖNKÖPINGS LÄN</t>
        </is>
      </c>
      <c r="G104" t="inlineStr">
        <is>
          <t>JÖNKÖPING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5</v>
      </c>
      <c r="U104" t="n">
        <v>0</v>
      </c>
      <c r="V104" s="2" t="inlineStr">
        <is>
          <t>Ask</t>
        </is>
      </c>
      <c r="W104">
        <f>HYPERLINK("https://klasma.github.io/Logging_0680/artfynd/A 12518-2025 artfynd.xlsx", "A 12518-2025")</f>
        <v/>
      </c>
      <c r="X104">
        <f>HYPERLINK("https://klasma.github.io/Logging_0680/kartor/A 12518-2025 karta.png", "A 12518-2025")</f>
        <v/>
      </c>
      <c r="Y104">
        <f>HYPERLINK("https://klasma.github.io/Logging_0680/kartor_geotiff/A 12518-2025 georefererad karta.tif", "A 12518-2025")</f>
        <v/>
      </c>
      <c r="AA104">
        <f>HYPERLINK("https://klasma.github.io/Logging_0680/klagomål/A 12518-2025 FSC-klagomål.docx", "A 12518-2025")</f>
        <v/>
      </c>
      <c r="AB104">
        <f>HYPERLINK("https://klasma.github.io/Logging_0680/klagomålsmail/A 12518-2025 FSC-klagomål mail.docx", "A 12518-2025")</f>
        <v/>
      </c>
      <c r="AC104">
        <f>HYPERLINK("https://klasma.github.io/Logging_0680/tillsyn/A 12518-2025 tillsynsbegäran.docx", "A 12518-2025")</f>
        <v/>
      </c>
      <c r="AD104">
        <f>HYPERLINK("https://klasma.github.io/Logging_0680/tillsynsmail/A 12518-2025 tillsynsbegäran mail.docx", "A 12518-2025")</f>
        <v/>
      </c>
    </row>
    <row r="105" ht="15" customHeight="1">
      <c r="A105" t="inlineStr">
        <is>
          <t>A 53601-2022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46257</v>
      </c>
      <c r="F105" t="inlineStr">
        <is>
          <t>JÖNKÖPINGS LÄN</t>
        </is>
      </c>
      <c r="G105" t="inlineStr">
        <is>
          <t>JÖNKÖPING</t>
        </is>
      </c>
      <c r="I105" t="n">
        <v>3.8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HYPERLINK("https://klasma.github.io/Logging_0680/artfynd/A 53601-2022 artfynd.xlsx", "A 53601-2022")</f>
        <v/>
      </c>
      <c r="X105">
        <f>HYPERLINK("https://klasma.github.io/Logging_0680/kartor/A 53601-2022 karta.png", "A 53601-2022")</f>
        <v/>
      </c>
      <c r="Y105">
        <f>HYPERLINK("https://klasma.github.io/Logging_0680/kartor_geotiff/A 53601-2022 georefererad karta.tif", "A 53601-2022")</f>
        <v/>
      </c>
      <c r="Z105">
        <f>HYPERLINK("https://klasma.github.io/Logging_0680/knärot/A 53601-2022 karta knärot.png", "A 53601-2022")</f>
        <v/>
      </c>
      <c r="AA105">
        <f>HYPERLINK("https://klasma.github.io/Logging_0680/klagomål/A 53601-2022 FSC-klagomål.docx", "A 53601-2022")</f>
        <v/>
      </c>
      <c r="AB105">
        <f>HYPERLINK("https://klasma.github.io/Logging_0680/klagomålsmail/A 53601-2022 FSC-klagomål mail.docx", "A 53601-2022")</f>
        <v/>
      </c>
      <c r="AC105">
        <f>HYPERLINK("https://klasma.github.io/Logging_0680/tillsyn/A 53601-2022 tillsynsbegäran.docx", "A 53601-2022")</f>
        <v/>
      </c>
      <c r="AD105">
        <f>HYPERLINK("https://klasma.github.io/Logging_0680/tillsynsmail/A 53601-2022 tillsynsbegäran mail.docx", "A 53601-2022")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46257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7092-2024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46257</v>
      </c>
      <c r="F107" t="inlineStr">
        <is>
          <t>JÖNKÖPINGS LÄN</t>
        </is>
      </c>
      <c r="G107" t="inlineStr">
        <is>
          <t>JÖNKÖPING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HYPERLINK("https://klasma.github.io/Logging_0680/artfynd/A 7092-2024 artfynd.xlsx", "A 7092-2024")</f>
        <v/>
      </c>
      <c r="X107">
        <f>HYPERLINK("https://klasma.github.io/Logging_0680/kartor/A 7092-2024 karta.png", "A 7092-2024")</f>
        <v/>
      </c>
      <c r="Y107">
        <f>HYPERLINK("https://klasma.github.io/Logging_0680/kartor_geotiff/A 7092-2024 georefererad karta.tif", "A 7092-2024")</f>
        <v/>
      </c>
      <c r="AA107">
        <f>HYPERLINK("https://klasma.github.io/Logging_0680/klagomål/A 7092-2024 FSC-klagomål.docx", "A 7092-2024")</f>
        <v/>
      </c>
      <c r="AB107">
        <f>HYPERLINK("https://klasma.github.io/Logging_0680/klagomålsmail/A 7092-2024 FSC-klagomål mail.docx", "A 7092-2024")</f>
        <v/>
      </c>
      <c r="AC107">
        <f>HYPERLINK("https://klasma.github.io/Logging_0680/tillsyn/A 7092-2024 tillsynsbegäran.docx", "A 7092-2024")</f>
        <v/>
      </c>
      <c r="AD107">
        <f>HYPERLINK("https://klasma.github.io/Logging_0680/tillsynsmail/A 7092-2024 tillsynsbegäran mail.docx", "A 7092-2024")</f>
        <v/>
      </c>
    </row>
    <row r="108" ht="15" customHeight="1">
      <c r="A108" t="inlineStr">
        <is>
          <t>A 58346-2022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46257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Övriga statliga verk och myndigheter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Gyllensopp</t>
        </is>
      </c>
      <c r="W108">
        <f>HYPERLINK("https://klasma.github.io/Logging_0680/artfynd/A 58346-2022 artfynd.xlsx", "A 58346-2022")</f>
        <v/>
      </c>
      <c r="X108">
        <f>HYPERLINK("https://klasma.github.io/Logging_0680/kartor/A 58346-2022 karta.png", "A 58346-2022")</f>
        <v/>
      </c>
      <c r="Y108">
        <f>HYPERLINK("https://klasma.github.io/Logging_0680/kartor_geotiff/A 58346-2022 georefererad karta.tif", "A 58346-2022")</f>
        <v/>
      </c>
      <c r="AA108">
        <f>HYPERLINK("https://klasma.github.io/Logging_0680/klagomål/A 58346-2022 FSC-klagomål.docx", "A 58346-2022")</f>
        <v/>
      </c>
      <c r="AB108">
        <f>HYPERLINK("https://klasma.github.io/Logging_0680/klagomålsmail/A 58346-2022 FSC-klagomål mail.docx", "A 58346-2022")</f>
        <v/>
      </c>
      <c r="AC108">
        <f>HYPERLINK("https://klasma.github.io/Logging_0680/tillsyn/A 58346-2022 tillsynsbegäran.docx", "A 58346-2022")</f>
        <v/>
      </c>
      <c r="AD108">
        <f>HYPERLINK("https://klasma.github.io/Logging_0680/tillsynsmail/A 58346-2022 tillsynsbegäran mail.docx", "A 58346-2022")</f>
        <v/>
      </c>
    </row>
    <row r="109" ht="15" customHeight="1">
      <c r="A109" t="inlineStr">
        <is>
          <t>A 29462-2026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46257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29462-2026 artfynd.xlsx", "A 29462-2026")</f>
        <v/>
      </c>
      <c r="X109">
        <f>HYPERLINK("https://klasma.github.io/Logging_0680/kartor/A 29462-2026 karta.png", "A 29462-2026")</f>
        <v/>
      </c>
      <c r="Y109">
        <f>HYPERLINK("https://klasma.github.io/Logging_0680/kartor_geotiff/A 29462-2026 georefererad karta.tif", "A 29462-2026")</f>
        <v/>
      </c>
      <c r="Z109">
        <f>HYPERLINK("https://klasma.github.io/Logging_0680/knärot/A 29462-2026 karta knärot.png", "A 29462-2026")</f>
        <v/>
      </c>
      <c r="AA109">
        <f>HYPERLINK("https://klasma.github.io/Logging_0680/klagomål/A 29462-2026 FSC-klagomål.docx", "A 29462-2026")</f>
        <v/>
      </c>
      <c r="AB109">
        <f>HYPERLINK("https://klasma.github.io/Logging_0680/klagomålsmail/A 29462-2026 FSC-klagomål mail.docx", "A 29462-2026")</f>
        <v/>
      </c>
      <c r="AC109">
        <f>HYPERLINK("https://klasma.github.io/Logging_0680/tillsyn/A 29462-2026 tillsynsbegäran.docx", "A 29462-2026")</f>
        <v/>
      </c>
      <c r="AD109">
        <f>HYPERLINK("https://klasma.github.io/Logging_0680/tillsynsmail/A 29462-2026 tillsynsbegäran mail.docx", "A 29462-2026")</f>
        <v/>
      </c>
    </row>
    <row r="110" ht="15" customHeight="1">
      <c r="A110" t="inlineStr">
        <is>
          <t>A 40795-2024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46257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Kattfotslav</t>
        </is>
      </c>
      <c r="W110">
        <f>HYPERLINK("https://klasma.github.io/Logging_0680/artfynd/A 40795-2024 artfynd.xlsx", "A 40795-2024")</f>
        <v/>
      </c>
      <c r="X110">
        <f>HYPERLINK("https://klasma.github.io/Logging_0680/kartor/A 40795-2024 karta.png", "A 40795-2024")</f>
        <v/>
      </c>
      <c r="Y110">
        <f>HYPERLINK("https://klasma.github.io/Logging_0680/kartor_geotiff/A 40795-2024 georefererad karta.tif", "A 40795-2024")</f>
        <v/>
      </c>
      <c r="AA110">
        <f>HYPERLINK("https://klasma.github.io/Logging_0680/klagomål/A 40795-2024 FSC-klagomål.docx", "A 40795-2024")</f>
        <v/>
      </c>
      <c r="AB110">
        <f>HYPERLINK("https://klasma.github.io/Logging_0680/klagomålsmail/A 40795-2024 FSC-klagomål mail.docx", "A 40795-2024")</f>
        <v/>
      </c>
      <c r="AC110">
        <f>HYPERLINK("https://klasma.github.io/Logging_0680/tillsyn/A 40795-2024 tillsynsbegäran.docx", "A 40795-2024")</f>
        <v/>
      </c>
      <c r="AD110">
        <f>HYPERLINK("https://klasma.github.io/Logging_0680/tillsynsmail/A 40795-2024 tillsynsbegäran mail.docx", "A 40795-2024")</f>
        <v/>
      </c>
    </row>
    <row r="111" ht="15" customHeight="1">
      <c r="A111" t="inlineStr">
        <is>
          <t>A 34046-2026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46252</v>
      </c>
      <c r="E111" s="1" t="n">
        <v>46257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HYPERLINK("https://klasma.github.io/Logging_0680/artfynd/A 34046-2026 artfynd.xlsx", "A 34046-2026")</f>
        <v/>
      </c>
      <c r="X111">
        <f>HYPERLINK("https://klasma.github.io/Logging_0680/kartor/A 34046-2026 karta.png", "A 34046-2026")</f>
        <v/>
      </c>
      <c r="Y111">
        <f>HYPERLINK("https://klasma.github.io/Logging_0680/kartor_geotiff/A 34046-2026 georefererad karta.tif", "A 34046-2026")</f>
        <v/>
      </c>
      <c r="AA111">
        <f>HYPERLINK("https://klasma.github.io/Logging_0680/klagomål/A 34046-2026 FSC-klagomål.docx", "A 34046-2026")</f>
        <v/>
      </c>
      <c r="AB111">
        <f>HYPERLINK("https://klasma.github.io/Logging_0680/klagomålsmail/A 34046-2026 FSC-klagomål mail.docx", "A 34046-2026")</f>
        <v/>
      </c>
      <c r="AC111">
        <f>HYPERLINK("https://klasma.github.io/Logging_0680/tillsyn/A 34046-2026 tillsynsbegäran.docx", "A 34046-2026")</f>
        <v/>
      </c>
      <c r="AD111">
        <f>HYPERLINK("https://klasma.github.io/Logging_0680/tillsynsmail/A 34046-2026 tillsynsbegäran mail.docx", "A 34046-2026")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46257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46257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54424-2024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46257</v>
      </c>
      <c r="F114" t="inlineStr">
        <is>
          <t>JÖNKÖPINGS LÄN</t>
        </is>
      </c>
      <c r="G114" t="inlineStr">
        <is>
          <t>JÖNKÖPING</t>
        </is>
      </c>
      <c r="I114" t="n">
        <v>6.2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54424-2024 artfynd.xlsx", "A 54424-2024")</f>
        <v/>
      </c>
      <c r="X114">
        <f>HYPERLINK("https://klasma.github.io/Logging_0680/kartor/A 54424-2024 karta.png", "A 54424-2024")</f>
        <v/>
      </c>
      <c r="Y114">
        <f>HYPERLINK("https://klasma.github.io/Logging_0680/kartor_geotiff/A 54424-2024 georefererad karta.tif", "A 54424-2024")</f>
        <v/>
      </c>
      <c r="AA114">
        <f>HYPERLINK("https://klasma.github.io/Logging_0680/klagomål/A 54424-2024 FSC-klagomål.docx", "A 54424-2024")</f>
        <v/>
      </c>
      <c r="AB114">
        <f>HYPERLINK("https://klasma.github.io/Logging_0680/klagomålsmail/A 54424-2024 FSC-klagomål mail.docx", "A 54424-2024")</f>
        <v/>
      </c>
      <c r="AC114">
        <f>HYPERLINK("https://klasma.github.io/Logging_0680/tillsyn/A 54424-2024 tillsynsbegäran.docx", "A 54424-2024")</f>
        <v/>
      </c>
      <c r="AD114">
        <f>HYPERLINK("https://klasma.github.io/Logging_0680/tillsynsmail/A 54424-2024 tillsynsbegäran mail.docx", "A 54424-2024")</f>
        <v/>
      </c>
    </row>
    <row r="115" ht="15" customHeight="1">
      <c r="A115" t="inlineStr">
        <is>
          <t>A 30718-2026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46211</v>
      </c>
      <c r="E115" s="1" t="n">
        <v>46257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11.4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Spindelblomster</t>
        </is>
      </c>
      <c r="W115">
        <f>HYPERLINK("https://klasma.github.io/Logging_0680/artfynd/A 30718-2026 artfynd.xlsx", "A 30718-2026")</f>
        <v/>
      </c>
      <c r="X115">
        <f>HYPERLINK("https://klasma.github.io/Logging_0680/kartor/A 30718-2026 karta.png", "A 30718-2026")</f>
        <v/>
      </c>
      <c r="Y115">
        <f>HYPERLINK("https://klasma.github.io/Logging_0680/kartor_geotiff/A 30718-2026 georefererad karta.tif", "A 30718-2026")</f>
        <v/>
      </c>
      <c r="AA115">
        <f>HYPERLINK("https://klasma.github.io/Logging_0680/klagomål/A 30718-2026 FSC-klagomål.docx", "A 30718-2026")</f>
        <v/>
      </c>
      <c r="AB115">
        <f>HYPERLINK("https://klasma.github.io/Logging_0680/klagomålsmail/A 30718-2026 FSC-klagomål mail.docx", "A 30718-2026")</f>
        <v/>
      </c>
      <c r="AC115">
        <f>HYPERLINK("https://klasma.github.io/Logging_0680/tillsyn/A 30718-2026 tillsynsbegäran.docx", "A 30718-2026")</f>
        <v/>
      </c>
      <c r="AD115">
        <f>HYPERLINK("https://klasma.github.io/Logging_0680/tillsynsmail/A 30718-2026 tillsynsbegäran mail.docx", "A 30718-2026")</f>
        <v/>
      </c>
    </row>
    <row r="116" ht="15" customHeight="1">
      <c r="A116" t="inlineStr">
        <is>
          <t>A 47040-2023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46257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HYPERLINK("https://klasma.github.io/Logging_0680/artfynd/A 47040-2023 artfynd.xlsx", "A 47040-2023")</f>
        <v/>
      </c>
      <c r="X116">
        <f>HYPERLINK("https://klasma.github.io/Logging_0680/kartor/A 47040-2023 karta.png", "A 47040-2023")</f>
        <v/>
      </c>
      <c r="Y116">
        <f>HYPERLINK("https://klasma.github.io/Logging_0680/kartor_geotiff/A 47040-2023 georefererad karta.tif", "A 47040-2023")</f>
        <v/>
      </c>
      <c r="AA116">
        <f>HYPERLINK("https://klasma.github.io/Logging_0680/klagomål/A 47040-2023 FSC-klagomål.docx", "A 47040-2023")</f>
        <v/>
      </c>
      <c r="AB116">
        <f>HYPERLINK("https://klasma.github.io/Logging_0680/klagomålsmail/A 47040-2023 FSC-klagomål mail.docx", "A 47040-2023")</f>
        <v/>
      </c>
      <c r="AC116">
        <f>HYPERLINK("https://klasma.github.io/Logging_0680/tillsyn/A 47040-2023 tillsynsbegäran.docx", "A 47040-2023")</f>
        <v/>
      </c>
      <c r="AD116">
        <f>HYPERLINK("https://klasma.github.io/Logging_0680/tillsynsmail/A 47040-2023 tillsynsbegäran mail.docx", "A 47040-2023")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46257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23234-2026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46257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Klasefibbla</t>
        </is>
      </c>
      <c r="W118">
        <f>HYPERLINK("https://klasma.github.io/Logging_0680/artfynd/A 23234-2026 artfynd.xlsx", "A 23234-2026")</f>
        <v/>
      </c>
      <c r="X118">
        <f>HYPERLINK("https://klasma.github.io/Logging_0680/kartor/A 23234-2026 karta.png", "A 23234-2026")</f>
        <v/>
      </c>
      <c r="Y118">
        <f>HYPERLINK("https://klasma.github.io/Logging_0680/kartor_geotiff/A 23234-2026 georefererad karta.tif", "A 23234-2026")</f>
        <v/>
      </c>
      <c r="AA118">
        <f>HYPERLINK("https://klasma.github.io/Logging_0680/klagomål/A 23234-2026 FSC-klagomål.docx", "A 23234-2026")</f>
        <v/>
      </c>
      <c r="AB118">
        <f>HYPERLINK("https://klasma.github.io/Logging_0680/klagomålsmail/A 23234-2026 FSC-klagomål mail.docx", "A 23234-2026")</f>
        <v/>
      </c>
      <c r="AC118">
        <f>HYPERLINK("https://klasma.github.io/Logging_0680/tillsyn/A 23234-2026 tillsynsbegäran.docx", "A 23234-2026")</f>
        <v/>
      </c>
      <c r="AD118">
        <f>HYPERLINK("https://klasma.github.io/Logging_0680/tillsynsmail/A 23234-2026 tillsynsbegäran mail.docx", "A 23234-2026")</f>
        <v/>
      </c>
    </row>
    <row r="119" ht="15" customHeight="1">
      <c r="A119" t="inlineStr">
        <is>
          <t>A 23260-2026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46257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23260-2026 artfynd.xlsx", "A 23260-2026")</f>
        <v/>
      </c>
      <c r="X119">
        <f>HYPERLINK("https://klasma.github.io/Logging_0680/kartor/A 23260-2026 karta.png", "A 23260-2026")</f>
        <v/>
      </c>
      <c r="Y119">
        <f>HYPERLINK("https://klasma.github.io/Logging_0680/kartor_geotiff/A 23260-2026 georefererad karta.tif", "A 23260-2026")</f>
        <v/>
      </c>
      <c r="AA119">
        <f>HYPERLINK("https://klasma.github.io/Logging_0680/klagomål/A 23260-2026 FSC-klagomål.docx", "A 23260-2026")</f>
        <v/>
      </c>
      <c r="AB119">
        <f>HYPERLINK("https://klasma.github.io/Logging_0680/klagomålsmail/A 23260-2026 FSC-klagomål mail.docx", "A 23260-2026")</f>
        <v/>
      </c>
      <c r="AC119">
        <f>HYPERLINK("https://klasma.github.io/Logging_0680/tillsyn/A 23260-2026 tillsynsbegäran.docx", "A 23260-2026")</f>
        <v/>
      </c>
      <c r="AD119">
        <f>HYPERLINK("https://klasma.github.io/Logging_0680/tillsynsmail/A 23260-2026 tillsynsbegäran mail.docx", "A 23260-2026")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46257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Gaffelglim</t>
        </is>
      </c>
      <c r="W120">
        <f>HYPERLINK("https://klasma.github.io/Logging_0680/artfynd/A 14221-2025 artfynd.xlsx", "A 14221-2025")</f>
        <v/>
      </c>
      <c r="X120">
        <f>HYPERLINK("https://klasma.github.io/Logging_0680/kartor/A 14221-2025 karta.png", "A 14221-2025")</f>
        <v/>
      </c>
      <c r="Y120">
        <f>HYPERLINK("https://klasma.github.io/Logging_0680/kartor_geotiff/A 14221-2025 georefererad karta.tif", "A 14221-2025")</f>
        <v/>
      </c>
      <c r="AA120">
        <f>HYPERLINK("https://klasma.github.io/Logging_0680/klagomål/A 14221-2025 FSC-klagomål.docx", "A 14221-2025")</f>
        <v/>
      </c>
      <c r="AB120">
        <f>HYPERLINK("https://klasma.github.io/Logging_0680/klagomålsmail/A 14221-2025 FSC-klagomål mail.docx", "A 14221-2025")</f>
        <v/>
      </c>
      <c r="AC120">
        <f>HYPERLINK("https://klasma.github.io/Logging_0680/tillsyn/A 14221-2025 tillsynsbegäran.docx", "A 14221-2025")</f>
        <v/>
      </c>
      <c r="AD120">
        <f>HYPERLINK("https://klasma.github.io/Logging_0680/tillsynsmail/A 14221-2025 tillsynsbegäran mail.docx", "A 14221-2025")</f>
        <v/>
      </c>
    </row>
    <row r="121" ht="15" customHeight="1">
      <c r="A121" t="inlineStr">
        <is>
          <t>S 1134-2024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45393</v>
      </c>
      <c r="E121" s="1" t="n">
        <v>46257</v>
      </c>
      <c r="F121" t="inlineStr">
        <is>
          <t>JÖNKÖPINGS LÄN</t>
        </is>
      </c>
      <c r="G121" t="inlineStr">
        <is>
          <t>JÖNKÖPING</t>
        </is>
      </c>
      <c r="I121" t="n">
        <v>70.5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Ask</t>
        </is>
      </c>
      <c r="W121">
        <f>HYPERLINK("https://klasma.github.io/Logging_0680/artfynd/S 1134-2024 artfynd.xlsx", "S 1134-2024")</f>
        <v/>
      </c>
      <c r="X121">
        <f>HYPERLINK("https://klasma.github.io/Logging_0680/kartor/S 1134-2024 karta.png", "S 1134-2024")</f>
        <v/>
      </c>
      <c r="Y121">
        <f>HYPERLINK("https://klasma.github.io/Logging_0680/kartor_geotiff/S 1134-2024 georefererad karta.tif", "S 1134-2024")</f>
        <v/>
      </c>
      <c r="AA121">
        <f>HYPERLINK("https://klasma.github.io/Logging_0680/klagomål/S 1134-2024 FSC-klagomål.docx", "S 1134-2024")</f>
        <v/>
      </c>
      <c r="AB121">
        <f>HYPERLINK("https://klasma.github.io/Logging_0680/klagomålsmail/S 1134-2024 FSC-klagomål mail.docx", "S 1134-2024")</f>
        <v/>
      </c>
      <c r="AC121">
        <f>HYPERLINK("https://klasma.github.io/Logging_0680/tillsyn/S 1134-2024 tillsynsbegäran.docx", "S 1134-2024")</f>
        <v/>
      </c>
      <c r="AD121">
        <f>HYPERLINK("https://klasma.github.io/Logging_0680/tillsynsmail/S 1134-2024 tillsynsbegäran mail.docx", "S 1134-2024")</f>
        <v/>
      </c>
    </row>
    <row r="122" ht="15" customHeight="1">
      <c r="A122" t="inlineStr">
        <is>
          <t>S 273-2023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44955</v>
      </c>
      <c r="E122" s="1" t="n">
        <v>46257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26.3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Hållav</t>
        </is>
      </c>
      <c r="W122">
        <f>HYPERLINK("https://klasma.github.io/Logging_0680/artfynd/S 273-2023 artfynd.xlsx", "S 273-2023")</f>
        <v/>
      </c>
      <c r="X122">
        <f>HYPERLINK("https://klasma.github.io/Logging_0680/kartor/S 273-2023 karta.png", "S 273-2023")</f>
        <v/>
      </c>
      <c r="Y122">
        <f>HYPERLINK("https://klasma.github.io/Logging_0680/kartor_geotiff/S 273-2023 georefererad karta.tif", "S 273-2023")</f>
        <v/>
      </c>
      <c r="AA122">
        <f>HYPERLINK("https://klasma.github.io/Logging_0680/klagomål/S 273-2023 FSC-klagomål.docx", "S 273-2023")</f>
        <v/>
      </c>
      <c r="AB122">
        <f>HYPERLINK("https://klasma.github.io/Logging_0680/klagomålsmail/S 273-2023 FSC-klagomål mail.docx", "S 273-2023")</f>
        <v/>
      </c>
      <c r="AC122">
        <f>HYPERLINK("https://klasma.github.io/Logging_0680/tillsyn/S 273-2023 tillsynsbegäran.docx", "S 273-2023")</f>
        <v/>
      </c>
      <c r="AD122">
        <f>HYPERLINK("https://klasma.github.io/Logging_0680/tillsynsmail/S 273-2023 tillsynsbegäran mail.docx", "S 273-2023")</f>
        <v/>
      </c>
    </row>
    <row r="123" ht="15" customHeight="1">
      <c r="A123" t="inlineStr">
        <is>
          <t>S 1266-2023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45029</v>
      </c>
      <c r="E123" s="1" t="n">
        <v>46257</v>
      </c>
      <c r="F123" t="inlineStr">
        <is>
          <t>JÖNKÖPINGS LÄN</t>
        </is>
      </c>
      <c r="G123" t="inlineStr">
        <is>
          <t>JÖNKÖPING</t>
        </is>
      </c>
      <c r="I123" t="n">
        <v>16.7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Grönsångare</t>
        </is>
      </c>
      <c r="W123">
        <f>HYPERLINK("https://klasma.github.io/Logging_0680/artfynd/S 1266-2023 artfynd.xlsx", "S 1266-2023")</f>
        <v/>
      </c>
      <c r="X123">
        <f>HYPERLINK("https://klasma.github.io/Logging_0680/kartor/S 1266-2023 karta.png", "S 1266-2023")</f>
        <v/>
      </c>
      <c r="Y123">
        <f>HYPERLINK("https://klasma.github.io/Logging_0680/kartor_geotiff/S 1266-2023 georefererad karta.tif", "S 1266-2023")</f>
        <v/>
      </c>
      <c r="AA123">
        <f>HYPERLINK("https://klasma.github.io/Logging_0680/klagomål/S 1266-2023 FSC-klagomål.docx", "S 1266-2023")</f>
        <v/>
      </c>
      <c r="AB123">
        <f>HYPERLINK("https://klasma.github.io/Logging_0680/klagomålsmail/S 1266-2023 FSC-klagomål mail.docx", "S 1266-2023")</f>
        <v/>
      </c>
      <c r="AC123">
        <f>HYPERLINK("https://klasma.github.io/Logging_0680/tillsyn/S 1266-2023 tillsynsbegäran.docx", "S 1266-2023")</f>
        <v/>
      </c>
      <c r="AD123">
        <f>HYPERLINK("https://klasma.github.io/Logging_0680/tillsynsmail/S 1266-2023 tillsynsbegäran mail.docx", "S 1266-2023")</f>
        <v/>
      </c>
      <c r="AE123">
        <f>HYPERLINK("https://klasma.github.io/Logging_0680/fåglar/S 1266-2023 prioriterade fågelarter.docx", "S 1266-2023")</f>
        <v/>
      </c>
    </row>
    <row r="124" ht="15" customHeight="1">
      <c r="A124" t="inlineStr">
        <is>
          <t>S 2902-2022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44711</v>
      </c>
      <c r="E124" s="1" t="n">
        <v>46257</v>
      </c>
      <c r="F124" t="inlineStr">
        <is>
          <t>JÖNKÖPINGS LÄN</t>
        </is>
      </c>
      <c r="G124" t="inlineStr">
        <is>
          <t>JÖNKÖPING</t>
        </is>
      </c>
      <c r="I124" t="n">
        <v>38.4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HYPERLINK("https://klasma.github.io/Logging_0680/artfynd/S 2902-2022 artfynd.xlsx", "S 2902-2022")</f>
        <v/>
      </c>
      <c r="X124">
        <f>HYPERLINK("https://klasma.github.io/Logging_0680/kartor/S 2902-2022 karta.png", "S 2902-2022")</f>
        <v/>
      </c>
      <c r="Y124">
        <f>HYPERLINK("https://klasma.github.io/Logging_0680/kartor_geotiff/S 2902-2022 georefererad karta.tif", "S 2902-2022")</f>
        <v/>
      </c>
      <c r="AA124">
        <f>HYPERLINK("https://klasma.github.io/Logging_0680/klagomål/S 2902-2022 FSC-klagomål.docx", "S 2902-2022")</f>
        <v/>
      </c>
      <c r="AB124">
        <f>HYPERLINK("https://klasma.github.io/Logging_0680/klagomålsmail/S 2902-2022 FSC-klagomål mail.docx", "S 2902-2022")</f>
        <v/>
      </c>
      <c r="AC124">
        <f>HYPERLINK("https://klasma.github.io/Logging_0680/tillsyn/S 2902-2022 tillsynsbegäran.docx", "S 2902-2022")</f>
        <v/>
      </c>
      <c r="AD124">
        <f>HYPERLINK("https://klasma.github.io/Logging_0680/tillsynsmail/S 2902-2022 tillsynsbegäran mail.docx", "S 2902-2022")</f>
        <v/>
      </c>
    </row>
    <row r="125" ht="15" customHeight="1">
      <c r="A125" t="inlineStr">
        <is>
          <t>S 1317-2022</t>
        </is>
      </c>
      <c r="B125" t="inlineStr">
        <is>
          <t>samrådsanmälan</t>
        </is>
      </c>
      <c r="C125" t="inlineStr">
        <is>
          <t>Åtgärd i nyckelbiotop</t>
        </is>
      </c>
      <c r="D125" s="1" t="n">
        <v>44628</v>
      </c>
      <c r="E125" s="1" t="n">
        <v>46257</v>
      </c>
      <c r="F125" t="inlineStr">
        <is>
          <t>JÖNKÖPINGS LÄN</t>
        </is>
      </c>
      <c r="G125" t="inlineStr">
        <is>
          <t>JÖNKÖPING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0</v>
      </c>
      <c r="V125" s="2" t="inlineStr">
        <is>
          <t>Ask</t>
        </is>
      </c>
      <c r="W125">
        <f>HYPERLINK("https://klasma.github.io/Logging_0680/artfynd/S 1317-2022 artfynd.xlsx", "S 1317-2022")</f>
        <v/>
      </c>
      <c r="X125">
        <f>HYPERLINK("https://klasma.github.io/Logging_0680/kartor/S 1317-2022 karta.png", "S 1317-2022")</f>
        <v/>
      </c>
      <c r="Y125">
        <f>HYPERLINK("https://klasma.github.io/Logging_0680/kartor_geotiff/S 1317-2022 georefererad karta.tif", "S 1317-2022")</f>
        <v/>
      </c>
      <c r="AA125">
        <f>HYPERLINK("https://klasma.github.io/Logging_0680/klagomål/S 1317-2022 FSC-klagomål.docx", "S 1317-2022")</f>
        <v/>
      </c>
      <c r="AB125">
        <f>HYPERLINK("https://klasma.github.io/Logging_0680/klagomålsmail/S 1317-2022 FSC-klagomål mail.docx", "S 1317-2022")</f>
        <v/>
      </c>
      <c r="AC125">
        <f>HYPERLINK("https://klasma.github.io/Logging_0680/tillsyn/S 1317-2022 tillsynsbegäran.docx", "S 1317-2022")</f>
        <v/>
      </c>
      <c r="AD125">
        <f>HYPERLINK("https://klasma.github.io/Logging_0680/tillsynsmail/S 1317-2022 tillsynsbegäran mail.docx", "S 1317-2022")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46257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46257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46257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46257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46257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46257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46257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46257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46257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46257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46257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46257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46257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46257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46257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46257</v>
      </c>
      <c r="F141" t="inlineStr">
        <is>
          <t>JÖNKÖPINGS LÄN</t>
        </is>
      </c>
      <c r="G141" t="inlineStr">
        <is>
          <t>JÖNKÖPING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46257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46257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70965-2021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46257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46257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46257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46257</v>
      </c>
      <c r="F147" t="inlineStr">
        <is>
          <t>JÖNKÖPINGS LÄN</t>
        </is>
      </c>
      <c r="G147" t="inlineStr">
        <is>
          <t>JÖNKÖPING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46257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46257</v>
      </c>
      <c r="F149" t="inlineStr">
        <is>
          <t>JÖNKÖPINGS LÄN</t>
        </is>
      </c>
      <c r="G149" t="inlineStr">
        <is>
          <t>JÖNKÖPING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46257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46257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46257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46257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46257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46257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46257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46257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46257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46257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46257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46257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46257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46257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46257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46257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46257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46257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46257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46257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46257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46257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46257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46257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46257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46257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46257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46257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46257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46257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46257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46257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46257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46257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46257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46257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46257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46257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46257</v>
      </c>
      <c r="F188" t="inlineStr">
        <is>
          <t>JÖNKÖPINGS LÄN</t>
        </is>
      </c>
      <c r="G188" t="inlineStr">
        <is>
          <t>JÖNKÖPING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46257</v>
      </c>
      <c r="F189" t="inlineStr">
        <is>
          <t>JÖNKÖPINGS LÄN</t>
        </is>
      </c>
      <c r="G189" t="inlineStr">
        <is>
          <t>JÖNKÖPING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46257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46257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46257</v>
      </c>
      <c r="F192" t="inlineStr">
        <is>
          <t>JÖNKÖPINGS LÄN</t>
        </is>
      </c>
      <c r="G192" t="inlineStr">
        <is>
          <t>JÖNKÖPING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46257</v>
      </c>
      <c r="F193" t="inlineStr">
        <is>
          <t>JÖNKÖPINGS LÄN</t>
        </is>
      </c>
      <c r="G193" t="inlineStr">
        <is>
          <t>JÖNKÖPING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45735</v>
      </c>
      <c r="E194" s="1" t="n">
        <v>46257</v>
      </c>
      <c r="F194" t="inlineStr">
        <is>
          <t>JÖNKÖPINGS LÄN</t>
        </is>
      </c>
      <c r="G194" t="inlineStr">
        <is>
          <t>JÖNKÖPING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46257</v>
      </c>
      <c r="F195" t="inlineStr">
        <is>
          <t>JÖNKÖPINGS LÄN</t>
        </is>
      </c>
      <c r="G195" t="inlineStr">
        <is>
          <t>JÖNKÖPING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46257</v>
      </c>
      <c r="F196" t="inlineStr">
        <is>
          <t>JÖNKÖPINGS LÄN</t>
        </is>
      </c>
      <c r="G196" t="inlineStr">
        <is>
          <t>JÖNKÖPING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46257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44867</v>
      </c>
      <c r="E198" s="1" t="n">
        <v>46257</v>
      </c>
      <c r="F198" t="inlineStr">
        <is>
          <t>JÖNKÖPINGS LÄN</t>
        </is>
      </c>
      <c r="G198" t="inlineStr">
        <is>
          <t>JÖNKÖPING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46257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44992</v>
      </c>
      <c r="E200" s="1" t="n">
        <v>46257</v>
      </c>
      <c r="F200" t="inlineStr">
        <is>
          <t>JÖNKÖPINGS LÄN</t>
        </is>
      </c>
      <c r="G200" t="inlineStr">
        <is>
          <t>JÖNKÖPING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46257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46257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46257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38901-2025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45887</v>
      </c>
      <c r="E204" s="1" t="n">
        <v>46257</v>
      </c>
      <c r="F204" t="inlineStr">
        <is>
          <t>JÖNKÖPINGS LÄN</t>
        </is>
      </c>
      <c r="G204" t="inlineStr">
        <is>
          <t>JÖNKÖPING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46257</v>
      </c>
      <c r="F205" t="inlineStr">
        <is>
          <t>JÖNKÖPINGS LÄN</t>
        </is>
      </c>
      <c r="G205" t="inlineStr">
        <is>
          <t>JÖNKÖPING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45806</v>
      </c>
      <c r="E206" s="1" t="n">
        <v>46257</v>
      </c>
      <c r="F206" t="inlineStr">
        <is>
          <t>JÖNKÖPINGS LÄN</t>
        </is>
      </c>
      <c r="G206" t="inlineStr">
        <is>
          <t>JÖNKÖPING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46257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45597</v>
      </c>
      <c r="E208" s="1" t="n">
        <v>46257</v>
      </c>
      <c r="F208" t="inlineStr">
        <is>
          <t>JÖNKÖPINGS LÄN</t>
        </is>
      </c>
      <c r="G208" t="inlineStr">
        <is>
          <t>JÖNKÖPING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46257</v>
      </c>
      <c r="F209" t="inlineStr">
        <is>
          <t>JÖNKÖPINGS LÄN</t>
        </is>
      </c>
      <c r="G209" t="inlineStr">
        <is>
          <t>JÖNKÖPING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46257</v>
      </c>
      <c r="F210" t="inlineStr">
        <is>
          <t>JÖNKÖPINGS LÄN</t>
        </is>
      </c>
      <c r="G210" t="inlineStr">
        <is>
          <t>JÖNKÖPING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45260</v>
      </c>
      <c r="E211" s="1" t="n">
        <v>46257</v>
      </c>
      <c r="F211" t="inlineStr">
        <is>
          <t>JÖNKÖPINGS LÄN</t>
        </is>
      </c>
      <c r="G211" t="inlineStr">
        <is>
          <t>JÖNKÖPING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44729</v>
      </c>
      <c r="E212" s="1" t="n">
        <v>46257</v>
      </c>
      <c r="F212" t="inlineStr">
        <is>
          <t>JÖNKÖPINGS LÄN</t>
        </is>
      </c>
      <c r="G212" t="inlineStr">
        <is>
          <t>JÖNKÖPING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45008</v>
      </c>
      <c r="E213" s="1" t="n">
        <v>46257</v>
      </c>
      <c r="F213" t="inlineStr">
        <is>
          <t>JÖNKÖPINGS LÄN</t>
        </is>
      </c>
      <c r="G213" t="inlineStr">
        <is>
          <t>JÖNKÖPING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46257</v>
      </c>
      <c r="F214" t="inlineStr">
        <is>
          <t>JÖNKÖPINGS LÄN</t>
        </is>
      </c>
      <c r="G214" t="inlineStr">
        <is>
          <t>JÖNKÖPING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46257</v>
      </c>
      <c r="F215" t="inlineStr">
        <is>
          <t>JÖNKÖPINGS LÄN</t>
        </is>
      </c>
      <c r="G215" t="inlineStr">
        <is>
          <t>JÖNKÖPING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45124</v>
      </c>
      <c r="E216" s="1" t="n">
        <v>46257</v>
      </c>
      <c r="F216" t="inlineStr">
        <is>
          <t>JÖNKÖPINGS LÄN</t>
        </is>
      </c>
      <c r="G216" t="inlineStr">
        <is>
          <t>JÖNKÖPING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36861-2022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44805</v>
      </c>
      <c r="E217" s="1" t="n">
        <v>46257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46257</v>
      </c>
      <c r="F218" t="inlineStr">
        <is>
          <t>JÖNKÖPINGS LÄN</t>
        </is>
      </c>
      <c r="G218" t="inlineStr">
        <is>
          <t>JÖNKÖPING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45759</v>
      </c>
      <c r="E219" s="1" t="n">
        <v>46257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45051</v>
      </c>
      <c r="E220" s="1" t="n">
        <v>46257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46257</v>
      </c>
      <c r="F221" t="inlineStr">
        <is>
          <t>JÖNKÖPINGS LÄN</t>
        </is>
      </c>
      <c r="G221" t="inlineStr">
        <is>
          <t>JÖNKÖPING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46257</v>
      </c>
      <c r="F222" t="inlineStr">
        <is>
          <t>JÖNKÖPINGS LÄN</t>
        </is>
      </c>
      <c r="G222" t="inlineStr">
        <is>
          <t>JÖNKÖPING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57930-2021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44487</v>
      </c>
      <c r="E223" s="1" t="n">
        <v>46257</v>
      </c>
      <c r="F223" t="inlineStr">
        <is>
          <t>JÖNKÖPINGS LÄN</t>
        </is>
      </c>
      <c r="G223" t="inlineStr">
        <is>
          <t>JÖNKÖPING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47314-2022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44853</v>
      </c>
      <c r="E224" s="1" t="n">
        <v>46257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Kyrkan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46257</v>
      </c>
      <c r="F225" t="inlineStr">
        <is>
          <t>JÖNKÖPINGS LÄN</t>
        </is>
      </c>
      <c r="G225" t="inlineStr">
        <is>
          <t>JÖNKÖPING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44631</v>
      </c>
      <c r="E226" s="1" t="n">
        <v>46257</v>
      </c>
      <c r="F226" t="inlineStr">
        <is>
          <t>JÖNKÖPINGS LÄN</t>
        </is>
      </c>
      <c r="G226" t="inlineStr">
        <is>
          <t>JÖNKÖPING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45552</v>
      </c>
      <c r="E227" s="1" t="n">
        <v>46257</v>
      </c>
      <c r="F227" t="inlineStr">
        <is>
          <t>JÖNKÖPINGS LÄN</t>
        </is>
      </c>
      <c r="G227" t="inlineStr">
        <is>
          <t>JÖNKÖPING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20388-2024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45435</v>
      </c>
      <c r="E228" s="1" t="n">
        <v>46257</v>
      </c>
      <c r="F228" t="inlineStr">
        <is>
          <t>JÖNKÖPINGS LÄN</t>
        </is>
      </c>
      <c r="G228" t="inlineStr">
        <is>
          <t>JÖNKÖPING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45892</v>
      </c>
      <c r="E229" s="1" t="n">
        <v>46257</v>
      </c>
      <c r="F229" t="inlineStr">
        <is>
          <t>JÖNKÖPINGS LÄN</t>
        </is>
      </c>
      <c r="G229" t="inlineStr">
        <is>
          <t>JÖNKÖPING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45892</v>
      </c>
      <c r="E230" s="1" t="n">
        <v>46257</v>
      </c>
      <c r="F230" t="inlineStr">
        <is>
          <t>JÖNKÖPINGS LÄN</t>
        </is>
      </c>
      <c r="G230" t="inlineStr">
        <is>
          <t>JÖNKÖPING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45892</v>
      </c>
      <c r="E231" s="1" t="n">
        <v>46257</v>
      </c>
      <c r="F231" t="inlineStr">
        <is>
          <t>JÖNKÖPINGS LÄN</t>
        </is>
      </c>
      <c r="G231" t="inlineStr">
        <is>
          <t>JÖNKÖPING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46257</v>
      </c>
      <c r="F232" t="inlineStr">
        <is>
          <t>JÖNKÖPINGS LÄN</t>
        </is>
      </c>
      <c r="G232" t="inlineStr">
        <is>
          <t>JÖNKÖPING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46257</v>
      </c>
      <c r="F233" t="inlineStr">
        <is>
          <t>JÖNKÖPINGS LÄN</t>
        </is>
      </c>
      <c r="G233" t="inlineStr">
        <is>
          <t>JÖNKÖPING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46257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46257</v>
      </c>
      <c r="F235" t="inlineStr">
        <is>
          <t>JÖNKÖPINGS LÄN</t>
        </is>
      </c>
      <c r="G235" t="inlineStr">
        <is>
          <t>JÖNKÖPING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46257</v>
      </c>
      <c r="F236" t="inlineStr">
        <is>
          <t>JÖNKÖPINGS LÄN</t>
        </is>
      </c>
      <c r="G236" t="inlineStr">
        <is>
          <t>JÖNKÖPING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46257</v>
      </c>
      <c r="F237" t="inlineStr">
        <is>
          <t>JÖNKÖPINGS LÄN</t>
        </is>
      </c>
      <c r="G237" t="inlineStr">
        <is>
          <t>JÖNKÖPING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46257</v>
      </c>
      <c r="F238" t="inlineStr">
        <is>
          <t>JÖNKÖPINGS LÄN</t>
        </is>
      </c>
      <c r="G238" t="inlineStr">
        <is>
          <t>JÖNKÖPING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46257</v>
      </c>
      <c r="F239" t="inlineStr">
        <is>
          <t>JÖNKÖPINGS LÄN</t>
        </is>
      </c>
      <c r="G239" t="inlineStr">
        <is>
          <t>JÖNKÖPING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21935-2022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44711</v>
      </c>
      <c r="E240" s="1" t="n">
        <v>46257</v>
      </c>
      <c r="F240" t="inlineStr">
        <is>
          <t>JÖNKÖPINGS LÄN</t>
        </is>
      </c>
      <c r="G240" t="inlineStr">
        <is>
          <t>JÖNKÖPING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46257</v>
      </c>
      <c r="F241" t="inlineStr">
        <is>
          <t>JÖNKÖPINGS LÄN</t>
        </is>
      </c>
      <c r="G241" t="inlineStr">
        <is>
          <t>JÖNKÖPING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41116-2025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46257</v>
      </c>
      <c r="F242" t="inlineStr">
        <is>
          <t>JÖNKÖPINGS LÄN</t>
        </is>
      </c>
      <c r="G242" t="inlineStr">
        <is>
          <t>JÖNKÖPING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46257</v>
      </c>
      <c r="F243" t="inlineStr">
        <is>
          <t>JÖNKÖPINGS LÄN</t>
        </is>
      </c>
      <c r="G243" t="inlineStr">
        <is>
          <t>JÖNKÖPING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46257</v>
      </c>
      <c r="F244" t="inlineStr">
        <is>
          <t>JÖNKÖPINGS LÄN</t>
        </is>
      </c>
      <c r="G244" t="inlineStr">
        <is>
          <t>JÖNKÖPING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46257</v>
      </c>
      <c r="F245" t="inlineStr">
        <is>
          <t>JÖNKÖPINGS LÄN</t>
        </is>
      </c>
      <c r="G245" t="inlineStr">
        <is>
          <t>JÖNKÖPING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46257</v>
      </c>
      <c r="F246" t="inlineStr">
        <is>
          <t>JÖNKÖPINGS LÄN</t>
        </is>
      </c>
      <c r="G246" t="inlineStr">
        <is>
          <t>JÖNKÖPING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45764</v>
      </c>
      <c r="E247" s="1" t="n">
        <v>46257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46257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46257</v>
      </c>
      <c r="F249" t="inlineStr">
        <is>
          <t>JÖNKÖPINGS LÄN</t>
        </is>
      </c>
      <c r="G249" t="inlineStr">
        <is>
          <t>JÖNKÖPING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46257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45300</v>
      </c>
      <c r="E251" s="1" t="n">
        <v>46257</v>
      </c>
      <c r="F251" t="inlineStr">
        <is>
          <t>JÖNKÖPINGS LÄN</t>
        </is>
      </c>
      <c r="G251" t="inlineStr">
        <is>
          <t>JÖNKÖPING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45697</v>
      </c>
      <c r="E252" s="1" t="n">
        <v>46257</v>
      </c>
      <c r="F252" t="inlineStr">
        <is>
          <t>JÖNKÖPINGS LÄN</t>
        </is>
      </c>
      <c r="G252" t="inlineStr">
        <is>
          <t>JÖNKÖPING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46257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46257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46257</v>
      </c>
      <c r="F255" t="inlineStr">
        <is>
          <t>JÖNKÖPINGS LÄN</t>
        </is>
      </c>
      <c r="G255" t="inlineStr">
        <is>
          <t>JÖNKÖPING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46257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46257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46257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46257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46257</v>
      </c>
      <c r="F260" t="inlineStr">
        <is>
          <t>JÖNKÖPINGS LÄN</t>
        </is>
      </c>
      <c r="G260" t="inlineStr">
        <is>
          <t>JÖNKÖPING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46257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45693</v>
      </c>
      <c r="E262" s="1" t="n">
        <v>46257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44589</v>
      </c>
      <c r="E263" s="1" t="n">
        <v>46257</v>
      </c>
      <c r="F263" t="inlineStr">
        <is>
          <t>JÖNKÖPINGS LÄN</t>
        </is>
      </c>
      <c r="G263" t="inlineStr">
        <is>
          <t>JÖNKÖPING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46257</v>
      </c>
      <c r="F264" t="inlineStr">
        <is>
          <t>JÖNKÖPINGS LÄN</t>
        </is>
      </c>
      <c r="G264" t="inlineStr">
        <is>
          <t>JÖNKÖPING</t>
        </is>
      </c>
      <c r="I264" t="n">
        <v>11.9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45145</v>
      </c>
      <c r="E265" s="1" t="n">
        <v>46257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44659</v>
      </c>
      <c r="E266" s="1" t="n">
        <v>46257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45111</v>
      </c>
      <c r="E267" s="1" t="n">
        <v>46257</v>
      </c>
      <c r="F267" t="inlineStr">
        <is>
          <t>JÖNKÖPINGS LÄN</t>
        </is>
      </c>
      <c r="G267" t="inlineStr">
        <is>
          <t>JÖNKÖPING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44628</v>
      </c>
      <c r="E268" s="1" t="n">
        <v>46257</v>
      </c>
      <c r="F268" t="inlineStr">
        <is>
          <t>JÖNKÖPINGS LÄN</t>
        </is>
      </c>
      <c r="G268" t="inlineStr">
        <is>
          <t>JÖNKÖPING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45455</v>
      </c>
      <c r="E269" s="1" t="n">
        <v>46257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44889</v>
      </c>
      <c r="E270" s="1" t="n">
        <v>46257</v>
      </c>
      <c r="F270" t="inlineStr">
        <is>
          <t>JÖNKÖPINGS LÄN</t>
        </is>
      </c>
      <c r="G270" t="inlineStr">
        <is>
          <t>JÖNKÖPING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46257</v>
      </c>
      <c r="F271" t="inlineStr">
        <is>
          <t>JÖNKÖPINGS LÄN</t>
        </is>
      </c>
      <c r="G271" t="inlineStr">
        <is>
          <t>JÖNKÖPING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46257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46257</v>
      </c>
      <c r="F273" t="inlineStr">
        <is>
          <t>JÖNKÖPINGS LÄN</t>
        </is>
      </c>
      <c r="G273" t="inlineStr">
        <is>
          <t>JÖNKÖPING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46257</v>
      </c>
      <c r="F274" t="inlineStr">
        <is>
          <t>JÖNKÖPINGS LÄN</t>
        </is>
      </c>
      <c r="G274" t="inlineStr">
        <is>
          <t>JÖNKÖPING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45471</v>
      </c>
      <c r="E275" s="1" t="n">
        <v>46257</v>
      </c>
      <c r="F275" t="inlineStr">
        <is>
          <t>JÖNKÖPINGS LÄN</t>
        </is>
      </c>
      <c r="G275" t="inlineStr">
        <is>
          <t>JÖNKÖPING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46257</v>
      </c>
      <c r="F276" t="inlineStr">
        <is>
          <t>JÖNKÖPINGS LÄN</t>
        </is>
      </c>
      <c r="G276" t="inlineStr">
        <is>
          <t>JÖNKÖPING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45307</v>
      </c>
      <c r="E277" s="1" t="n">
        <v>46257</v>
      </c>
      <c r="F277" t="inlineStr">
        <is>
          <t>JÖNKÖPINGS LÄN</t>
        </is>
      </c>
      <c r="G277" t="inlineStr">
        <is>
          <t>JÖNKÖPING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46257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46257</v>
      </c>
      <c r="F279" t="inlineStr">
        <is>
          <t>JÖNKÖPINGS LÄN</t>
        </is>
      </c>
      <c r="G279" t="inlineStr">
        <is>
          <t>JÖNKÖPING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46257</v>
      </c>
      <c r="F280" t="inlineStr">
        <is>
          <t>JÖNKÖPINGS LÄN</t>
        </is>
      </c>
      <c r="G280" t="inlineStr">
        <is>
          <t>JÖNKÖPING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46257</v>
      </c>
      <c r="F281" t="inlineStr">
        <is>
          <t>JÖNKÖPINGS LÄN</t>
        </is>
      </c>
      <c r="G281" t="inlineStr">
        <is>
          <t>JÖNKÖPING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46257</v>
      </c>
      <c r="F282" t="inlineStr">
        <is>
          <t>JÖNKÖPINGS LÄN</t>
        </is>
      </c>
      <c r="G282" t="inlineStr">
        <is>
          <t>JÖNKÖPING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8809-2024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45356</v>
      </c>
      <c r="E283" s="1" t="n">
        <v>46257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46257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Övriga Aktiebolag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46257</v>
      </c>
      <c r="F285" t="inlineStr">
        <is>
          <t>JÖNKÖPINGS LÄN</t>
        </is>
      </c>
      <c r="G285" t="inlineStr">
        <is>
          <t>JÖNKÖPING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42634-2023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46257</v>
      </c>
      <c r="F286" t="inlineStr">
        <is>
          <t>JÖNKÖPINGS LÄN</t>
        </is>
      </c>
      <c r="G286" t="inlineStr">
        <is>
          <t>JÖNKÖPING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46257</v>
      </c>
      <c r="F287" t="inlineStr">
        <is>
          <t>JÖNKÖPINGS LÄN</t>
        </is>
      </c>
      <c r="G287" t="inlineStr">
        <is>
          <t>JÖNKÖPING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45405</v>
      </c>
      <c r="E288" s="1" t="n">
        <v>46257</v>
      </c>
      <c r="F288" t="inlineStr">
        <is>
          <t>JÖNKÖPINGS LÄN</t>
        </is>
      </c>
      <c r="G288" t="inlineStr">
        <is>
          <t>JÖNKÖPING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45405</v>
      </c>
      <c r="E289" s="1" t="n">
        <v>46257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45621</v>
      </c>
      <c r="E290" s="1" t="n">
        <v>46257</v>
      </c>
      <c r="F290" t="inlineStr">
        <is>
          <t>JÖNKÖPINGS LÄN</t>
        </is>
      </c>
      <c r="G290" t="inlineStr">
        <is>
          <t>JÖNKÖPING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46257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46257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46257</v>
      </c>
      <c r="F293" t="inlineStr">
        <is>
          <t>JÖNKÖPINGS LÄN</t>
        </is>
      </c>
      <c r="G293" t="inlineStr">
        <is>
          <t>JÖNKÖPING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46257</v>
      </c>
      <c r="F294" t="inlineStr">
        <is>
          <t>JÖNKÖPINGS LÄN</t>
        </is>
      </c>
      <c r="G294" t="inlineStr">
        <is>
          <t>JÖNKÖPING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46257</v>
      </c>
      <c r="F295" t="inlineStr">
        <is>
          <t>JÖNKÖPINGS LÄN</t>
        </is>
      </c>
      <c r="G295" t="inlineStr">
        <is>
          <t>JÖNKÖPING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45295</v>
      </c>
      <c r="E296" s="1" t="n">
        <v>46257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46257</v>
      </c>
      <c r="F297" t="inlineStr">
        <is>
          <t>JÖNKÖPINGS LÄN</t>
        </is>
      </c>
      <c r="G297" t="inlineStr">
        <is>
          <t>JÖNKÖPING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46257</v>
      </c>
      <c r="F298" t="inlineStr">
        <is>
          <t>JÖNKÖPINGS LÄN</t>
        </is>
      </c>
      <c r="G298" t="inlineStr">
        <is>
          <t>JÖNKÖPING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44648</v>
      </c>
      <c r="E299" s="1" t="n">
        <v>46257</v>
      </c>
      <c r="F299" t="inlineStr">
        <is>
          <t>JÖNKÖPINGS LÄN</t>
        </is>
      </c>
      <c r="G299" t="inlineStr">
        <is>
          <t>JÖNKÖPING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45456</v>
      </c>
      <c r="E300" s="1" t="n">
        <v>46257</v>
      </c>
      <c r="F300" t="inlineStr">
        <is>
          <t>JÖNKÖPINGS LÄN</t>
        </is>
      </c>
      <c r="G300" t="inlineStr">
        <is>
          <t>JÖNKÖPING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46257</v>
      </c>
      <c r="F301" t="inlineStr">
        <is>
          <t>JÖNKÖPINGS LÄN</t>
        </is>
      </c>
      <c r="G301" t="inlineStr">
        <is>
          <t>JÖNKÖPING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46257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45406-2023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45194</v>
      </c>
      <c r="E303" s="1" t="n">
        <v>46257</v>
      </c>
      <c r="F303" t="inlineStr">
        <is>
          <t>JÖNKÖPINGS LÄN</t>
        </is>
      </c>
      <c r="G303" t="inlineStr">
        <is>
          <t>JÖNKÖPING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46257</v>
      </c>
      <c r="F304" t="inlineStr">
        <is>
          <t>JÖNKÖPINGS LÄN</t>
        </is>
      </c>
      <c r="G304" t="inlineStr">
        <is>
          <t>JÖNKÖPING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46257</v>
      </c>
      <c r="F305" t="inlineStr">
        <is>
          <t>JÖNKÖPINGS LÄN</t>
        </is>
      </c>
      <c r="G305" t="inlineStr">
        <is>
          <t>JÖNKÖPING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44943</v>
      </c>
      <c r="E306" s="1" t="n">
        <v>46257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45587</v>
      </c>
      <c r="E307" s="1" t="n">
        <v>46257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46257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46257</v>
      </c>
      <c r="F309" t="inlineStr">
        <is>
          <t>JÖNKÖPINGS LÄN</t>
        </is>
      </c>
      <c r="G309" t="inlineStr">
        <is>
          <t>JÖNKÖPING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46257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46257</v>
      </c>
      <c r="F311" t="inlineStr">
        <is>
          <t>JÖNKÖPINGS LÄN</t>
        </is>
      </c>
      <c r="G311" t="inlineStr">
        <is>
          <t>JÖNKÖPING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46257</v>
      </c>
      <c r="F312" t="inlineStr">
        <is>
          <t>JÖNKÖPINGS LÄN</t>
        </is>
      </c>
      <c r="G312" t="inlineStr">
        <is>
          <t>JÖNKÖPING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45043</v>
      </c>
      <c r="E313" s="1" t="n">
        <v>46257</v>
      </c>
      <c r="F313" t="inlineStr">
        <is>
          <t>JÖNKÖPINGS LÄN</t>
        </is>
      </c>
      <c r="G313" t="inlineStr">
        <is>
          <t>JÖNKÖPING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46257</v>
      </c>
      <c r="F314" t="inlineStr">
        <is>
          <t>JÖNKÖPINGS LÄN</t>
        </is>
      </c>
      <c r="G314" t="inlineStr">
        <is>
          <t>JÖNKÖPING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46257</v>
      </c>
      <c r="F315" t="inlineStr">
        <is>
          <t>JÖNKÖPINGS LÄN</t>
        </is>
      </c>
      <c r="G315" t="inlineStr">
        <is>
          <t>JÖNKÖPING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46257</v>
      </c>
      <c r="F316" t="inlineStr">
        <is>
          <t>JÖNKÖPINGS LÄN</t>
        </is>
      </c>
      <c r="G316" t="inlineStr">
        <is>
          <t>JÖNKÖPING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46257</v>
      </c>
      <c r="F317" t="inlineStr">
        <is>
          <t>JÖNKÖPINGS LÄN</t>
        </is>
      </c>
      <c r="G317" t="inlineStr">
        <is>
          <t>JÖNKÖPING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62909-2023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45271</v>
      </c>
      <c r="E318" s="1" t="n">
        <v>46257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46257</v>
      </c>
      <c r="F319" t="inlineStr">
        <is>
          <t>JÖNKÖPINGS LÄN</t>
        </is>
      </c>
      <c r="G319" t="inlineStr">
        <is>
          <t>JÖNKÖPING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46257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46257</v>
      </c>
      <c r="F321" t="inlineStr">
        <is>
          <t>JÖNKÖPINGS LÄN</t>
        </is>
      </c>
      <c r="G321" t="inlineStr">
        <is>
          <t>JÖNKÖPING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46257</v>
      </c>
      <c r="F322" t="inlineStr">
        <is>
          <t>JÖNKÖPINGS LÄN</t>
        </is>
      </c>
      <c r="G322" t="inlineStr">
        <is>
          <t>JÖNKÖPING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46257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44803</v>
      </c>
      <c r="E324" s="1" t="n">
        <v>46257</v>
      </c>
      <c r="F324" t="inlineStr">
        <is>
          <t>JÖNKÖPINGS LÄN</t>
        </is>
      </c>
      <c r="G324" t="inlineStr">
        <is>
          <t>JÖNKÖPING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46257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46257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46257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46257</v>
      </c>
      <c r="F328" t="inlineStr">
        <is>
          <t>JÖNKÖPINGS LÄN</t>
        </is>
      </c>
      <c r="G328" t="inlineStr">
        <is>
          <t>JÖNKÖPING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45116</v>
      </c>
      <c r="E329" s="1" t="n">
        <v>46257</v>
      </c>
      <c r="F329" t="inlineStr">
        <is>
          <t>JÖNKÖPINGS LÄN</t>
        </is>
      </c>
      <c r="G329" t="inlineStr">
        <is>
          <t>JÖNKÖPING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44977</v>
      </c>
      <c r="E330" s="1" t="n">
        <v>46257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38225-2024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46257</v>
      </c>
      <c r="F331" t="inlineStr">
        <is>
          <t>JÖNKÖPINGS LÄN</t>
        </is>
      </c>
      <c r="G331" t="inlineStr">
        <is>
          <t>JÖNKÖPING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45034</v>
      </c>
      <c r="E332" s="1" t="n">
        <v>46257</v>
      </c>
      <c r="F332" t="inlineStr">
        <is>
          <t>JÖNKÖPINGS LÄN</t>
        </is>
      </c>
      <c r="G332" t="inlineStr">
        <is>
          <t>JÖNKÖPING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46257</v>
      </c>
      <c r="F333" t="inlineStr">
        <is>
          <t>JÖNKÖPINGS LÄN</t>
        </is>
      </c>
      <c r="G333" t="inlineStr">
        <is>
          <t>JÖNKÖPING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46257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45756</v>
      </c>
      <c r="E335" s="1" t="n">
        <v>46257</v>
      </c>
      <c r="F335" t="inlineStr">
        <is>
          <t>JÖNKÖPINGS LÄN</t>
        </is>
      </c>
      <c r="G335" t="inlineStr">
        <is>
          <t>JÖNKÖPING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46257</v>
      </c>
      <c r="F336" t="inlineStr">
        <is>
          <t>JÖNKÖPINGS LÄN</t>
        </is>
      </c>
      <c r="G336" t="inlineStr">
        <is>
          <t>JÖNKÖPING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46257</v>
      </c>
      <c r="F337" t="inlineStr">
        <is>
          <t>JÖNKÖPINGS LÄN</t>
        </is>
      </c>
      <c r="G337" t="inlineStr">
        <is>
          <t>JÖNKÖPING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44468</v>
      </c>
      <c r="E338" s="1" t="n">
        <v>46257</v>
      </c>
      <c r="F338" t="inlineStr">
        <is>
          <t>JÖNKÖPINGS LÄN</t>
        </is>
      </c>
      <c r="G338" t="inlineStr">
        <is>
          <t>JÖNKÖPING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45349</v>
      </c>
      <c r="E339" s="1" t="n">
        <v>46257</v>
      </c>
      <c r="F339" t="inlineStr">
        <is>
          <t>JÖNKÖPINGS LÄN</t>
        </is>
      </c>
      <c r="G339" t="inlineStr">
        <is>
          <t>JÖNKÖPING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57095-2021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46257</v>
      </c>
      <c r="F340" t="inlineStr">
        <is>
          <t>JÖNKÖPINGS LÄN</t>
        </is>
      </c>
      <c r="G340" t="inlineStr">
        <is>
          <t>JÖNKÖPING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44662</v>
      </c>
      <c r="E341" s="1" t="n">
        <v>46257</v>
      </c>
      <c r="F341" t="inlineStr">
        <is>
          <t>JÖNKÖPINGS LÄN</t>
        </is>
      </c>
      <c r="G341" t="inlineStr">
        <is>
          <t>JÖNKÖPING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46257</v>
      </c>
      <c r="F342" t="inlineStr">
        <is>
          <t>JÖNKÖPINGS LÄN</t>
        </is>
      </c>
      <c r="G342" t="inlineStr">
        <is>
          <t>JÖNKÖPING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46257</v>
      </c>
      <c r="F343" t="inlineStr">
        <is>
          <t>JÖNKÖPINGS LÄN</t>
        </is>
      </c>
      <c r="G343" t="inlineStr">
        <is>
          <t>JÖNKÖPING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46257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46257</v>
      </c>
      <c r="F345" t="inlineStr">
        <is>
          <t>JÖNKÖPINGS LÄN</t>
        </is>
      </c>
      <c r="G345" t="inlineStr">
        <is>
          <t>JÖNKÖPING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46257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Kommuner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46257</v>
      </c>
      <c r="F347" t="inlineStr">
        <is>
          <t>JÖNKÖPINGS LÄN</t>
        </is>
      </c>
      <c r="G347" t="inlineStr">
        <is>
          <t>JÖNKÖPING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46257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46257</v>
      </c>
      <c r="F349" t="inlineStr">
        <is>
          <t>JÖNKÖPINGS LÄN</t>
        </is>
      </c>
      <c r="G349" t="inlineStr">
        <is>
          <t>JÖNKÖPING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46257</v>
      </c>
      <c r="F350" t="inlineStr">
        <is>
          <t>JÖNKÖPINGS LÄN</t>
        </is>
      </c>
      <c r="G350" t="inlineStr">
        <is>
          <t>JÖNKÖPING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46257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46257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46257</v>
      </c>
      <c r="F353" t="inlineStr">
        <is>
          <t>JÖNKÖPINGS LÄN</t>
        </is>
      </c>
      <c r="G353" t="inlineStr">
        <is>
          <t>JÖNKÖPING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46257</v>
      </c>
      <c r="F354" t="inlineStr">
        <is>
          <t>JÖNKÖPINGS LÄN</t>
        </is>
      </c>
      <c r="G354" t="inlineStr">
        <is>
          <t>JÖNKÖPING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46257</v>
      </c>
      <c r="F355" t="inlineStr">
        <is>
          <t>JÖNKÖPINGS LÄN</t>
        </is>
      </c>
      <c r="G355" t="inlineStr">
        <is>
          <t>JÖNKÖPING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46257</v>
      </c>
      <c r="F356" t="inlineStr">
        <is>
          <t>JÖNKÖPINGS LÄN</t>
        </is>
      </c>
      <c r="G356" t="inlineStr">
        <is>
          <t>JÖNKÖPING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46257</v>
      </c>
      <c r="F357" t="inlineStr">
        <is>
          <t>JÖNKÖPINGS LÄN</t>
        </is>
      </c>
      <c r="G357" t="inlineStr">
        <is>
          <t>JÖNKÖPING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46257</v>
      </c>
      <c r="F358" t="inlineStr">
        <is>
          <t>JÖNKÖPINGS LÄN</t>
        </is>
      </c>
      <c r="G358" t="inlineStr">
        <is>
          <t>JÖNKÖPING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45587</v>
      </c>
      <c r="E359" s="1" t="n">
        <v>46257</v>
      </c>
      <c r="F359" t="inlineStr">
        <is>
          <t>JÖNKÖPINGS LÄN</t>
        </is>
      </c>
      <c r="G359" t="inlineStr">
        <is>
          <t>JÖNKÖPING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46257</v>
      </c>
      <c r="F360" t="inlineStr">
        <is>
          <t>JÖNKÖPINGS LÄN</t>
        </is>
      </c>
      <c r="G360" t="inlineStr">
        <is>
          <t>JÖNKÖPING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44704</v>
      </c>
      <c r="E361" s="1" t="n">
        <v>46257</v>
      </c>
      <c r="F361" t="inlineStr">
        <is>
          <t>JÖNKÖPINGS LÄN</t>
        </is>
      </c>
      <c r="G361" t="inlineStr">
        <is>
          <t>JÖNKÖPING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46257</v>
      </c>
      <c r="F362" t="inlineStr">
        <is>
          <t>JÖNKÖPINGS LÄN</t>
        </is>
      </c>
      <c r="G362" t="inlineStr">
        <is>
          <t>JÖNKÖPING</t>
        </is>
      </c>
      <c r="I362" t="n">
        <v>9.699999999999999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46257</v>
      </c>
      <c r="F363" t="inlineStr">
        <is>
          <t>JÖNKÖPINGS LÄN</t>
        </is>
      </c>
      <c r="G363" t="inlineStr">
        <is>
          <t>JÖNKÖPING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54769-2025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46257</v>
      </c>
      <c r="F364" t="inlineStr">
        <is>
          <t>JÖNKÖPINGS LÄN</t>
        </is>
      </c>
      <c r="G364" t="inlineStr">
        <is>
          <t>JÖNKÖPING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46257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46257</v>
      </c>
      <c r="F366" t="inlineStr">
        <is>
          <t>JÖNKÖPINGS LÄN</t>
        </is>
      </c>
      <c r="G366" t="inlineStr">
        <is>
          <t>JÖNKÖPING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46257</v>
      </c>
      <c r="F367" t="inlineStr">
        <is>
          <t>JÖNKÖPINGS LÄN</t>
        </is>
      </c>
      <c r="G367" t="inlineStr">
        <is>
          <t>JÖNKÖPING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55294-2022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44882</v>
      </c>
      <c r="E368" s="1" t="n">
        <v>46257</v>
      </c>
      <c r="F368" t="inlineStr">
        <is>
          <t>JÖNKÖPINGS LÄN</t>
        </is>
      </c>
      <c r="G368" t="inlineStr">
        <is>
          <t>JÖNKÖPING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46257</v>
      </c>
      <c r="F369" t="inlineStr">
        <is>
          <t>JÖNKÖPINGS LÄN</t>
        </is>
      </c>
      <c r="G369" t="inlineStr">
        <is>
          <t>JÖNKÖPING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46257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Kyrkan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46257</v>
      </c>
      <c r="F371" t="inlineStr">
        <is>
          <t>JÖNKÖPINGS LÄN</t>
        </is>
      </c>
      <c r="G371" t="inlineStr">
        <is>
          <t>JÖNKÖPING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46257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45373</v>
      </c>
      <c r="E373" s="1" t="n">
        <v>46257</v>
      </c>
      <c r="F373" t="inlineStr">
        <is>
          <t>JÖNKÖPINGS LÄN</t>
        </is>
      </c>
      <c r="G373" t="inlineStr">
        <is>
          <t>JÖNKÖPING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44571</v>
      </c>
      <c r="E374" s="1" t="n">
        <v>46257</v>
      </c>
      <c r="F374" t="inlineStr">
        <is>
          <t>JÖNKÖPINGS LÄN</t>
        </is>
      </c>
      <c r="G374" t="inlineStr">
        <is>
          <t>JÖNKÖPING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46257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46257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46257</v>
      </c>
      <c r="F377" t="inlineStr">
        <is>
          <t>JÖNKÖPINGS LÄN</t>
        </is>
      </c>
      <c r="G377" t="inlineStr">
        <is>
          <t>JÖNKÖPING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46257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46257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46257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46257</v>
      </c>
      <c r="F381" t="inlineStr">
        <is>
          <t>JÖNKÖPINGS LÄN</t>
        </is>
      </c>
      <c r="G381" t="inlineStr">
        <is>
          <t>JÖNKÖPING</t>
        </is>
      </c>
      <c r="H381" t="inlineStr">
        <is>
          <t>Kyrkan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45975</v>
      </c>
      <c r="E382" s="1" t="n">
        <v>46257</v>
      </c>
      <c r="F382" t="inlineStr">
        <is>
          <t>JÖNKÖPINGS LÄN</t>
        </is>
      </c>
      <c r="G382" t="inlineStr">
        <is>
          <t>JÖNKÖPING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44592</v>
      </c>
      <c r="E383" s="1" t="n">
        <v>46257</v>
      </c>
      <c r="F383" t="inlineStr">
        <is>
          <t>JÖNKÖPINGS LÄN</t>
        </is>
      </c>
      <c r="G383" t="inlineStr">
        <is>
          <t>JÖNKÖPING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46257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46257</v>
      </c>
      <c r="F385" t="inlineStr">
        <is>
          <t>JÖNKÖPINGS LÄN</t>
        </is>
      </c>
      <c r="G385" t="inlineStr">
        <is>
          <t>JÖNKÖPING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46257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46257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46257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54876-2022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44886</v>
      </c>
      <c r="E389" s="1" t="n">
        <v>46257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46257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15190-2022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46257</v>
      </c>
      <c r="F391" t="inlineStr">
        <is>
          <t>JÖNKÖPINGS LÄN</t>
        </is>
      </c>
      <c r="G391" t="inlineStr">
        <is>
          <t>JÖNKÖPING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46257</v>
      </c>
      <c r="F392" t="inlineStr">
        <is>
          <t>JÖNKÖPINGS LÄN</t>
        </is>
      </c>
      <c r="G392" t="inlineStr">
        <is>
          <t>JÖNKÖPING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46257</v>
      </c>
      <c r="F393" t="inlineStr">
        <is>
          <t>JÖNKÖPINGS LÄN</t>
        </is>
      </c>
      <c r="G393" t="inlineStr">
        <is>
          <t>JÖNKÖPING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46257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45580</v>
      </c>
      <c r="E395" s="1" t="n">
        <v>46257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23794-2024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45455</v>
      </c>
      <c r="E396" s="1" t="n">
        <v>46257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73003-2021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44550</v>
      </c>
      <c r="E397" s="1" t="n">
        <v>46257</v>
      </c>
      <c r="F397" t="inlineStr">
        <is>
          <t>JÖNKÖPINGS LÄN</t>
        </is>
      </c>
      <c r="G397" t="inlineStr">
        <is>
          <t>JÖNKÖPING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45455</v>
      </c>
      <c r="E398" s="1" t="n">
        <v>46257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46257</v>
      </c>
      <c r="F399" t="inlineStr">
        <is>
          <t>JÖNKÖPINGS LÄN</t>
        </is>
      </c>
      <c r="G399" t="inlineStr">
        <is>
          <t>JÖNKÖPING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45130</v>
      </c>
      <c r="E400" s="1" t="n">
        <v>46257</v>
      </c>
      <c r="F400" t="inlineStr">
        <is>
          <t>JÖNKÖPINGS LÄN</t>
        </is>
      </c>
      <c r="G400" t="inlineStr">
        <is>
          <t>JÖNKÖPING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45477</v>
      </c>
      <c r="E401" s="1" t="n">
        <v>46257</v>
      </c>
      <c r="F401" t="inlineStr">
        <is>
          <t>JÖNKÖPINGS LÄN</t>
        </is>
      </c>
      <c r="G401" t="inlineStr">
        <is>
          <t>JÖNKÖPING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46257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46257</v>
      </c>
      <c r="F403" t="inlineStr">
        <is>
          <t>JÖNKÖPINGS LÄN</t>
        </is>
      </c>
      <c r="G403" t="inlineStr">
        <is>
          <t>JÖNKÖPING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46257</v>
      </c>
      <c r="F404" t="inlineStr">
        <is>
          <t>JÖNKÖPINGS LÄN</t>
        </is>
      </c>
      <c r="G404" t="inlineStr">
        <is>
          <t>JÖNKÖPING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41305-2023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46257</v>
      </c>
      <c r="F405" t="inlineStr">
        <is>
          <t>JÖNKÖPINGS LÄN</t>
        </is>
      </c>
      <c r="G405" t="inlineStr">
        <is>
          <t>JÖNKÖPING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46257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45557</v>
      </c>
      <c r="E407" s="1" t="n">
        <v>46257</v>
      </c>
      <c r="F407" t="inlineStr">
        <is>
          <t>JÖNKÖPINGS LÄN</t>
        </is>
      </c>
      <c r="G407" t="inlineStr">
        <is>
          <t>JÖNKÖPING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44614</v>
      </c>
      <c r="E408" s="1" t="n">
        <v>46257</v>
      </c>
      <c r="F408" t="inlineStr">
        <is>
          <t>JÖNKÖPINGS LÄN</t>
        </is>
      </c>
      <c r="G408" t="inlineStr">
        <is>
          <t>JÖNKÖPING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25079-2024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45462</v>
      </c>
      <c r="E409" s="1" t="n">
        <v>46257</v>
      </c>
      <c r="F409" t="inlineStr">
        <is>
          <t>JÖNKÖPINGS LÄN</t>
        </is>
      </c>
      <c r="G409" t="inlineStr">
        <is>
          <t>JÖNKÖPING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44861</v>
      </c>
      <c r="E410" s="1" t="n">
        <v>46257</v>
      </c>
      <c r="F410" t="inlineStr">
        <is>
          <t>JÖNKÖPINGS LÄN</t>
        </is>
      </c>
      <c r="G410" t="inlineStr">
        <is>
          <t>JÖNKÖPING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45461</v>
      </c>
      <c r="E411" s="1" t="n">
        <v>46257</v>
      </c>
      <c r="F411" t="inlineStr">
        <is>
          <t>JÖNKÖPINGS LÄN</t>
        </is>
      </c>
      <c r="G411" t="inlineStr">
        <is>
          <t>JÖNKÖPING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10204-2022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44622</v>
      </c>
      <c r="E412" s="1" t="n">
        <v>46257</v>
      </c>
      <c r="F412" t="inlineStr">
        <is>
          <t>JÖNKÖPINGS LÄN</t>
        </is>
      </c>
      <c r="G412" t="inlineStr">
        <is>
          <t>JÖNKÖPING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58351-2022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44893</v>
      </c>
      <c r="E413" s="1" t="n">
        <v>46257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Övriga statliga verk och myndigheter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46257</v>
      </c>
      <c r="F414" t="inlineStr">
        <is>
          <t>JÖNKÖPINGS LÄN</t>
        </is>
      </c>
      <c r="G414" t="inlineStr">
        <is>
          <t>JÖNKÖPING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50192-2024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45600</v>
      </c>
      <c r="E415" s="1" t="n">
        <v>46257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50193-2024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45600</v>
      </c>
      <c r="E416" s="1" t="n">
        <v>46257</v>
      </c>
      <c r="F416" t="inlineStr">
        <is>
          <t>JÖNKÖPINGS LÄN</t>
        </is>
      </c>
      <c r="G416" t="inlineStr">
        <is>
          <t>JÖNKÖPING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46257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45324</v>
      </c>
      <c r="E418" s="1" t="n">
        <v>46257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Kyrkan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45270</v>
      </c>
      <c r="E419" s="1" t="n">
        <v>46257</v>
      </c>
      <c r="F419" t="inlineStr">
        <is>
          <t>JÖNKÖPINGS LÄN</t>
        </is>
      </c>
      <c r="G419" t="inlineStr">
        <is>
          <t>JÖNKÖPING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46257</v>
      </c>
      <c r="F420" t="inlineStr">
        <is>
          <t>JÖNKÖPINGS LÄN</t>
        </is>
      </c>
      <c r="G420" t="inlineStr">
        <is>
          <t>JÖNKÖPING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45215</v>
      </c>
      <c r="E421" s="1" t="n">
        <v>46257</v>
      </c>
      <c r="F421" t="inlineStr">
        <is>
          <t>JÖNKÖPINGS LÄN</t>
        </is>
      </c>
      <c r="G421" t="inlineStr">
        <is>
          <t>JÖNKÖPING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45179</v>
      </c>
      <c r="E422" s="1" t="n">
        <v>46257</v>
      </c>
      <c r="F422" t="inlineStr">
        <is>
          <t>JÖNKÖPINGS LÄN</t>
        </is>
      </c>
      <c r="G422" t="inlineStr">
        <is>
          <t>JÖNKÖPING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63176-2021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44507</v>
      </c>
      <c r="E423" s="1" t="n">
        <v>46257</v>
      </c>
      <c r="F423" t="inlineStr">
        <is>
          <t>JÖNKÖPINGS LÄN</t>
        </is>
      </c>
      <c r="G423" t="inlineStr">
        <is>
          <t>JÖNKÖPING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46257</v>
      </c>
      <c r="F424" t="inlineStr">
        <is>
          <t>JÖNKÖPINGS LÄN</t>
        </is>
      </c>
      <c r="G424" t="inlineStr">
        <is>
          <t>JÖNKÖPING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45468</v>
      </c>
      <c r="E425" s="1" t="n">
        <v>46257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11236-2024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45371</v>
      </c>
      <c r="E426" s="1" t="n">
        <v>46257</v>
      </c>
      <c r="F426" t="inlineStr">
        <is>
          <t>JÖNKÖPINGS LÄN</t>
        </is>
      </c>
      <c r="G426" t="inlineStr">
        <is>
          <t>JÖNKÖPING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46257</v>
      </c>
      <c r="F427" t="inlineStr">
        <is>
          <t>JÖNKÖPINGS LÄN</t>
        </is>
      </c>
      <c r="G427" t="inlineStr">
        <is>
          <t>JÖNKÖPING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45682</v>
      </c>
      <c r="E428" s="1" t="n">
        <v>46257</v>
      </c>
      <c r="F428" t="inlineStr">
        <is>
          <t>JÖNKÖPINGS LÄN</t>
        </is>
      </c>
      <c r="G428" t="inlineStr">
        <is>
          <t>JÖNKÖPING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46257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44977</v>
      </c>
      <c r="E430" s="1" t="n">
        <v>46257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54642-2024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46257</v>
      </c>
      <c r="F431" t="inlineStr">
        <is>
          <t>JÖNKÖPINGS LÄN</t>
        </is>
      </c>
      <c r="G431" t="inlineStr">
        <is>
          <t>JÖNKÖPING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44936</v>
      </c>
      <c r="E432" s="1" t="n">
        <v>46257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46257</v>
      </c>
      <c r="F433" t="inlineStr">
        <is>
          <t>JÖNKÖPINGS LÄN</t>
        </is>
      </c>
      <c r="G433" t="inlineStr">
        <is>
          <t>JÖNKÖPING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46257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45630</v>
      </c>
      <c r="E435" s="1" t="n">
        <v>46257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44585</v>
      </c>
      <c r="E436" s="1" t="n">
        <v>46257</v>
      </c>
      <c r="F436" t="inlineStr">
        <is>
          <t>JÖNKÖPINGS LÄN</t>
        </is>
      </c>
      <c r="G436" t="inlineStr">
        <is>
          <t>JÖNKÖPING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45152</v>
      </c>
      <c r="E437" s="1" t="n">
        <v>46257</v>
      </c>
      <c r="F437" t="inlineStr">
        <is>
          <t>JÖNKÖPINGS LÄN</t>
        </is>
      </c>
      <c r="G437" t="inlineStr">
        <is>
          <t>JÖNKÖPING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45701</v>
      </c>
      <c r="E438" s="1" t="n">
        <v>46257</v>
      </c>
      <c r="F438" t="inlineStr">
        <is>
          <t>JÖNKÖPINGS LÄN</t>
        </is>
      </c>
      <c r="G438" t="inlineStr">
        <is>
          <t>JÖNKÖPING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45302</v>
      </c>
      <c r="E439" s="1" t="n">
        <v>46257</v>
      </c>
      <c r="F439" t="inlineStr">
        <is>
          <t>JÖNKÖPINGS LÄN</t>
        </is>
      </c>
      <c r="G439" t="inlineStr">
        <is>
          <t>JÖNKÖPING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45300</v>
      </c>
      <c r="E440" s="1" t="n">
        <v>46257</v>
      </c>
      <c r="F440" t="inlineStr">
        <is>
          <t>JÖNKÖPINGS LÄN</t>
        </is>
      </c>
      <c r="G440" t="inlineStr">
        <is>
          <t>JÖNKÖPING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46257</v>
      </c>
      <c r="F441" t="inlineStr">
        <is>
          <t>JÖNKÖPINGS LÄN</t>
        </is>
      </c>
      <c r="G441" t="inlineStr">
        <is>
          <t>JÖNKÖPING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45412</v>
      </c>
      <c r="E442" s="1" t="n">
        <v>46257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Övriga Aktiebolag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45351</v>
      </c>
      <c r="E443" s="1" t="n">
        <v>46257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46257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45788</v>
      </c>
      <c r="E445" s="1" t="n">
        <v>46257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46257</v>
      </c>
      <c r="F446" t="inlineStr">
        <is>
          <t>JÖNKÖPINGS LÄN</t>
        </is>
      </c>
      <c r="G446" t="inlineStr">
        <is>
          <t>JÖNKÖPING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45267</v>
      </c>
      <c r="E447" s="1" t="n">
        <v>46257</v>
      </c>
      <c r="F447" t="inlineStr">
        <is>
          <t>JÖNKÖPINGS LÄN</t>
        </is>
      </c>
      <c r="G447" t="inlineStr">
        <is>
          <t>JÖNKÖPING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45149</v>
      </c>
      <c r="E448" s="1" t="n">
        <v>46257</v>
      </c>
      <c r="F448" t="inlineStr">
        <is>
          <t>JÖNKÖPINGS LÄN</t>
        </is>
      </c>
      <c r="G448" t="inlineStr">
        <is>
          <t>JÖNKÖPING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46257</v>
      </c>
      <c r="F449" t="inlineStr">
        <is>
          <t>JÖNKÖPINGS LÄN</t>
        </is>
      </c>
      <c r="G449" t="inlineStr">
        <is>
          <t>JÖNKÖPING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45615</v>
      </c>
      <c r="E450" s="1" t="n">
        <v>46257</v>
      </c>
      <c r="F450" t="inlineStr">
        <is>
          <t>JÖNKÖPINGS LÄN</t>
        </is>
      </c>
      <c r="G450" t="inlineStr">
        <is>
          <t>JÖNKÖPING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46257</v>
      </c>
      <c r="F451" t="inlineStr">
        <is>
          <t>JÖNKÖPINGS LÄN</t>
        </is>
      </c>
      <c r="G451" t="inlineStr">
        <is>
          <t>JÖNKÖPING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45523</v>
      </c>
      <c r="E452" s="1" t="n">
        <v>46257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45861</v>
      </c>
      <c r="E453" s="1" t="n">
        <v>46257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46257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45502</v>
      </c>
      <c r="E455" s="1" t="n">
        <v>46257</v>
      </c>
      <c r="F455" t="inlineStr">
        <is>
          <t>JÖNKÖPINGS LÄN</t>
        </is>
      </c>
      <c r="G455" t="inlineStr">
        <is>
          <t>JÖNKÖPING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62876-2025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46257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59110-2022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46257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Kommuner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46257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48038-2021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44449</v>
      </c>
      <c r="E459" s="1" t="n">
        <v>46257</v>
      </c>
      <c r="F459" t="inlineStr">
        <is>
          <t>JÖNKÖPINGS LÄN</t>
        </is>
      </c>
      <c r="G459" t="inlineStr">
        <is>
          <t>JÖNKÖPING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53282-2025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46257</v>
      </c>
      <c r="F460" t="inlineStr">
        <is>
          <t>JÖNKÖPINGS LÄN</t>
        </is>
      </c>
      <c r="G460" t="inlineStr">
        <is>
          <t>JÖNKÖPING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63564-2025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46257</v>
      </c>
      <c r="F461" t="inlineStr">
        <is>
          <t>JÖNKÖPINGS LÄN</t>
        </is>
      </c>
      <c r="G461" t="inlineStr">
        <is>
          <t>JÖNKÖPING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45189</v>
      </c>
      <c r="E462" s="1" t="n">
        <v>46257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46257</v>
      </c>
      <c r="F463" t="inlineStr">
        <is>
          <t>JÖNKÖPINGS LÄN</t>
        </is>
      </c>
      <c r="G463" t="inlineStr">
        <is>
          <t>JÖNKÖPING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46257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46257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46257</v>
      </c>
      <c r="F466" t="inlineStr">
        <is>
          <t>JÖNKÖPINGS LÄN</t>
        </is>
      </c>
      <c r="G466" t="inlineStr">
        <is>
          <t>JÖNKÖPING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44507</v>
      </c>
      <c r="E467" s="1" t="n">
        <v>46257</v>
      </c>
      <c r="F467" t="inlineStr">
        <is>
          <t>JÖNKÖPINGS LÄN</t>
        </is>
      </c>
      <c r="G467" t="inlineStr">
        <is>
          <t>JÖNKÖPING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46257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46257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45358</v>
      </c>
      <c r="E470" s="1" t="n">
        <v>46257</v>
      </c>
      <c r="F470" t="inlineStr">
        <is>
          <t>JÖNKÖPINGS LÄN</t>
        </is>
      </c>
      <c r="G470" t="inlineStr">
        <is>
          <t>JÖNKÖPING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46257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46257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44944</v>
      </c>
      <c r="E473" s="1" t="n">
        <v>46257</v>
      </c>
      <c r="F473" t="inlineStr">
        <is>
          <t>JÖNKÖPINGS LÄN</t>
        </is>
      </c>
      <c r="G473" t="inlineStr">
        <is>
          <t>JÖNKÖPING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44614</v>
      </c>
      <c r="E474" s="1" t="n">
        <v>46257</v>
      </c>
      <c r="F474" t="inlineStr">
        <is>
          <t>JÖNKÖPINGS LÄN</t>
        </is>
      </c>
      <c r="G474" t="inlineStr">
        <is>
          <t>JÖNKÖPING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46257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25067-2022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44729</v>
      </c>
      <c r="E476" s="1" t="n">
        <v>46257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63577-2025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46013</v>
      </c>
      <c r="E477" s="1" t="n">
        <v>46257</v>
      </c>
      <c r="F477" t="inlineStr">
        <is>
          <t>JÖNKÖPINGS LÄN</t>
        </is>
      </c>
      <c r="G477" t="inlineStr">
        <is>
          <t>JÖNKÖPING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48064-2021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44449</v>
      </c>
      <c r="E478" s="1" t="n">
        <v>46257</v>
      </c>
      <c r="F478" t="inlineStr">
        <is>
          <t>JÖNKÖPINGS LÄN</t>
        </is>
      </c>
      <c r="G478" t="inlineStr">
        <is>
          <t>JÖNKÖPING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45294</v>
      </c>
      <c r="E479" s="1" t="n">
        <v>46257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46257</v>
      </c>
      <c r="F480" t="inlineStr">
        <is>
          <t>JÖNKÖPINGS LÄN</t>
        </is>
      </c>
      <c r="G480" t="inlineStr">
        <is>
          <t>JÖNKÖPING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45177</v>
      </c>
      <c r="E481" s="1" t="n">
        <v>46257</v>
      </c>
      <c r="F481" t="inlineStr">
        <is>
          <t>JÖNKÖPINGS LÄN</t>
        </is>
      </c>
      <c r="G481" t="inlineStr">
        <is>
          <t>JÖNKÖPING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45079</v>
      </c>
      <c r="E482" s="1" t="n">
        <v>46257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46026</v>
      </c>
      <c r="E483" s="1" t="n">
        <v>46257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46257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Kyrkan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46026</v>
      </c>
      <c r="E485" s="1" t="n">
        <v>46257</v>
      </c>
      <c r="F485" t="inlineStr">
        <is>
          <t>JÖNKÖPINGS LÄN</t>
        </is>
      </c>
      <c r="G485" t="inlineStr">
        <is>
          <t>JÖNKÖPING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46257</v>
      </c>
      <c r="F486" t="inlineStr">
        <is>
          <t>JÖNKÖPINGS LÄN</t>
        </is>
      </c>
      <c r="G486" t="inlineStr">
        <is>
          <t>JÖNKÖPING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45588</v>
      </c>
      <c r="E487" s="1" t="n">
        <v>46257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46257</v>
      </c>
      <c r="F488" t="inlineStr">
        <is>
          <t>JÖNKÖPINGS LÄN</t>
        </is>
      </c>
      <c r="G488" t="inlineStr">
        <is>
          <t>JÖNKÖPING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46257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44655</v>
      </c>
      <c r="E490" s="1" t="n">
        <v>46257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46257</v>
      </c>
      <c r="F491" t="inlineStr">
        <is>
          <t>JÖNKÖPINGS LÄN</t>
        </is>
      </c>
      <c r="G491" t="inlineStr">
        <is>
          <t>JÖNKÖPING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46257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46257</v>
      </c>
      <c r="F493" t="inlineStr">
        <is>
          <t>JÖNKÖPINGS LÄN</t>
        </is>
      </c>
      <c r="G493" t="inlineStr">
        <is>
          <t>JÖNKÖPING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56062-2023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45240</v>
      </c>
      <c r="E494" s="1" t="n">
        <v>46257</v>
      </c>
      <c r="F494" t="inlineStr">
        <is>
          <t>JÖNKÖPINGS LÄN</t>
        </is>
      </c>
      <c r="G494" t="inlineStr">
        <is>
          <t>JÖNKÖPING</t>
        </is>
      </c>
      <c r="I494" t="n">
        <v>13.6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44626</v>
      </c>
      <c r="E495" s="1" t="n">
        <v>46257</v>
      </c>
      <c r="F495" t="inlineStr">
        <is>
          <t>JÖNKÖPINGS LÄN</t>
        </is>
      </c>
      <c r="G495" t="inlineStr">
        <is>
          <t>JÖNKÖPING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46257</v>
      </c>
      <c r="F496" t="inlineStr">
        <is>
          <t>JÖNKÖPINGS LÄN</t>
        </is>
      </c>
      <c r="G496" t="inlineStr">
        <is>
          <t>JÖNKÖPING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57567-2023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46257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Kyrkan</t>
        </is>
      </c>
      <c r="I497" t="n">
        <v>7.6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46257</v>
      </c>
      <c r="F498" t="inlineStr">
        <is>
          <t>JÖNKÖPINGS LÄN</t>
        </is>
      </c>
      <c r="G498" t="inlineStr">
        <is>
          <t>JÖNKÖPING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46257</v>
      </c>
      <c r="F499" t="inlineStr">
        <is>
          <t>JÖNKÖPINGS LÄN</t>
        </is>
      </c>
      <c r="G499" t="inlineStr">
        <is>
          <t>JÖNKÖPING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44106-2022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44839</v>
      </c>
      <c r="E500" s="1" t="n">
        <v>46257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46257</v>
      </c>
      <c r="F501" t="inlineStr">
        <is>
          <t>JÖNKÖPINGS LÄN</t>
        </is>
      </c>
      <c r="G501" t="inlineStr">
        <is>
          <t>JÖNKÖPING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46257</v>
      </c>
      <c r="F502" t="inlineStr">
        <is>
          <t>JÖNKÖPINGS LÄN</t>
        </is>
      </c>
      <c r="G502" t="inlineStr">
        <is>
          <t>JÖNKÖPING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44893</v>
      </c>
      <c r="E503" s="1" t="n">
        <v>46257</v>
      </c>
      <c r="F503" t="inlineStr">
        <is>
          <t>JÖNKÖPINGS LÄN</t>
        </is>
      </c>
      <c r="G503" t="inlineStr">
        <is>
          <t>JÖNKÖPING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45788</v>
      </c>
      <c r="E504" s="1" t="n">
        <v>46257</v>
      </c>
      <c r="F504" t="inlineStr">
        <is>
          <t>JÖNKÖPINGS LÄN</t>
        </is>
      </c>
      <c r="G504" t="inlineStr">
        <is>
          <t>JÖNKÖPING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46257</v>
      </c>
      <c r="F505" t="inlineStr">
        <is>
          <t>JÖNKÖPINGS LÄN</t>
        </is>
      </c>
      <c r="G505" t="inlineStr">
        <is>
          <t>JÖNKÖPING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42736-2024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45566</v>
      </c>
      <c r="E506" s="1" t="n">
        <v>46257</v>
      </c>
      <c r="F506" t="inlineStr">
        <is>
          <t>JÖNKÖPINGS LÄN</t>
        </is>
      </c>
      <c r="G506" t="inlineStr">
        <is>
          <t>JÖNKÖPING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46257</v>
      </c>
      <c r="F507" t="inlineStr">
        <is>
          <t>JÖNKÖPINGS LÄN</t>
        </is>
      </c>
      <c r="G507" t="inlineStr">
        <is>
          <t>JÖNKÖPING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45870</v>
      </c>
      <c r="E508" s="1" t="n">
        <v>46257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45502</v>
      </c>
      <c r="E509" s="1" t="n">
        <v>46257</v>
      </c>
      <c r="F509" t="inlineStr">
        <is>
          <t>JÖNKÖPINGS LÄN</t>
        </is>
      </c>
      <c r="G509" t="inlineStr">
        <is>
          <t>JÖNKÖPING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46038</v>
      </c>
      <c r="E510" s="1" t="n">
        <v>46257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46257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43668-2022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44837</v>
      </c>
      <c r="E512" s="1" t="n">
        <v>46257</v>
      </c>
      <c r="F512" t="inlineStr">
        <is>
          <t>JÖNKÖPINGS LÄN</t>
        </is>
      </c>
      <c r="G512" t="inlineStr">
        <is>
          <t>JÖNKÖPING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46257</v>
      </c>
      <c r="F513" t="inlineStr">
        <is>
          <t>JÖNKÖPINGS LÄN</t>
        </is>
      </c>
      <c r="G513" t="inlineStr">
        <is>
          <t>JÖNKÖPING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45314</v>
      </c>
      <c r="E514" s="1" t="n">
        <v>46257</v>
      </c>
      <c r="F514" t="inlineStr">
        <is>
          <t>JÖNKÖPINGS LÄN</t>
        </is>
      </c>
      <c r="G514" t="inlineStr">
        <is>
          <t>JÖNKÖPING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46257</v>
      </c>
      <c r="F515" t="inlineStr">
        <is>
          <t>JÖNKÖPINGS LÄN</t>
        </is>
      </c>
      <c r="G515" t="inlineStr">
        <is>
          <t>JÖNKÖPING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3667-2026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46043</v>
      </c>
      <c r="E516" s="1" t="n">
        <v>46257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7425-2026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46059</v>
      </c>
      <c r="E517" s="1" t="n">
        <v>46257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46257</v>
      </c>
      <c r="F518" t="inlineStr">
        <is>
          <t>JÖNKÖPINGS LÄN</t>
        </is>
      </c>
      <c r="G518" t="inlineStr">
        <is>
          <t>JÖNKÖPING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46257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57719-2021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44484</v>
      </c>
      <c r="E520" s="1" t="n">
        <v>46257</v>
      </c>
      <c r="F520" t="inlineStr">
        <is>
          <t>JÖNKÖPINGS LÄN</t>
        </is>
      </c>
      <c r="G520" t="inlineStr">
        <is>
          <t>JÖNKÖPING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46257</v>
      </c>
      <c r="F521" t="inlineStr">
        <is>
          <t>JÖNKÖPINGS LÄN</t>
        </is>
      </c>
      <c r="G521" t="inlineStr">
        <is>
          <t>JÖNKÖPING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46257</v>
      </c>
      <c r="F522" t="inlineStr">
        <is>
          <t>JÖNKÖPINGS LÄN</t>
        </is>
      </c>
      <c r="G522" t="inlineStr">
        <is>
          <t>JÖNKÖPING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52812-2023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46257</v>
      </c>
      <c r="F523" t="inlineStr">
        <is>
          <t>JÖNKÖPINGS LÄN</t>
        </is>
      </c>
      <c r="G523" t="inlineStr">
        <is>
          <t>JÖNKÖPING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23311-2026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46162</v>
      </c>
      <c r="E524" s="1" t="n">
        <v>46257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44589</v>
      </c>
      <c r="E525" s="1" t="n">
        <v>46257</v>
      </c>
      <c r="F525" t="inlineStr">
        <is>
          <t>JÖNKÖPINGS LÄN</t>
        </is>
      </c>
      <c r="G525" t="inlineStr">
        <is>
          <t>JÖNKÖPING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46257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46257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46257</v>
      </c>
      <c r="F528" t="inlineStr">
        <is>
          <t>JÖNKÖPINGS LÄN</t>
        </is>
      </c>
      <c r="G528" t="inlineStr">
        <is>
          <t>JÖNKÖPING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23830-2026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46257</v>
      </c>
      <c r="F529" t="inlineStr">
        <is>
          <t>JÖNKÖPINGS LÄN</t>
        </is>
      </c>
      <c r="G529" t="inlineStr">
        <is>
          <t>JÖNKÖPING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46257</v>
      </c>
      <c r="F530" t="inlineStr">
        <is>
          <t>JÖNKÖPINGS LÄN</t>
        </is>
      </c>
      <c r="G530" t="inlineStr">
        <is>
          <t>JÖNKÖPING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45875</v>
      </c>
      <c r="E531" s="1" t="n">
        <v>46257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Kommuner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26378-2022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44735</v>
      </c>
      <c r="E532" s="1" t="n">
        <v>46257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45587</v>
      </c>
      <c r="E533" s="1" t="n">
        <v>46257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46257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36619-2022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44804</v>
      </c>
      <c r="E535" s="1" t="n">
        <v>46257</v>
      </c>
      <c r="F535" t="inlineStr">
        <is>
          <t>JÖNKÖPINGS LÄN</t>
        </is>
      </c>
      <c r="G535" t="inlineStr">
        <is>
          <t>JÖNKÖPING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46257</v>
      </c>
      <c r="F536" t="inlineStr">
        <is>
          <t>JÖNKÖPINGS LÄN</t>
        </is>
      </c>
      <c r="G536" t="inlineStr">
        <is>
          <t>JÖNKÖPING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46257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46257</v>
      </c>
      <c r="F538" t="inlineStr">
        <is>
          <t>JÖNKÖPINGS LÄN</t>
        </is>
      </c>
      <c r="G538" t="inlineStr">
        <is>
          <t>JÖNKÖPING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46257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46049</v>
      </c>
      <c r="E540" s="1" t="n">
        <v>46257</v>
      </c>
      <c r="F540" t="inlineStr">
        <is>
          <t>JÖNKÖPINGS LÄN</t>
        </is>
      </c>
      <c r="G540" t="inlineStr">
        <is>
          <t>JÖNKÖPING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18729-2023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45043</v>
      </c>
      <c r="E541" s="1" t="n">
        <v>46257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46257</v>
      </c>
      <c r="F542" t="inlineStr">
        <is>
          <t>JÖNKÖPINGS LÄN</t>
        </is>
      </c>
      <c r="G542" t="inlineStr">
        <is>
          <t>JÖNKÖPING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46257</v>
      </c>
      <c r="F543" t="inlineStr">
        <is>
          <t>JÖNKÖPINGS LÄN</t>
        </is>
      </c>
      <c r="G543" t="inlineStr">
        <is>
          <t>JÖNKÖPING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4805-2026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46048</v>
      </c>
      <c r="E544" s="1" t="n">
        <v>46257</v>
      </c>
      <c r="F544" t="inlineStr">
        <is>
          <t>JÖNKÖPINGS LÄN</t>
        </is>
      </c>
      <c r="G544" t="inlineStr">
        <is>
          <t>JÖNKÖPING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46257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Övriga Aktiebolag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46257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46257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46257</v>
      </c>
      <c r="F548" t="inlineStr">
        <is>
          <t>JÖNKÖPINGS LÄN</t>
        </is>
      </c>
      <c r="G548" t="inlineStr">
        <is>
          <t>JÖNKÖPING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5332-2026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46050</v>
      </c>
      <c r="E549" s="1" t="n">
        <v>46257</v>
      </c>
      <c r="F549" t="inlineStr">
        <is>
          <t>JÖNKÖPINGS LÄN</t>
        </is>
      </c>
      <c r="G549" t="inlineStr">
        <is>
          <t>JÖNKÖPING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24422-2026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46168</v>
      </c>
      <c r="E550" s="1" t="n">
        <v>46257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46257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46257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46257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46257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46257</v>
      </c>
      <c r="F555" t="inlineStr">
        <is>
          <t>JÖNKÖPINGS LÄN</t>
        </is>
      </c>
      <c r="G555" t="inlineStr">
        <is>
          <t>JÖNKÖPING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46257</v>
      </c>
      <c r="F556" t="inlineStr">
        <is>
          <t>JÖNKÖPINGS LÄN</t>
        </is>
      </c>
      <c r="G556" t="inlineStr">
        <is>
          <t>JÖNKÖPING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46257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46257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37617-2025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45880</v>
      </c>
      <c r="E559" s="1" t="n">
        <v>46257</v>
      </c>
      <c r="F559" t="inlineStr">
        <is>
          <t>JÖNKÖPINGS LÄN</t>
        </is>
      </c>
      <c r="G559" t="inlineStr">
        <is>
          <t>JÖNKÖPING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45701</v>
      </c>
      <c r="E560" s="1" t="n">
        <v>46257</v>
      </c>
      <c r="F560" t="inlineStr">
        <is>
          <t>JÖNKÖPINGS LÄN</t>
        </is>
      </c>
      <c r="G560" t="inlineStr">
        <is>
          <t>JÖNKÖPING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46257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11039-2022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44628</v>
      </c>
      <c r="E562" s="1" t="n">
        <v>46257</v>
      </c>
      <c r="F562" t="inlineStr">
        <is>
          <t>JÖNKÖPINGS LÄN</t>
        </is>
      </c>
      <c r="G562" t="inlineStr">
        <is>
          <t>JÖNKÖPING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60822-2024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46257</v>
      </c>
      <c r="F563" t="inlineStr">
        <is>
          <t>JÖNKÖPINGS LÄN</t>
        </is>
      </c>
      <c r="G563" t="inlineStr">
        <is>
          <t>JÖNKÖPING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46257</v>
      </c>
      <c r="F564" t="inlineStr">
        <is>
          <t>JÖNKÖPINGS LÄN</t>
        </is>
      </c>
      <c r="G564" t="inlineStr">
        <is>
          <t>JÖNKÖPING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38407-2025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45883</v>
      </c>
      <c r="E565" s="1" t="n">
        <v>46257</v>
      </c>
      <c r="F565" t="inlineStr">
        <is>
          <t>JÖNKÖPINGS LÄN</t>
        </is>
      </c>
      <c r="G565" t="inlineStr">
        <is>
          <t>JÖNKÖPING</t>
        </is>
      </c>
      <c r="I565" t="n">
        <v>8.6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46257</v>
      </c>
      <c r="F566" t="inlineStr">
        <is>
          <t>JÖNKÖPINGS LÄN</t>
        </is>
      </c>
      <c r="G566" t="inlineStr">
        <is>
          <t>JÖNKÖPING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46257</v>
      </c>
      <c r="F567" t="inlineStr">
        <is>
          <t>JÖNKÖPINGS LÄN</t>
        </is>
      </c>
      <c r="G567" t="inlineStr">
        <is>
          <t>JÖNKÖPING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46257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46257</v>
      </c>
      <c r="F569" t="inlineStr">
        <is>
          <t>JÖNKÖPINGS LÄN</t>
        </is>
      </c>
      <c r="G569" t="inlineStr">
        <is>
          <t>JÖNKÖPING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46257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7865-2022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46257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46257</v>
      </c>
      <c r="F572" t="inlineStr">
        <is>
          <t>JÖNKÖPINGS LÄN</t>
        </is>
      </c>
      <c r="G572" t="inlineStr">
        <is>
          <t>JÖNKÖPING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46257</v>
      </c>
      <c r="F573" t="inlineStr">
        <is>
          <t>JÖNKÖPINGS LÄN</t>
        </is>
      </c>
      <c r="G573" t="inlineStr">
        <is>
          <t>JÖNKÖPING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46059</v>
      </c>
      <c r="E574" s="1" t="n">
        <v>46257</v>
      </c>
      <c r="F574" t="inlineStr">
        <is>
          <t>JÖNKÖPINGS LÄN</t>
        </is>
      </c>
      <c r="G574" t="inlineStr">
        <is>
          <t>JÖNKÖPING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46257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46257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46257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46059</v>
      </c>
      <c r="E578" s="1" t="n">
        <v>46257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44734</v>
      </c>
      <c r="E579" s="1" t="n">
        <v>46257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44734</v>
      </c>
      <c r="E580" s="1" t="n">
        <v>46257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Kyrkan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59318-2022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46257</v>
      </c>
      <c r="F581" t="inlineStr">
        <is>
          <t>JÖNKÖPINGS LÄN</t>
        </is>
      </c>
      <c r="G581" t="inlineStr">
        <is>
          <t>JÖNKÖPING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18846-2025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46257</v>
      </c>
      <c r="F582" t="inlineStr">
        <is>
          <t>JÖNKÖPINGS LÄN</t>
        </is>
      </c>
      <c r="G582" t="inlineStr">
        <is>
          <t>JÖNKÖPING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46257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46257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46257</v>
      </c>
      <c r="F585" t="inlineStr">
        <is>
          <t>JÖNKÖPINGS LÄN</t>
        </is>
      </c>
      <c r="G585" t="inlineStr">
        <is>
          <t>JÖNKÖPING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45887</v>
      </c>
      <c r="E586" s="1" t="n">
        <v>46257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46257</v>
      </c>
      <c r="F587" t="inlineStr">
        <is>
          <t>JÖNKÖPINGS LÄN</t>
        </is>
      </c>
      <c r="G587" t="inlineStr">
        <is>
          <t>JÖNKÖPING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8072-2026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46257</v>
      </c>
      <c r="F588" t="inlineStr">
        <is>
          <t>JÖNKÖPINGS LÄN</t>
        </is>
      </c>
      <c r="G588" t="inlineStr">
        <is>
          <t>JÖNKÖPING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46321-2023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46257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46257</v>
      </c>
      <c r="F590" t="inlineStr">
        <is>
          <t>JÖNKÖPINGS LÄN</t>
        </is>
      </c>
      <c r="G590" t="inlineStr">
        <is>
          <t>JÖNKÖPING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46257</v>
      </c>
      <c r="F591" t="inlineStr">
        <is>
          <t>JÖNKÖPINGS LÄN</t>
        </is>
      </c>
      <c r="G591" t="inlineStr">
        <is>
          <t>JÖNKÖPING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46257</v>
      </c>
      <c r="F592" t="inlineStr">
        <is>
          <t>JÖNKÖPINGS LÄN</t>
        </is>
      </c>
      <c r="G592" t="inlineStr">
        <is>
          <t>JÖNKÖPING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46257</v>
      </c>
      <c r="F593" t="inlineStr">
        <is>
          <t>JÖNKÖPINGS LÄN</t>
        </is>
      </c>
      <c r="G593" t="inlineStr">
        <is>
          <t>JÖNKÖPING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9067-2026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46069</v>
      </c>
      <c r="E594" s="1" t="n">
        <v>46257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47009-2025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45929</v>
      </c>
      <c r="E595" s="1" t="n">
        <v>46257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9073-2026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46069</v>
      </c>
      <c r="E596" s="1" t="n">
        <v>46257</v>
      </c>
      <c r="F596" t="inlineStr">
        <is>
          <t>JÖNKÖPINGS LÄN</t>
        </is>
      </c>
      <c r="G596" t="inlineStr">
        <is>
          <t>JÖNKÖPING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46219</v>
      </c>
      <c r="E597" s="1" t="n">
        <v>46257</v>
      </c>
      <c r="F597" t="inlineStr">
        <is>
          <t>JÖNKÖPINGS LÄN</t>
        </is>
      </c>
      <c r="G597" t="inlineStr">
        <is>
          <t>JÖNKÖPING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9020-2026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46069</v>
      </c>
      <c r="E598" s="1" t="n">
        <v>46257</v>
      </c>
      <c r="F598" t="inlineStr">
        <is>
          <t>JÖNKÖPINGS LÄN</t>
        </is>
      </c>
      <c r="G598" t="inlineStr">
        <is>
          <t>JÖNKÖPING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46257</v>
      </c>
      <c r="F599" t="inlineStr">
        <is>
          <t>JÖNKÖPINGS LÄN</t>
        </is>
      </c>
      <c r="G599" t="inlineStr">
        <is>
          <t>JÖNKÖPING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46257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46257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46257</v>
      </c>
      <c r="F602" t="inlineStr">
        <is>
          <t>JÖNKÖPINGS LÄN</t>
        </is>
      </c>
      <c r="G602" t="inlineStr">
        <is>
          <t>JÖNKÖPING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21924-2022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44711</v>
      </c>
      <c r="E603" s="1" t="n">
        <v>46257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28305-2024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46257</v>
      </c>
      <c r="F604" t="inlineStr">
        <is>
          <t>JÖNKÖPINGS LÄN</t>
        </is>
      </c>
      <c r="G604" t="inlineStr">
        <is>
          <t>JÖNKÖPING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45477</v>
      </c>
      <c r="E605" s="1" t="n">
        <v>46257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9926-2026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46073</v>
      </c>
      <c r="E606" s="1" t="n">
        <v>46257</v>
      </c>
      <c r="F606" t="inlineStr">
        <is>
          <t>JÖNKÖPINGS LÄN</t>
        </is>
      </c>
      <c r="G606" t="inlineStr">
        <is>
          <t>JÖNKÖPING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45299</v>
      </c>
      <c r="E607" s="1" t="n">
        <v>46257</v>
      </c>
      <c r="F607" t="inlineStr">
        <is>
          <t>JÖNKÖPINGS LÄN</t>
        </is>
      </c>
      <c r="G607" t="inlineStr">
        <is>
          <t>JÖNKÖPING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12301-2023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44998</v>
      </c>
      <c r="E608" s="1" t="n">
        <v>46257</v>
      </c>
      <c r="F608" t="inlineStr">
        <is>
          <t>JÖNKÖPINGS LÄN</t>
        </is>
      </c>
      <c r="G608" t="inlineStr">
        <is>
          <t>JÖNKÖPING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41481-2023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45175</v>
      </c>
      <c r="E609" s="1" t="n">
        <v>46257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33492-2023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45118</v>
      </c>
      <c r="E610" s="1" t="n">
        <v>46257</v>
      </c>
      <c r="F610" t="inlineStr">
        <is>
          <t>JÖNKÖPINGS LÄN</t>
        </is>
      </c>
      <c r="G610" t="inlineStr">
        <is>
          <t>JÖNKÖPING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44591</v>
      </c>
      <c r="E611" s="1" t="n">
        <v>46257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46257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46257</v>
      </c>
      <c r="F613" t="inlineStr">
        <is>
          <t>JÖNKÖPINGS LÄN</t>
        </is>
      </c>
      <c r="G613" t="inlineStr">
        <is>
          <t>JÖNKÖPING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46257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45211</v>
      </c>
      <c r="E615" s="1" t="n">
        <v>46257</v>
      </c>
      <c r="F615" t="inlineStr">
        <is>
          <t>JÖNKÖPINGS LÄN</t>
        </is>
      </c>
      <c r="G615" t="inlineStr">
        <is>
          <t>JÖNKÖPING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45112</v>
      </c>
      <c r="E616" s="1" t="n">
        <v>46257</v>
      </c>
      <c r="F616" t="inlineStr">
        <is>
          <t>JÖNKÖPINGS LÄN</t>
        </is>
      </c>
      <c r="G616" t="inlineStr">
        <is>
          <t>JÖNKÖPING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11801-2024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45375</v>
      </c>
      <c r="E617" s="1" t="n">
        <v>46257</v>
      </c>
      <c r="F617" t="inlineStr">
        <is>
          <t>JÖNKÖPINGS LÄN</t>
        </is>
      </c>
      <c r="G617" t="inlineStr">
        <is>
          <t>JÖNKÖPING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37498-2024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46257</v>
      </c>
      <c r="F618" t="inlineStr">
        <is>
          <t>JÖNKÖPINGS LÄN</t>
        </is>
      </c>
      <c r="G618" t="inlineStr">
        <is>
          <t>JÖNKÖPING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46257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Kyrkan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46087</v>
      </c>
      <c r="E620" s="1" t="n">
        <v>46257</v>
      </c>
      <c r="F620" t="inlineStr">
        <is>
          <t>JÖNKÖPINGS LÄN</t>
        </is>
      </c>
      <c r="G620" t="inlineStr">
        <is>
          <t>JÖNKÖPING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48305-2022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44853</v>
      </c>
      <c r="E621" s="1" t="n">
        <v>46257</v>
      </c>
      <c r="F621" t="inlineStr">
        <is>
          <t>JÖNKÖPINGS LÄN</t>
        </is>
      </c>
      <c r="G621" t="inlineStr">
        <is>
          <t>JÖNKÖPING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30547-2024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45492</v>
      </c>
      <c r="E622" s="1" t="n">
        <v>46257</v>
      </c>
      <c r="F622" t="inlineStr">
        <is>
          <t>JÖNKÖPINGS LÄN</t>
        </is>
      </c>
      <c r="G622" t="inlineStr">
        <is>
          <t>JÖNKÖPING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27791-2026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46189</v>
      </c>
      <c r="E623" s="1" t="n">
        <v>46257</v>
      </c>
      <c r="F623" t="inlineStr">
        <is>
          <t>JÖNKÖPINGS LÄN</t>
        </is>
      </c>
      <c r="G623" t="inlineStr">
        <is>
          <t>JÖNKÖPING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46257</v>
      </c>
      <c r="F624" t="inlineStr">
        <is>
          <t>JÖNKÖPINGS LÄN</t>
        </is>
      </c>
      <c r="G624" t="inlineStr">
        <is>
          <t>JÖNKÖPING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46257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42110-2024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46257</v>
      </c>
      <c r="F626" t="inlineStr">
        <is>
          <t>JÖNKÖPINGS LÄN</t>
        </is>
      </c>
      <c r="G626" t="inlineStr">
        <is>
          <t>JÖNKÖPING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28232-2024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46257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28234-2024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46257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46091</v>
      </c>
      <c r="E629" s="1" t="n">
        <v>46257</v>
      </c>
      <c r="F629" t="inlineStr">
        <is>
          <t>JÖNKÖPINGS LÄN</t>
        </is>
      </c>
      <c r="G629" t="inlineStr">
        <is>
          <t>JÖNKÖPING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9462-2024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46257</v>
      </c>
      <c r="F630" t="inlineStr">
        <is>
          <t>JÖNKÖPINGS LÄN</t>
        </is>
      </c>
      <c r="G630" t="inlineStr">
        <is>
          <t>JÖNKÖPING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46257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56441-2023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45243</v>
      </c>
      <c r="E632" s="1" t="n">
        <v>46257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Övriga Aktiebolag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45184</v>
      </c>
      <c r="E633" s="1" t="n">
        <v>46257</v>
      </c>
      <c r="F633" t="inlineStr">
        <is>
          <t>JÖNKÖPINGS LÄN</t>
        </is>
      </c>
      <c r="G633" t="inlineStr">
        <is>
          <t>JÖNKÖPING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46230</v>
      </c>
      <c r="E634" s="1" t="n">
        <v>46257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Sveaskog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44950</v>
      </c>
      <c r="E635" s="1" t="n">
        <v>46257</v>
      </c>
      <c r="F635" t="inlineStr">
        <is>
          <t>JÖNKÖPINGS LÄN</t>
        </is>
      </c>
      <c r="G635" t="inlineStr">
        <is>
          <t>JÖNKÖPING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44950</v>
      </c>
      <c r="E636" s="1" t="n">
        <v>46257</v>
      </c>
      <c r="F636" t="inlineStr">
        <is>
          <t>JÖNKÖPINGS LÄN</t>
        </is>
      </c>
      <c r="G636" t="inlineStr">
        <is>
          <t>JÖNKÖPING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46257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8.300000000000001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46233</v>
      </c>
      <c r="E638" s="1" t="n">
        <v>46257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Sveaskog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46234</v>
      </c>
      <c r="E639" s="1" t="n">
        <v>46257</v>
      </c>
      <c r="F639" t="inlineStr">
        <is>
          <t>JÖNKÖPINGS LÄN</t>
        </is>
      </c>
      <c r="G639" t="inlineStr">
        <is>
          <t>JÖNKÖPING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32147-2026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46234</v>
      </c>
      <c r="E640" s="1" t="n">
        <v>46257</v>
      </c>
      <c r="F640" t="inlineStr">
        <is>
          <t>JÖNKÖPINGS LÄN</t>
        </is>
      </c>
      <c r="G640" t="inlineStr">
        <is>
          <t>JÖNKÖPING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44930</v>
      </c>
      <c r="E641" s="1" t="n">
        <v>46257</v>
      </c>
      <c r="F641" t="inlineStr">
        <is>
          <t>JÖNKÖPINGS LÄN</t>
        </is>
      </c>
      <c r="G641" t="inlineStr">
        <is>
          <t>JÖNKÖPING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35451-2024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45531</v>
      </c>
      <c r="E642" s="1" t="n">
        <v>46257</v>
      </c>
      <c r="F642" t="inlineStr">
        <is>
          <t>JÖNKÖPINGS LÄN</t>
        </is>
      </c>
      <c r="G642" t="inlineStr">
        <is>
          <t>JÖNKÖPING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17384-2025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45757</v>
      </c>
      <c r="E643" s="1" t="n">
        <v>46257</v>
      </c>
      <c r="F643" t="inlineStr">
        <is>
          <t>JÖNKÖPINGS LÄN</t>
        </is>
      </c>
      <c r="G643" t="inlineStr">
        <is>
          <t>JÖNKÖPING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46257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45462</v>
      </c>
      <c r="E645" s="1" t="n">
        <v>46257</v>
      </c>
      <c r="F645" t="inlineStr">
        <is>
          <t>JÖNKÖPINGS LÄN</t>
        </is>
      </c>
      <c r="G645" t="inlineStr">
        <is>
          <t>JÖNKÖPING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46257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32136-2026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46234</v>
      </c>
      <c r="E647" s="1" t="n">
        <v>46257</v>
      </c>
      <c r="F647" t="inlineStr">
        <is>
          <t>JÖNKÖPINGS LÄN</t>
        </is>
      </c>
      <c r="G647" t="inlineStr">
        <is>
          <t>JÖNKÖPING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32137-2026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46234</v>
      </c>
      <c r="E648" s="1" t="n">
        <v>46257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46971-2023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46257</v>
      </c>
      <c r="F649" t="inlineStr">
        <is>
          <t>JÖNKÖPINGS LÄN</t>
        </is>
      </c>
      <c r="G649" t="inlineStr">
        <is>
          <t>JÖNKÖPING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23055-2022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44719</v>
      </c>
      <c r="E650" s="1" t="n">
        <v>46257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46257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46257</v>
      </c>
      <c r="F652" t="inlineStr">
        <is>
          <t>JÖNKÖPINGS LÄN</t>
        </is>
      </c>
      <c r="G652" t="inlineStr">
        <is>
          <t>JÖNKÖPING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29292-2026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46197</v>
      </c>
      <c r="E653" s="1" t="n">
        <v>46257</v>
      </c>
      <c r="F653" t="inlineStr">
        <is>
          <t>JÖNKÖPINGS LÄN</t>
        </is>
      </c>
      <c r="G653" t="inlineStr">
        <is>
          <t>JÖNKÖPING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45099</v>
      </c>
      <c r="E654" s="1" t="n">
        <v>46257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32542-2026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46257</v>
      </c>
      <c r="F655" t="inlineStr">
        <is>
          <t>JÖNKÖPINGS LÄN</t>
        </is>
      </c>
      <c r="G655" t="inlineStr">
        <is>
          <t>JÖNKÖPING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46257</v>
      </c>
      <c r="F656" t="inlineStr">
        <is>
          <t>JÖNKÖPINGS LÄN</t>
        </is>
      </c>
      <c r="G656" t="inlineStr">
        <is>
          <t>JÖNKÖPING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46257</v>
      </c>
      <c r="F657" t="inlineStr">
        <is>
          <t>JÖNKÖPINGS LÄN</t>
        </is>
      </c>
      <c r="G657" t="inlineStr">
        <is>
          <t>JÖNKÖPING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46257</v>
      </c>
      <c r="F658" t="inlineStr">
        <is>
          <t>JÖNKÖPINGS LÄN</t>
        </is>
      </c>
      <c r="G658" t="inlineStr">
        <is>
          <t>JÖNKÖPING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48404-2023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45201</v>
      </c>
      <c r="E659" s="1" t="n">
        <v>46257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Kyrkan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9924-2023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44985</v>
      </c>
      <c r="E660" s="1" t="n">
        <v>46257</v>
      </c>
      <c r="F660" t="inlineStr">
        <is>
          <t>JÖNKÖPINGS LÄN</t>
        </is>
      </c>
      <c r="G660" t="inlineStr">
        <is>
          <t>JÖNKÖPING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46257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46119</v>
      </c>
      <c r="E662" s="1" t="n">
        <v>46257</v>
      </c>
      <c r="F662" t="inlineStr">
        <is>
          <t>JÖNKÖPINGS LÄN</t>
        </is>
      </c>
      <c r="G662" t="inlineStr">
        <is>
          <t>JÖNKÖPING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17532-2026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46257</v>
      </c>
      <c r="F663" t="inlineStr">
        <is>
          <t>JÖNKÖPINGS LÄN</t>
        </is>
      </c>
      <c r="G663" t="inlineStr">
        <is>
          <t>JÖNKÖPING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57180-2023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45245</v>
      </c>
      <c r="E664" s="1" t="n">
        <v>46257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46257</v>
      </c>
      <c r="F665" t="inlineStr">
        <is>
          <t>JÖNKÖPINGS LÄN</t>
        </is>
      </c>
      <c r="G665" t="inlineStr">
        <is>
          <t>JÖNKÖPING</t>
        </is>
      </c>
      <c r="I665" t="n">
        <v>7.4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46257</v>
      </c>
      <c r="F666" t="inlineStr">
        <is>
          <t>JÖNKÖPINGS LÄN</t>
        </is>
      </c>
      <c r="G666" t="inlineStr">
        <is>
          <t>JÖNKÖPING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46257</v>
      </c>
      <c r="F667" t="inlineStr">
        <is>
          <t>JÖNKÖPINGS LÄN</t>
        </is>
      </c>
      <c r="G667" t="inlineStr">
        <is>
          <t>JÖNKÖPING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46257</v>
      </c>
      <c r="F668" t="inlineStr">
        <is>
          <t>JÖNKÖPINGS LÄN</t>
        </is>
      </c>
      <c r="G668" t="inlineStr">
        <is>
          <t>JÖNKÖPING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46257</v>
      </c>
      <c r="F669" t="inlineStr">
        <is>
          <t>JÖNKÖPINGS LÄN</t>
        </is>
      </c>
      <c r="G669" t="inlineStr">
        <is>
          <t>JÖNKÖPING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45295</v>
      </c>
      <c r="E670" s="1" t="n">
        <v>46257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28824-2026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46257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36147-2024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45534</v>
      </c>
      <c r="E672" s="1" t="n">
        <v>46257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54394-2024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46257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44564</v>
      </c>
      <c r="E674" s="1" t="n">
        <v>46257</v>
      </c>
      <c r="F674" t="inlineStr">
        <is>
          <t>JÖNKÖPINGS LÄN</t>
        </is>
      </c>
      <c r="G674" t="inlineStr">
        <is>
          <t>JÖNKÖPING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32851-2026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46257</v>
      </c>
      <c r="F675" t="inlineStr">
        <is>
          <t>JÖNKÖPINGS LÄN</t>
        </is>
      </c>
      <c r="G675" t="inlineStr">
        <is>
          <t>JÖNKÖPING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12042-2024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45377</v>
      </c>
      <c r="E676" s="1" t="n">
        <v>46257</v>
      </c>
      <c r="F676" t="inlineStr">
        <is>
          <t>JÖNKÖPINGS LÄN</t>
        </is>
      </c>
      <c r="G676" t="inlineStr">
        <is>
          <t>JÖNKÖPING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45219</v>
      </c>
      <c r="E677" s="1" t="n">
        <v>46257</v>
      </c>
      <c r="F677" t="inlineStr">
        <is>
          <t>JÖNKÖPINGS LÄN</t>
        </is>
      </c>
      <c r="G677" t="inlineStr">
        <is>
          <t>JÖNKÖPING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32836-2026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46244</v>
      </c>
      <c r="E678" s="1" t="n">
        <v>46257</v>
      </c>
      <c r="F678" t="inlineStr">
        <is>
          <t>JÖNKÖPINGS LÄN</t>
        </is>
      </c>
      <c r="G678" t="inlineStr">
        <is>
          <t>JÖNKÖPING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32866-2026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46244</v>
      </c>
      <c r="E679" s="1" t="n">
        <v>46257</v>
      </c>
      <c r="F679" t="inlineStr">
        <is>
          <t>JÖNKÖPINGS LÄN</t>
        </is>
      </c>
      <c r="G679" t="inlineStr">
        <is>
          <t>JÖNKÖPING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45363</v>
      </c>
      <c r="E680" s="1" t="n">
        <v>46257</v>
      </c>
      <c r="F680" t="inlineStr">
        <is>
          <t>JÖNKÖPINGS LÄN</t>
        </is>
      </c>
      <c r="G680" t="inlineStr">
        <is>
          <t>JÖNKÖPING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56051-2023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45240</v>
      </c>
      <c r="E681" s="1" t="n">
        <v>46257</v>
      </c>
      <c r="F681" t="inlineStr">
        <is>
          <t>JÖNKÖPINGS LÄN</t>
        </is>
      </c>
      <c r="G681" t="inlineStr">
        <is>
          <t>JÖNKÖPING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46201</v>
      </c>
      <c r="E682" s="1" t="n">
        <v>46257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46201</v>
      </c>
      <c r="E683" s="1" t="n">
        <v>46257</v>
      </c>
      <c r="F683" t="inlineStr">
        <is>
          <t>JÖNKÖPINGS LÄN</t>
        </is>
      </c>
      <c r="G683" t="inlineStr">
        <is>
          <t>JÖNKÖPING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46201</v>
      </c>
      <c r="E684" s="1" t="n">
        <v>46257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6634-2023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44966</v>
      </c>
      <c r="E685" s="1" t="n">
        <v>46257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45408-2023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45194</v>
      </c>
      <c r="E686" s="1" t="n">
        <v>46257</v>
      </c>
      <c r="F686" t="inlineStr">
        <is>
          <t>JÖNKÖPINGS LÄN</t>
        </is>
      </c>
      <c r="G686" t="inlineStr">
        <is>
          <t>JÖNKÖPING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45412-2023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45194</v>
      </c>
      <c r="E687" s="1" t="n">
        <v>46257</v>
      </c>
      <c r="F687" t="inlineStr">
        <is>
          <t>JÖNKÖPINGS LÄN</t>
        </is>
      </c>
      <c r="G687" t="inlineStr">
        <is>
          <t>JÖNKÖPING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45112</v>
      </c>
      <c r="E688" s="1" t="n">
        <v>46257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46257</v>
      </c>
      <c r="F689" t="inlineStr">
        <is>
          <t>JÖNKÖPINGS LÄN</t>
        </is>
      </c>
      <c r="G689" t="inlineStr">
        <is>
          <t>JÖNKÖPING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45015</v>
      </c>
      <c r="E690" s="1" t="n">
        <v>46257</v>
      </c>
      <c r="F690" t="inlineStr">
        <is>
          <t>JÖNKÖPINGS LÄN</t>
        </is>
      </c>
      <c r="G690" t="inlineStr">
        <is>
          <t>JÖNKÖPING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46257</v>
      </c>
      <c r="F691" t="inlineStr">
        <is>
          <t>JÖNKÖPINGS LÄN</t>
        </is>
      </c>
      <c r="G691" t="inlineStr">
        <is>
          <t>JÖNKÖPING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59218-2022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46257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45049</v>
      </c>
      <c r="E693" s="1" t="n">
        <v>46257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45338</v>
      </c>
      <c r="E694" s="1" t="n">
        <v>46257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Kyrkan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46257</v>
      </c>
      <c r="F695" t="inlineStr">
        <is>
          <t>JÖNKÖPINGS LÄN</t>
        </is>
      </c>
      <c r="G695" t="inlineStr">
        <is>
          <t>JÖNKÖPING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46257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46257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31405-2026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46220</v>
      </c>
      <c r="E698" s="1" t="n">
        <v>46257</v>
      </c>
      <c r="F698" t="inlineStr">
        <is>
          <t>JÖNKÖPINGS LÄN</t>
        </is>
      </c>
      <c r="G698" t="inlineStr">
        <is>
          <t>JÖNKÖPING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56747-2022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44894</v>
      </c>
      <c r="E699" s="1" t="n">
        <v>46257</v>
      </c>
      <c r="F699" t="inlineStr">
        <is>
          <t>JÖNKÖPINGS LÄN</t>
        </is>
      </c>
      <c r="G699" t="inlineStr">
        <is>
          <t>JÖNKÖPING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46257</v>
      </c>
      <c r="F700" t="inlineStr">
        <is>
          <t>JÖNKÖPINGS LÄN</t>
        </is>
      </c>
      <c r="G700" t="inlineStr">
        <is>
          <t>JÖNKÖPING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56569-2022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44893</v>
      </c>
      <c r="E701" s="1" t="n">
        <v>46257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7177-2022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44605</v>
      </c>
      <c r="E702" s="1" t="n">
        <v>46257</v>
      </c>
      <c r="F702" t="inlineStr">
        <is>
          <t>JÖNKÖPINGS LÄN</t>
        </is>
      </c>
      <c r="G702" t="inlineStr">
        <is>
          <t>JÖNKÖPING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26888-2025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45810</v>
      </c>
      <c r="E703" s="1" t="n">
        <v>46257</v>
      </c>
      <c r="F703" t="inlineStr">
        <is>
          <t>JÖNKÖPINGS LÄN</t>
        </is>
      </c>
      <c r="G703" t="inlineStr">
        <is>
          <t>JÖNKÖPING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46460-2023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45197</v>
      </c>
      <c r="E704" s="1" t="n">
        <v>46257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46257</v>
      </c>
      <c r="F705" t="inlineStr">
        <is>
          <t>JÖNKÖPINGS LÄN</t>
        </is>
      </c>
      <c r="G705" t="inlineStr">
        <is>
          <t>JÖNKÖPING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33363-2026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46247</v>
      </c>
      <c r="E706" s="1" t="n">
        <v>46257</v>
      </c>
      <c r="F706" t="inlineStr">
        <is>
          <t>JÖNKÖPINGS LÄN</t>
        </is>
      </c>
      <c r="G706" t="inlineStr">
        <is>
          <t>JÖNKÖPING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44985</v>
      </c>
      <c r="E707" s="1" t="n">
        <v>46257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46257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33527-2026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46248</v>
      </c>
      <c r="E709" s="1" t="n">
        <v>46257</v>
      </c>
      <c r="F709" t="inlineStr">
        <is>
          <t>JÖNKÖPINGS LÄN</t>
        </is>
      </c>
      <c r="G709" t="inlineStr">
        <is>
          <t>JÖNKÖPING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46257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57715-2021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44484</v>
      </c>
      <c r="E711" s="1" t="n">
        <v>46257</v>
      </c>
      <c r="F711" t="inlineStr">
        <is>
          <t>JÖNKÖPINGS LÄN</t>
        </is>
      </c>
      <c r="G711" t="inlineStr">
        <is>
          <t>JÖNKÖPING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46257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46257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46257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7401-2025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45705</v>
      </c>
      <c r="E715" s="1" t="n">
        <v>46257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30287-2026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46257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14228-2025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45740</v>
      </c>
      <c r="E717" s="1" t="n">
        <v>46257</v>
      </c>
      <c r="F717" t="inlineStr">
        <is>
          <t>JÖNKÖPINGS LÄN</t>
        </is>
      </c>
      <c r="G717" t="inlineStr">
        <is>
          <t>JÖNKÖPING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5661-2025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45693</v>
      </c>
      <c r="E718" s="1" t="n">
        <v>46257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31757-2025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45834</v>
      </c>
      <c r="E719" s="1" t="n">
        <v>46257</v>
      </c>
      <c r="F719" t="inlineStr">
        <is>
          <t>JÖNKÖPINGS LÄN</t>
        </is>
      </c>
      <c r="G719" t="inlineStr">
        <is>
          <t>JÖNKÖPING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40923-2024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45558</v>
      </c>
      <c r="E720" s="1" t="n">
        <v>46257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14227-2023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45009</v>
      </c>
      <c r="E721" s="1" t="n">
        <v>46257</v>
      </c>
      <c r="F721" t="inlineStr">
        <is>
          <t>JÖNKÖPINGS LÄN</t>
        </is>
      </c>
      <c r="G721" t="inlineStr">
        <is>
          <t>JÖNKÖPING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61759-2025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46002</v>
      </c>
      <c r="E722" s="1" t="n">
        <v>46257</v>
      </c>
      <c r="F722" t="inlineStr">
        <is>
          <t>JÖNKÖPINGS LÄN</t>
        </is>
      </c>
      <c r="G722" t="inlineStr">
        <is>
          <t>JÖNKÖPING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46257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33256-2023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45127</v>
      </c>
      <c r="E724" s="1" t="n">
        <v>46257</v>
      </c>
      <c r="F724" t="inlineStr">
        <is>
          <t>JÖNKÖPINGS LÄN</t>
        </is>
      </c>
      <c r="G724" t="inlineStr">
        <is>
          <t>JÖNKÖPING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44677</v>
      </c>
      <c r="E725" s="1" t="n">
        <v>46257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45756</v>
      </c>
      <c r="E726" s="1" t="n">
        <v>46257</v>
      </c>
      <c r="F726" t="inlineStr">
        <is>
          <t>JÖNKÖPINGS LÄN</t>
        </is>
      </c>
      <c r="G726" t="inlineStr">
        <is>
          <t>JÖNKÖPING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46257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Kyrkan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4309-2024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45324</v>
      </c>
      <c r="E728" s="1" t="n">
        <v>46257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45324</v>
      </c>
      <c r="E729" s="1" t="n">
        <v>46257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Kyrkan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45671</v>
      </c>
      <c r="E730" s="1" t="n">
        <v>46257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45414</v>
      </c>
      <c r="E731" s="1" t="n">
        <v>46257</v>
      </c>
      <c r="F731" t="inlineStr">
        <is>
          <t>JÖNKÖPINGS LÄN</t>
        </is>
      </c>
      <c r="G731" t="inlineStr">
        <is>
          <t>JÖNKÖPING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46257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34038-2026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46257</v>
      </c>
      <c r="F733" t="inlineStr">
        <is>
          <t>JÖNKÖPINGS LÄN</t>
        </is>
      </c>
      <c r="G733" t="inlineStr">
        <is>
          <t>JÖNKÖPING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45730</v>
      </c>
      <c r="E734" s="1" t="n">
        <v>46257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33417-2025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45841</v>
      </c>
      <c r="E735" s="1" t="n">
        <v>46257</v>
      </c>
      <c r="F735" t="inlineStr">
        <is>
          <t>JÖNKÖPINGS LÄN</t>
        </is>
      </c>
      <c r="G735" t="inlineStr">
        <is>
          <t>JÖNKÖPING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44741</v>
      </c>
      <c r="E736" s="1" t="n">
        <v>46257</v>
      </c>
      <c r="F736" t="inlineStr">
        <is>
          <t>JÖNKÖPINGS LÄN</t>
        </is>
      </c>
      <c r="G736" t="inlineStr">
        <is>
          <t>JÖNKÖPING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34450-2025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45846</v>
      </c>
      <c r="E737" s="1" t="n">
        <v>46257</v>
      </c>
      <c r="F737" t="inlineStr">
        <is>
          <t>JÖNKÖPINGS LÄN</t>
        </is>
      </c>
      <c r="G737" t="inlineStr">
        <is>
          <t>JÖNKÖPING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52058-2023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45223</v>
      </c>
      <c r="E738" s="1" t="n">
        <v>46257</v>
      </c>
      <c r="F738" t="inlineStr">
        <is>
          <t>JÖNKÖPINGS LÄN</t>
        </is>
      </c>
      <c r="G738" t="inlineStr">
        <is>
          <t>JÖNKÖPING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37503-2024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45541</v>
      </c>
      <c r="E739" s="1" t="n">
        <v>46257</v>
      </c>
      <c r="F739" t="inlineStr">
        <is>
          <t>JÖNKÖPINGS LÄN</t>
        </is>
      </c>
      <c r="G739" t="inlineStr">
        <is>
          <t>JÖNKÖPING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51363-2025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45947</v>
      </c>
      <c r="E740" s="1" t="n">
        <v>46257</v>
      </c>
      <c r="F740" t="inlineStr">
        <is>
          <t>JÖNKÖPINGS LÄN</t>
        </is>
      </c>
      <c r="G740" t="inlineStr">
        <is>
          <t>JÖNKÖPING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46257</v>
      </c>
      <c r="F741" t="inlineStr">
        <is>
          <t>JÖNKÖPINGS LÄN</t>
        </is>
      </c>
      <c r="G741" t="inlineStr">
        <is>
          <t>JÖNKÖPING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46257</v>
      </c>
      <c r="F742" t="inlineStr">
        <is>
          <t>JÖNKÖPINGS LÄN</t>
        </is>
      </c>
      <c r="G742" t="inlineStr">
        <is>
          <t>JÖNKÖPING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46257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51032-2025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45947</v>
      </c>
      <c r="E744" s="1" t="n">
        <v>46257</v>
      </c>
      <c r="F744" t="inlineStr">
        <is>
          <t>JÖNKÖPINGS LÄN</t>
        </is>
      </c>
      <c r="G744" t="inlineStr">
        <is>
          <t>JÖNKÖPING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46257</v>
      </c>
      <c r="F745" t="inlineStr">
        <is>
          <t>JÖNKÖPINGS LÄN</t>
        </is>
      </c>
      <c r="G745" t="inlineStr">
        <is>
          <t>JÖNKÖPING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46257</v>
      </c>
      <c r="F746" t="inlineStr">
        <is>
          <t>JÖNKÖPINGS LÄN</t>
        </is>
      </c>
      <c r="G746" t="inlineStr">
        <is>
          <t>JÖNKÖPING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20384-2024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45435</v>
      </c>
      <c r="E747" s="1" t="n">
        <v>46257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33674-2026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46248</v>
      </c>
      <c r="E748" s="1" t="n">
        <v>46257</v>
      </c>
      <c r="F748" t="inlineStr">
        <is>
          <t>JÖNKÖPINGS LÄN</t>
        </is>
      </c>
      <c r="G748" t="inlineStr">
        <is>
          <t>JÖNKÖPING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18972-2025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45764</v>
      </c>
      <c r="E749" s="1" t="n">
        <v>46257</v>
      </c>
      <c r="F749" t="inlineStr">
        <is>
          <t>JÖNKÖPINGS LÄN</t>
        </is>
      </c>
      <c r="G749" t="inlineStr">
        <is>
          <t>JÖNKÖPING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46257</v>
      </c>
      <c r="F750" t="inlineStr">
        <is>
          <t>JÖNKÖPINGS LÄN</t>
        </is>
      </c>
      <c r="G750" t="inlineStr">
        <is>
          <t>JÖNKÖPING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46257</v>
      </c>
      <c r="F751" t="inlineStr">
        <is>
          <t>JÖNKÖPINGS LÄN</t>
        </is>
      </c>
      <c r="G751" t="inlineStr">
        <is>
          <t>JÖNKÖPING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6970-2023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44967</v>
      </c>
      <c r="E752" s="1" t="n">
        <v>46257</v>
      </c>
      <c r="F752" t="inlineStr">
        <is>
          <t>JÖNKÖPINGS LÄN</t>
        </is>
      </c>
      <c r="G752" t="inlineStr">
        <is>
          <t>JÖNKÖPING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46257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46212</v>
      </c>
      <c r="E754" s="1" t="n">
        <v>46257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26208-2022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44734</v>
      </c>
      <c r="E755" s="1" t="n">
        <v>46257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Kyrkan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46257</v>
      </c>
      <c r="F756" t="inlineStr">
        <is>
          <t>JÖNKÖPINGS LÄN</t>
        </is>
      </c>
      <c r="G756" t="inlineStr">
        <is>
          <t>JÖNKÖPING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46211</v>
      </c>
      <c r="E757" s="1" t="n">
        <v>46257</v>
      </c>
      <c r="F757" t="inlineStr">
        <is>
          <t>JÖNKÖPINGS LÄN</t>
        </is>
      </c>
      <c r="G757" t="inlineStr">
        <is>
          <t>JÖNKÖPING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46257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46211</v>
      </c>
      <c r="E759" s="1" t="n">
        <v>46257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15315-2025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45747</v>
      </c>
      <c r="E760" s="1" t="n">
        <v>46257</v>
      </c>
      <c r="F760" t="inlineStr">
        <is>
          <t>JÖNKÖPINGS LÄN</t>
        </is>
      </c>
      <c r="G760" t="inlineStr">
        <is>
          <t>JÖNKÖPING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30837-2026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46212</v>
      </c>
      <c r="E761" s="1" t="n">
        <v>46257</v>
      </c>
      <c r="F761" t="inlineStr">
        <is>
          <t>JÖNKÖPINGS LÄN</t>
        </is>
      </c>
      <c r="G761" t="inlineStr">
        <is>
          <t>JÖNKÖPING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46211</v>
      </c>
      <c r="E762" s="1" t="n">
        <v>46257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35949-2024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45533</v>
      </c>
      <c r="E763" s="1" t="n">
        <v>46257</v>
      </c>
      <c r="F763" t="inlineStr">
        <is>
          <t>JÖNKÖPINGS LÄN</t>
        </is>
      </c>
      <c r="G763" t="inlineStr">
        <is>
          <t>JÖNKÖPING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12932-2025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45734</v>
      </c>
      <c r="E764" s="1" t="n">
        <v>46257</v>
      </c>
      <c r="F764" t="inlineStr">
        <is>
          <t>JÖNKÖPINGS LÄN</t>
        </is>
      </c>
      <c r="G764" t="inlineStr">
        <is>
          <t>JÖNKÖPING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7846-2025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46257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58437-2024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45635</v>
      </c>
      <c r="E766" s="1" t="n">
        <v>46257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37510-2024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45541</v>
      </c>
      <c r="E767" s="1" t="n">
        <v>46257</v>
      </c>
      <c r="F767" t="inlineStr">
        <is>
          <t>JÖNKÖPINGS LÄN</t>
        </is>
      </c>
      <c r="G767" t="inlineStr">
        <is>
          <t>JÖNKÖPING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47067-2023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46257</v>
      </c>
      <c r="F768" t="inlineStr">
        <is>
          <t>JÖNKÖPINGS LÄN</t>
        </is>
      </c>
      <c r="G768" t="inlineStr">
        <is>
          <t>JÖNKÖPING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45341</v>
      </c>
      <c r="E769" s="1" t="n">
        <v>46257</v>
      </c>
      <c r="F769" t="inlineStr">
        <is>
          <t>JÖNKÖPINGS LÄN</t>
        </is>
      </c>
      <c r="G769" t="inlineStr">
        <is>
          <t>JÖNKÖPING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44950</v>
      </c>
      <c r="E770" s="1" t="n">
        <v>46257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28337-2023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45099</v>
      </c>
      <c r="E771" s="1" t="n">
        <v>46257</v>
      </c>
      <c r="F771" t="inlineStr">
        <is>
          <t>JÖNKÖPINGS LÄN</t>
        </is>
      </c>
      <c r="G771" t="inlineStr">
        <is>
          <t>JÖNKÖPING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3746-2025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45681</v>
      </c>
      <c r="E772" s="1" t="n">
        <v>46257</v>
      </c>
      <c r="F772" t="inlineStr">
        <is>
          <t>JÖNKÖPINGS LÄN</t>
        </is>
      </c>
      <c r="G772" t="inlineStr">
        <is>
          <t>JÖNKÖPING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9604-2025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45715</v>
      </c>
      <c r="E773" s="1" t="n">
        <v>46257</v>
      </c>
      <c r="F773" t="inlineStr">
        <is>
          <t>JÖNKÖPINGS LÄN</t>
        </is>
      </c>
      <c r="G773" t="inlineStr">
        <is>
          <t>JÖNKÖPING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37170-2025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45875</v>
      </c>
      <c r="E774" s="1" t="n">
        <v>46257</v>
      </c>
      <c r="F774" t="inlineStr">
        <is>
          <t>JÖNKÖPINGS LÄN</t>
        </is>
      </c>
      <c r="G774" t="inlineStr">
        <is>
          <t>JÖNKÖPING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10760-2022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44627</v>
      </c>
      <c r="E775" s="1" t="n">
        <v>46257</v>
      </c>
      <c r="F775" t="inlineStr">
        <is>
          <t>JÖNKÖPINGS LÄN</t>
        </is>
      </c>
      <c r="G775" t="inlineStr">
        <is>
          <t>JÖNKÖPING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20425-2023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46257</v>
      </c>
      <c r="F776" t="inlineStr">
        <is>
          <t>JÖNKÖPINGS LÄN</t>
        </is>
      </c>
      <c r="G776" t="inlineStr">
        <is>
          <t>JÖNKÖPING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20315-2025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45775</v>
      </c>
      <c r="E777" s="1" t="n">
        <v>46257</v>
      </c>
      <c r="F777" t="inlineStr">
        <is>
          <t>JÖNKÖPINGS LÄN</t>
        </is>
      </c>
      <c r="G777" t="inlineStr">
        <is>
          <t>JÖNKÖPING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8554-2024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45355</v>
      </c>
      <c r="E778" s="1" t="n">
        <v>46257</v>
      </c>
      <c r="F778" t="inlineStr">
        <is>
          <t>JÖNKÖPINGS LÄN</t>
        </is>
      </c>
      <c r="G778" t="inlineStr">
        <is>
          <t>JÖNKÖPING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46257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Kyrkan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44588</v>
      </c>
      <c r="E780" s="1" t="n">
        <v>46257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44488</v>
      </c>
      <c r="E781" s="1" t="n">
        <v>46257</v>
      </c>
      <c r="F781" t="inlineStr">
        <is>
          <t>JÖNKÖPINGS LÄN</t>
        </is>
      </c>
      <c r="G781" t="inlineStr">
        <is>
          <t>JÖNKÖPING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46257</v>
      </c>
      <c r="F782" t="inlineStr">
        <is>
          <t>JÖNKÖPINGS LÄN</t>
        </is>
      </c>
      <c r="G782" t="inlineStr">
        <is>
          <t>JÖNKÖPING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45547</v>
      </c>
      <c r="E783" s="1" t="n">
        <v>46257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43573-2024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45569</v>
      </c>
      <c r="E784" s="1" t="n">
        <v>46257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57620-2022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44897</v>
      </c>
      <c r="E785" s="1" t="n">
        <v>46257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Kyrkan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18836-2025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45764</v>
      </c>
      <c r="E786" s="1" t="n">
        <v>46257</v>
      </c>
      <c r="F786" t="inlineStr">
        <is>
          <t>JÖNKÖPINGS LÄN</t>
        </is>
      </c>
      <c r="G786" t="inlineStr">
        <is>
          <t>JÖNKÖPING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46741-2023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45198</v>
      </c>
      <c r="E787" s="1" t="n">
        <v>46257</v>
      </c>
      <c r="F787" t="inlineStr">
        <is>
          <t>JÖNKÖPINGS LÄN</t>
        </is>
      </c>
      <c r="G787" t="inlineStr">
        <is>
          <t>JÖNKÖPING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20410-2023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45056</v>
      </c>
      <c r="E788" s="1" t="n">
        <v>46257</v>
      </c>
      <c r="F788" t="inlineStr">
        <is>
          <t>JÖNKÖPINGS LÄN</t>
        </is>
      </c>
      <c r="G788" t="inlineStr">
        <is>
          <t>JÖNKÖPING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45406</v>
      </c>
      <c r="E789" s="1" t="n">
        <v>46257</v>
      </c>
      <c r="F789" t="inlineStr">
        <is>
          <t>JÖNKÖPINGS LÄN</t>
        </is>
      </c>
      <c r="G789" t="inlineStr">
        <is>
          <t>JÖNKÖPING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16213-2024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45406</v>
      </c>
      <c r="E790" s="1" t="n">
        <v>46257</v>
      </c>
      <c r="F790" t="inlineStr">
        <is>
          <t>JÖNKÖPINGS LÄN</t>
        </is>
      </c>
      <c r="G790" t="inlineStr">
        <is>
          <t>JÖNKÖPING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45440</v>
      </c>
      <c r="E791" s="1" t="n">
        <v>46257</v>
      </c>
      <c r="F791" t="inlineStr">
        <is>
          <t>JÖNKÖPINGS LÄN</t>
        </is>
      </c>
      <c r="G791" t="inlineStr">
        <is>
          <t>JÖNKÖPING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50293-2023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45216</v>
      </c>
      <c r="E792" s="1" t="n">
        <v>46257</v>
      </c>
      <c r="F792" t="inlineStr">
        <is>
          <t>JÖNKÖPINGS LÄN</t>
        </is>
      </c>
      <c r="G792" t="inlineStr">
        <is>
          <t>JÖNKÖPING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26896-2024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45470</v>
      </c>
      <c r="E793" s="1" t="n">
        <v>46257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46257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33398-2024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46257</v>
      </c>
      <c r="F795" t="inlineStr">
        <is>
          <t>JÖNKÖPINGS LÄN</t>
        </is>
      </c>
      <c r="G795" t="inlineStr">
        <is>
          <t>JÖNKÖPING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23248-2026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46257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Sveaskog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47190-2024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45586</v>
      </c>
      <c r="E797" s="1" t="n">
        <v>46257</v>
      </c>
      <c r="F797" t="inlineStr">
        <is>
          <t>JÖNKÖPINGS LÄN</t>
        </is>
      </c>
      <c r="G797" t="inlineStr">
        <is>
          <t>JÖNKÖPING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46257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46257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Sveaskog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46257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Sveaskog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37515-2024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46257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39280-2024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45551</v>
      </c>
      <c r="E802" s="1" t="n">
        <v>46257</v>
      </c>
      <c r="F802" t="inlineStr">
        <is>
          <t>JÖNKÖPINGS LÄN</t>
        </is>
      </c>
      <c r="G802" t="inlineStr">
        <is>
          <t>JÖNKÖPING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7959-2024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45350</v>
      </c>
      <c r="E803" s="1" t="n">
        <v>46257</v>
      </c>
      <c r="F803" t="inlineStr">
        <is>
          <t>JÖNKÖPINGS LÄN</t>
        </is>
      </c>
      <c r="G803" t="inlineStr">
        <is>
          <t>JÖNKÖPING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46257</v>
      </c>
      <c r="F804" t="inlineStr">
        <is>
          <t>JÖNKÖPINGS LÄN</t>
        </is>
      </c>
      <c r="G804" t="inlineStr">
        <is>
          <t>JÖNKÖPING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23893-2025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46257</v>
      </c>
      <c r="F805" t="inlineStr">
        <is>
          <t>JÖNKÖPINGS LÄN</t>
        </is>
      </c>
      <c r="G805" t="inlineStr">
        <is>
          <t>JÖNKÖPING</t>
        </is>
      </c>
      <c r="I805" t="n">
        <v>15.5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43782-2024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45570</v>
      </c>
      <c r="E806" s="1" t="n">
        <v>46257</v>
      </c>
      <c r="F806" t="inlineStr">
        <is>
          <t>JÖNKÖPINGS LÄN</t>
        </is>
      </c>
      <c r="G806" t="inlineStr">
        <is>
          <t>JÖNKÖPING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46257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46257</v>
      </c>
      <c r="F808" t="inlineStr">
        <is>
          <t>JÖNKÖPINGS LÄN</t>
        </is>
      </c>
      <c r="G808" t="inlineStr">
        <is>
          <t>JÖNKÖPING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46257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46257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46257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46257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46257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46257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46257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46257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46257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46257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46257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46257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46257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46257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46257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46257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46257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46257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46257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46257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46257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2026-08-23T01:52:52Z</dcterms:created>
  <dcterms:modified xmlns:dcterms="http://purl.org/dc/terms/" xmlns:xsi="http://www.w3.org/2001/XMLSchema-instance" xsi:type="dcterms:W3CDTF">2026-08-23T01:52:53Z</dcterms:modified>
</cp:coreProperties>
</file>