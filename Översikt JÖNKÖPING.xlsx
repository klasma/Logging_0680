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45697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45697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45697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45697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45697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45697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45697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45697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45697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45697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45697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45697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45697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45697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45697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45697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45697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45697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45697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45697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45697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45697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45697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45697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45697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45697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45697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45697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45697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45697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45697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45697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45697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45697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45697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45697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45697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45697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45697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45697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45697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45697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45697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45697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45697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45697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45697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45697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45697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45697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45697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45697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45697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45697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45697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45697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45697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45697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45697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11250-2023</t>
        </is>
      </c>
      <c r="B68" s="1" t="n">
        <v>44992</v>
      </c>
      <c r="C68" s="1" t="n">
        <v>45697</v>
      </c>
      <c r="D68" t="inlineStr">
        <is>
          <t>JÖNKÖPINGS LÄN</t>
        </is>
      </c>
      <c r="E68" t="inlineStr">
        <is>
          <t>JÖNKÖPING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HYPERLINK("https://klasma.github.io/Logging_0680/artfynd/A 11250-2023 artfynd.xlsx", "A 11250-2023")</f>
        <v/>
      </c>
      <c r="T68">
        <f>HYPERLINK("https://klasma.github.io/Logging_0680/kartor/A 11250-2023 karta.png", "A 11250-2023")</f>
        <v/>
      </c>
      <c r="V68">
        <f>HYPERLINK("https://klasma.github.io/Logging_0680/klagomål/A 11250-2023 FSC-klagomål.docx", "A 11250-2023")</f>
        <v/>
      </c>
      <c r="W68">
        <f>HYPERLINK("https://klasma.github.io/Logging_0680/klagomålsmail/A 11250-2023 FSC-klagomål mail.docx", "A 11250-2023")</f>
        <v/>
      </c>
      <c r="X68">
        <f>HYPERLINK("https://klasma.github.io/Logging_0680/tillsyn/A 11250-2023 tillsynsbegäran.docx", "A 11250-2023")</f>
        <v/>
      </c>
      <c r="Y68">
        <f>HYPERLINK("https://klasma.github.io/Logging_0680/tillsynsmail/A 11250-2023 tillsynsbegäran mail.docx", "A 11250-2023")</f>
        <v/>
      </c>
      <c r="Z68">
        <f>HYPERLINK("https://klasma.github.io/Logging_0680/fåglar/A 11250-2023 prioriterade fågelarter.docx", "A 11250-2023")</f>
        <v/>
      </c>
    </row>
    <row r="69" ht="15" customHeight="1">
      <c r="A69" t="inlineStr">
        <is>
          <t>A 11256-2023</t>
        </is>
      </c>
      <c r="B69" s="1" t="n">
        <v>44992</v>
      </c>
      <c r="C69" s="1" t="n">
        <v>45697</v>
      </c>
      <c r="D69" t="inlineStr">
        <is>
          <t>JÖNKÖPINGS LÄN</t>
        </is>
      </c>
      <c r="E69" t="inlineStr">
        <is>
          <t>JÖNKÖPING</t>
        </is>
      </c>
      <c r="G69" t="n">
        <v>3.2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HYPERLINK("https://klasma.github.io/Logging_0680/artfynd/A 11256-2023 artfynd.xlsx", "A 11256-2023")</f>
        <v/>
      </c>
      <c r="T69">
        <f>HYPERLINK("https://klasma.github.io/Logging_0680/kartor/A 11256-2023 karta.png", "A 11256-2023")</f>
        <v/>
      </c>
      <c r="V69">
        <f>HYPERLINK("https://klasma.github.io/Logging_0680/klagomål/A 11256-2023 FSC-klagomål.docx", "A 11256-2023")</f>
        <v/>
      </c>
      <c r="W69">
        <f>HYPERLINK("https://klasma.github.io/Logging_0680/klagomålsmail/A 11256-2023 FSC-klagomål mail.docx", "A 11256-2023")</f>
        <v/>
      </c>
      <c r="X69">
        <f>HYPERLINK("https://klasma.github.io/Logging_0680/tillsyn/A 11256-2023 tillsynsbegäran.docx", "A 11256-2023")</f>
        <v/>
      </c>
      <c r="Y69">
        <f>HYPERLINK("https://klasma.github.io/Logging_0680/tillsynsmail/A 11256-2023 tillsynsbegäran mail.docx", "A 11256-2023")</f>
        <v/>
      </c>
    </row>
    <row r="70" ht="15" customHeight="1">
      <c r="A70" t="inlineStr">
        <is>
          <t>A 11983-2023</t>
        </is>
      </c>
      <c r="B70" s="1" t="n">
        <v>44994</v>
      </c>
      <c r="C70" s="1" t="n">
        <v>45697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HYPERLINK("https://klasma.github.io/Logging_0680/artfynd/A 11983-2023 artfynd.xlsx", "A 11983-2023")</f>
        <v/>
      </c>
      <c r="T70">
        <f>HYPERLINK("https://klasma.github.io/Logging_0680/kartor/A 11983-2023 karta.png", "A 11983-2023")</f>
        <v/>
      </c>
      <c r="V70">
        <f>HYPERLINK("https://klasma.github.io/Logging_0680/klagomål/A 11983-2023 FSC-klagomål.docx", "A 11983-2023")</f>
        <v/>
      </c>
      <c r="W70">
        <f>HYPERLINK("https://klasma.github.io/Logging_0680/klagomålsmail/A 11983-2023 FSC-klagomål mail.docx", "A 11983-2023")</f>
        <v/>
      </c>
      <c r="X70">
        <f>HYPERLINK("https://klasma.github.io/Logging_0680/tillsyn/A 11983-2023 tillsynsbegäran.docx", "A 11983-2023")</f>
        <v/>
      </c>
      <c r="Y70">
        <f>HYPERLINK("https://klasma.github.io/Logging_0680/tillsynsmail/A 11983-2023 tillsynsbegäran mail.docx", "A 11983-2023")</f>
        <v/>
      </c>
    </row>
    <row r="71" ht="15" customHeight="1">
      <c r="A71" t="inlineStr">
        <is>
          <t>A 12584-2023</t>
        </is>
      </c>
      <c r="B71" s="1" t="n">
        <v>45000</v>
      </c>
      <c r="C71" s="1" t="n">
        <v>45697</v>
      </c>
      <c r="D71" t="inlineStr">
        <is>
          <t>JÖNKÖPINGS LÄN</t>
        </is>
      </c>
      <c r="E71" t="inlineStr">
        <is>
          <t>JÖNKÖPING</t>
        </is>
      </c>
      <c r="G71" t="n">
        <v>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HYPERLINK("https://klasma.github.io/Logging_0680/artfynd/A 12584-2023 artfynd.xlsx", "A 12584-2023")</f>
        <v/>
      </c>
      <c r="T71">
        <f>HYPERLINK("https://klasma.github.io/Logging_0680/kartor/A 12584-2023 karta.png", "A 12584-2023")</f>
        <v/>
      </c>
      <c r="V71">
        <f>HYPERLINK("https://klasma.github.io/Logging_0680/klagomål/A 12584-2023 FSC-klagomål.docx", "A 12584-2023")</f>
        <v/>
      </c>
      <c r="W71">
        <f>HYPERLINK("https://klasma.github.io/Logging_0680/klagomålsmail/A 12584-2023 FSC-klagomål mail.docx", "A 12584-2023")</f>
        <v/>
      </c>
      <c r="X71">
        <f>HYPERLINK("https://klasma.github.io/Logging_0680/tillsyn/A 12584-2023 tillsynsbegäran.docx", "A 12584-2023")</f>
        <v/>
      </c>
      <c r="Y71">
        <f>HYPERLINK("https://klasma.github.io/Logging_0680/tillsynsmail/A 12584-2023 tillsynsbegäran mail.docx", "A 12584-2023")</f>
        <v/>
      </c>
      <c r="Z71">
        <f>HYPERLINK("https://klasma.github.io/Logging_0680/fåglar/A 12584-2023 prioriterade fågelarter.docx", "A 12584-2023")</f>
        <v/>
      </c>
    </row>
    <row r="72" ht="15" customHeight="1">
      <c r="A72" t="inlineStr">
        <is>
          <t>A 14369-2023</t>
        </is>
      </c>
      <c r="B72" s="1" t="n">
        <v>45012</v>
      </c>
      <c r="C72" s="1" t="n">
        <v>45697</v>
      </c>
      <c r="D72" t="inlineStr">
        <is>
          <t>JÖNKÖPINGS LÄN</t>
        </is>
      </c>
      <c r="E72" t="inlineStr">
        <is>
          <t>JÖNKÖPING</t>
        </is>
      </c>
      <c r="G72" t="n">
        <v>8.9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HYPERLINK("https://klasma.github.io/Logging_0680/artfynd/A 14369-2023 artfynd.xlsx", "A 14369-2023")</f>
        <v/>
      </c>
      <c r="T72">
        <f>HYPERLINK("https://klasma.github.io/Logging_0680/kartor/A 14369-2023 karta.png", "A 14369-2023")</f>
        <v/>
      </c>
      <c r="V72">
        <f>HYPERLINK("https://klasma.github.io/Logging_0680/klagomål/A 14369-2023 FSC-klagomål.docx", "A 14369-2023")</f>
        <v/>
      </c>
      <c r="W72">
        <f>HYPERLINK("https://klasma.github.io/Logging_0680/klagomålsmail/A 14369-2023 FSC-klagomål mail.docx", "A 14369-2023")</f>
        <v/>
      </c>
      <c r="X72">
        <f>HYPERLINK("https://klasma.github.io/Logging_0680/tillsyn/A 14369-2023 tillsynsbegäran.docx", "A 14369-2023")</f>
        <v/>
      </c>
      <c r="Y72">
        <f>HYPERLINK("https://klasma.github.io/Logging_0680/tillsynsmail/A 14369-2023 tillsynsbegäran mail.docx", "A 14369-2023")</f>
        <v/>
      </c>
    </row>
    <row r="73" ht="15" customHeight="1">
      <c r="A73" t="inlineStr">
        <is>
          <t>A 31519-2023</t>
        </is>
      </c>
      <c r="B73" s="1" t="n">
        <v>45116</v>
      </c>
      <c r="C73" s="1" t="n">
        <v>45697</v>
      </c>
      <c r="D73" t="inlineStr">
        <is>
          <t>JÖNKÖPINGS LÄN</t>
        </is>
      </c>
      <c r="E73" t="inlineStr">
        <is>
          <t>JÖNKÖPING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HYPERLINK("https://klasma.github.io/Logging_0680/artfynd/A 31519-2023 artfynd.xlsx", "A 31519-2023")</f>
        <v/>
      </c>
      <c r="T73">
        <f>HYPERLINK("https://klasma.github.io/Logging_0680/kartor/A 31519-2023 karta.png", "A 31519-2023")</f>
        <v/>
      </c>
      <c r="V73">
        <f>HYPERLINK("https://klasma.github.io/Logging_0680/klagomål/A 31519-2023 FSC-klagomål.docx", "A 31519-2023")</f>
        <v/>
      </c>
      <c r="W73">
        <f>HYPERLINK("https://klasma.github.io/Logging_0680/klagomålsmail/A 31519-2023 FSC-klagomål mail.docx", "A 31519-2023")</f>
        <v/>
      </c>
      <c r="X73">
        <f>HYPERLINK("https://klasma.github.io/Logging_0680/tillsyn/A 31519-2023 tillsynsbegäran.docx", "A 31519-2023")</f>
        <v/>
      </c>
      <c r="Y73">
        <f>HYPERLINK("https://klasma.github.io/Logging_0680/tillsynsmail/A 31519-2023 tillsynsbegäran mail.docx", "A 31519-2023")</f>
        <v/>
      </c>
    </row>
    <row r="74" ht="15" customHeight="1">
      <c r="A74" t="inlineStr">
        <is>
          <t>A 32744-2023</t>
        </is>
      </c>
      <c r="B74" s="1" t="n">
        <v>45122</v>
      </c>
      <c r="C74" s="1" t="n">
        <v>45697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HYPERLINK("https://klasma.github.io/Logging_0680/artfynd/A 32744-2023 artfynd.xlsx", "A 32744-2023")</f>
        <v/>
      </c>
      <c r="T74">
        <f>HYPERLINK("https://klasma.github.io/Logging_0680/kartor/A 32744-2023 karta.png", "A 32744-2023")</f>
        <v/>
      </c>
      <c r="V74">
        <f>HYPERLINK("https://klasma.github.io/Logging_0680/klagomål/A 32744-2023 FSC-klagomål.docx", "A 32744-2023")</f>
        <v/>
      </c>
      <c r="W74">
        <f>HYPERLINK("https://klasma.github.io/Logging_0680/klagomålsmail/A 32744-2023 FSC-klagomål mail.docx", "A 32744-2023")</f>
        <v/>
      </c>
      <c r="X74">
        <f>HYPERLINK("https://klasma.github.io/Logging_0680/tillsyn/A 32744-2023 tillsynsbegäran.docx", "A 32744-2023")</f>
        <v/>
      </c>
      <c r="Y74">
        <f>HYPERLINK("https://klasma.github.io/Logging_0680/tillsynsmail/A 32744-2023 tillsynsbegäran mail.docx", "A 32744-2023")</f>
        <v/>
      </c>
    </row>
    <row r="75" ht="15" customHeight="1">
      <c r="A75" t="inlineStr">
        <is>
          <t>A 39194-2023</t>
        </is>
      </c>
      <c r="B75" s="1" t="n">
        <v>45166</v>
      </c>
      <c r="C75" s="1" t="n">
        <v>45697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HYPERLINK("https://klasma.github.io/Logging_0680/artfynd/A 39194-2023 artfynd.xlsx", "A 39194-2023")</f>
        <v/>
      </c>
      <c r="T75">
        <f>HYPERLINK("https://klasma.github.io/Logging_0680/kartor/A 39194-2023 karta.png", "A 39194-2023")</f>
        <v/>
      </c>
      <c r="V75">
        <f>HYPERLINK("https://klasma.github.io/Logging_0680/klagomål/A 39194-2023 FSC-klagomål.docx", "A 39194-2023")</f>
        <v/>
      </c>
      <c r="W75">
        <f>HYPERLINK("https://klasma.github.io/Logging_0680/klagomålsmail/A 39194-2023 FSC-klagomål mail.docx", "A 39194-2023")</f>
        <v/>
      </c>
      <c r="X75">
        <f>HYPERLINK("https://klasma.github.io/Logging_0680/tillsyn/A 39194-2023 tillsynsbegäran.docx", "A 39194-2023")</f>
        <v/>
      </c>
      <c r="Y75">
        <f>HYPERLINK("https://klasma.github.io/Logging_0680/tillsynsmail/A 39194-2023 tillsynsbegäran mail.docx", "A 39194-2023")</f>
        <v/>
      </c>
    </row>
    <row r="76" ht="15" customHeight="1">
      <c r="A76" t="inlineStr">
        <is>
          <t>A 48114-2023</t>
        </is>
      </c>
      <c r="B76" s="1" t="n">
        <v>45205</v>
      </c>
      <c r="C76" s="1" t="n">
        <v>45697</v>
      </c>
      <c r="D76" t="inlineStr">
        <is>
          <t>JÖNKÖPINGS LÄN</t>
        </is>
      </c>
      <c r="E76" t="inlineStr">
        <is>
          <t>JÖNKÖPING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HYPERLINK("https://klasma.github.io/Logging_0680/artfynd/A 48114-2023 artfynd.xlsx", "A 48114-2023")</f>
        <v/>
      </c>
      <c r="T76">
        <f>HYPERLINK("https://klasma.github.io/Logging_0680/kartor/A 48114-2023 karta.png", "A 48114-2023")</f>
        <v/>
      </c>
      <c r="V76">
        <f>HYPERLINK("https://klasma.github.io/Logging_0680/klagomål/A 48114-2023 FSC-klagomål.docx", "A 48114-2023")</f>
        <v/>
      </c>
      <c r="W76">
        <f>HYPERLINK("https://klasma.github.io/Logging_0680/klagomålsmail/A 48114-2023 FSC-klagomål mail.docx", "A 48114-2023")</f>
        <v/>
      </c>
      <c r="X76">
        <f>HYPERLINK("https://klasma.github.io/Logging_0680/tillsyn/A 48114-2023 tillsynsbegäran.docx", "A 48114-2023")</f>
        <v/>
      </c>
      <c r="Y76">
        <f>HYPERLINK("https://klasma.github.io/Logging_0680/tillsynsmail/A 48114-2023 tillsynsbegäran mail.docx", "A 48114-2023")</f>
        <v/>
      </c>
    </row>
    <row r="77" ht="15" customHeight="1">
      <c r="A77" t="inlineStr">
        <is>
          <t>A 52854-2023</t>
        </is>
      </c>
      <c r="B77" s="1" t="n">
        <v>45226</v>
      </c>
      <c r="C77" s="1" t="n">
        <v>45697</v>
      </c>
      <c r="D77" t="inlineStr">
        <is>
          <t>JÖNKÖPINGS LÄN</t>
        </is>
      </c>
      <c r="E77" t="inlineStr">
        <is>
          <t>JÖNKÖPING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52854-2023 artfynd.xlsx", "A 52854-2023")</f>
        <v/>
      </c>
      <c r="T77">
        <f>HYPERLINK("https://klasma.github.io/Logging_0680/kartor/A 52854-2023 karta.png", "A 52854-2023")</f>
        <v/>
      </c>
      <c r="V77">
        <f>HYPERLINK("https://klasma.github.io/Logging_0680/klagomål/A 52854-2023 FSC-klagomål.docx", "A 52854-2023")</f>
        <v/>
      </c>
      <c r="W77">
        <f>HYPERLINK("https://klasma.github.io/Logging_0680/klagomålsmail/A 52854-2023 FSC-klagomål mail.docx", "A 52854-2023")</f>
        <v/>
      </c>
      <c r="X77">
        <f>HYPERLINK("https://klasma.github.io/Logging_0680/tillsyn/A 52854-2023 tillsynsbegäran.docx", "A 52854-2023")</f>
        <v/>
      </c>
      <c r="Y77">
        <f>HYPERLINK("https://klasma.github.io/Logging_0680/tillsynsmail/A 52854-2023 tillsynsbegäran mail.docx", "A 52854-2023")</f>
        <v/>
      </c>
    </row>
    <row r="78" ht="15" customHeight="1">
      <c r="A78" t="inlineStr">
        <is>
          <t>A 60690-2023</t>
        </is>
      </c>
      <c r="B78" s="1" t="n">
        <v>45260</v>
      </c>
      <c r="C78" s="1" t="n">
        <v>45697</v>
      </c>
      <c r="D78" t="inlineStr">
        <is>
          <t>JÖNKÖPINGS LÄN</t>
        </is>
      </c>
      <c r="E78" t="inlineStr">
        <is>
          <t>JÖNKÖPING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HYPERLINK("https://klasma.github.io/Logging_0680/artfynd/A 60690-2023 artfynd.xlsx", "A 60690-2023")</f>
        <v/>
      </c>
      <c r="T78">
        <f>HYPERLINK("https://klasma.github.io/Logging_0680/kartor/A 60690-2023 karta.png", "A 60690-2023")</f>
        <v/>
      </c>
      <c r="V78">
        <f>HYPERLINK("https://klasma.github.io/Logging_0680/klagomål/A 60690-2023 FSC-klagomål.docx", "A 60690-2023")</f>
        <v/>
      </c>
      <c r="W78">
        <f>HYPERLINK("https://klasma.github.io/Logging_0680/klagomålsmail/A 60690-2023 FSC-klagomål mail.docx", "A 60690-2023")</f>
        <v/>
      </c>
      <c r="X78">
        <f>HYPERLINK("https://klasma.github.io/Logging_0680/tillsyn/A 60690-2023 tillsynsbegäran.docx", "A 60690-2023")</f>
        <v/>
      </c>
      <c r="Y78">
        <f>HYPERLINK("https://klasma.github.io/Logging_0680/tillsynsmail/A 60690-2023 tillsynsbegäran mail.docx", "A 60690-2023")</f>
        <v/>
      </c>
    </row>
    <row r="79" ht="15" customHeight="1">
      <c r="A79" t="inlineStr">
        <is>
          <t>A 63685-2023</t>
        </is>
      </c>
      <c r="B79" s="1" t="n">
        <v>45275</v>
      </c>
      <c r="C79" s="1" t="n">
        <v>45697</v>
      </c>
      <c r="D79" t="inlineStr">
        <is>
          <t>JÖNKÖPINGS LÄN</t>
        </is>
      </c>
      <c r="E79" t="inlineStr">
        <is>
          <t>JÖNKÖPING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63685-2023 artfynd.xlsx", "A 63685-2023")</f>
        <v/>
      </c>
      <c r="T79">
        <f>HYPERLINK("https://klasma.github.io/Logging_0680/kartor/A 63685-2023 karta.png", "A 63685-2023")</f>
        <v/>
      </c>
      <c r="V79">
        <f>HYPERLINK("https://klasma.github.io/Logging_0680/klagomål/A 63685-2023 FSC-klagomål.docx", "A 63685-2023")</f>
        <v/>
      </c>
      <c r="W79">
        <f>HYPERLINK("https://klasma.github.io/Logging_0680/klagomålsmail/A 63685-2023 FSC-klagomål mail.docx", "A 63685-2023")</f>
        <v/>
      </c>
      <c r="X79">
        <f>HYPERLINK("https://klasma.github.io/Logging_0680/tillsyn/A 63685-2023 tillsynsbegäran.docx", "A 63685-2023")</f>
        <v/>
      </c>
      <c r="Y79">
        <f>HYPERLINK("https://klasma.github.io/Logging_0680/tillsynsmail/A 63685-2023 tillsynsbegäran mail.docx", "A 63685-2023")</f>
        <v/>
      </c>
      <c r="Z79">
        <f>HYPERLINK("https://klasma.github.io/Logging_0680/fåglar/A 63685-2023 prioriterade fågelarter.docx", "A 63685-2023")</f>
        <v/>
      </c>
    </row>
    <row r="80" ht="15" customHeight="1">
      <c r="A80" t="inlineStr">
        <is>
          <t>A 278-2024</t>
        </is>
      </c>
      <c r="B80" s="1" t="n">
        <v>45295</v>
      </c>
      <c r="C80" s="1" t="n">
        <v>45697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HYPERLINK("https://klasma.github.io/Logging_0680/artfynd/A 278-2024 artfynd.xlsx", "A 278-2024")</f>
        <v/>
      </c>
      <c r="T80">
        <f>HYPERLINK("https://klasma.github.io/Logging_0680/kartor/A 278-2024 karta.png", "A 278-2024")</f>
        <v/>
      </c>
      <c r="V80">
        <f>HYPERLINK("https://klasma.github.io/Logging_0680/klagomål/A 278-2024 FSC-klagomål.docx", "A 278-2024")</f>
        <v/>
      </c>
      <c r="W80">
        <f>HYPERLINK("https://klasma.github.io/Logging_0680/klagomålsmail/A 278-2024 FSC-klagomål mail.docx", "A 278-2024")</f>
        <v/>
      </c>
      <c r="X80">
        <f>HYPERLINK("https://klasma.github.io/Logging_0680/tillsyn/A 278-2024 tillsynsbegäran.docx", "A 278-2024")</f>
        <v/>
      </c>
      <c r="Y80">
        <f>HYPERLINK("https://klasma.github.io/Logging_0680/tillsynsmail/A 278-2024 tillsynsbegäran mail.docx", "A 278-2024")</f>
        <v/>
      </c>
    </row>
    <row r="81" ht="15" customHeight="1">
      <c r="A81" t="inlineStr">
        <is>
          <t>A 1244-2024</t>
        </is>
      </c>
      <c r="B81" s="1" t="n">
        <v>45302</v>
      </c>
      <c r="C81" s="1" t="n">
        <v>45697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Stickelfrö</t>
        </is>
      </c>
      <c r="S81">
        <f>HYPERLINK("https://klasma.github.io/Logging_0680/artfynd/A 1244-2024 artfynd.xlsx", "A 1244-2024")</f>
        <v/>
      </c>
      <c r="T81">
        <f>HYPERLINK("https://klasma.github.io/Logging_0680/kartor/A 1244-2024 karta.png", "A 1244-2024")</f>
        <v/>
      </c>
      <c r="V81">
        <f>HYPERLINK("https://klasma.github.io/Logging_0680/klagomål/A 1244-2024 FSC-klagomål.docx", "A 1244-2024")</f>
        <v/>
      </c>
      <c r="W81">
        <f>HYPERLINK("https://klasma.github.io/Logging_0680/klagomålsmail/A 1244-2024 FSC-klagomål mail.docx", "A 1244-2024")</f>
        <v/>
      </c>
      <c r="X81">
        <f>HYPERLINK("https://klasma.github.io/Logging_0680/tillsyn/A 1244-2024 tillsynsbegäran.docx", "A 1244-2024")</f>
        <v/>
      </c>
      <c r="Y81">
        <f>HYPERLINK("https://klasma.github.io/Logging_0680/tillsynsmail/A 1244-2024 tillsynsbegäran mail.docx", "A 1244-2024")</f>
        <v/>
      </c>
    </row>
    <row r="82" ht="15" customHeight="1">
      <c r="A82" t="inlineStr">
        <is>
          <t>A 3120-2024</t>
        </is>
      </c>
      <c r="B82" s="1" t="n">
        <v>45316</v>
      </c>
      <c r="C82" s="1" t="n">
        <v>45697</v>
      </c>
      <c r="D82" t="inlineStr">
        <is>
          <t>JÖNKÖPINGS LÄN</t>
        </is>
      </c>
      <c r="E82" t="inlineStr">
        <is>
          <t>JÖNKÖPING</t>
        </is>
      </c>
      <c r="G82" t="n">
        <v>4.4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HYPERLINK("https://klasma.github.io/Logging_0680/artfynd/A 3120-2024 artfynd.xlsx", "A 3120-2024")</f>
        <v/>
      </c>
      <c r="T82">
        <f>HYPERLINK("https://klasma.github.io/Logging_0680/kartor/A 3120-2024 karta.png", "A 3120-2024")</f>
        <v/>
      </c>
      <c r="V82">
        <f>HYPERLINK("https://klasma.github.io/Logging_0680/klagomål/A 3120-2024 FSC-klagomål.docx", "A 3120-2024")</f>
        <v/>
      </c>
      <c r="W82">
        <f>HYPERLINK("https://klasma.github.io/Logging_0680/klagomålsmail/A 3120-2024 FSC-klagomål mail.docx", "A 3120-2024")</f>
        <v/>
      </c>
      <c r="X82">
        <f>HYPERLINK("https://klasma.github.io/Logging_0680/tillsyn/A 3120-2024 tillsynsbegäran.docx", "A 3120-2024")</f>
        <v/>
      </c>
      <c r="Y82">
        <f>HYPERLINK("https://klasma.github.io/Logging_0680/tillsynsmail/A 3120-2024 tillsynsbegäran mail.docx", "A 3120-2024")</f>
        <v/>
      </c>
    </row>
    <row r="83" ht="15" customHeight="1">
      <c r="A83" t="inlineStr">
        <is>
          <t>A 7092-2024</t>
        </is>
      </c>
      <c r="B83" s="1" t="n">
        <v>45343</v>
      </c>
      <c r="C83" s="1" t="n">
        <v>45697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HYPERLINK("https://klasma.github.io/Logging_0680/artfynd/A 7092-2024 artfynd.xlsx", "A 7092-2024")</f>
        <v/>
      </c>
      <c r="T83">
        <f>HYPERLINK("https://klasma.github.io/Logging_0680/kartor/A 7092-2024 karta.png", "A 7092-2024")</f>
        <v/>
      </c>
      <c r="V83">
        <f>HYPERLINK("https://klasma.github.io/Logging_0680/klagomål/A 7092-2024 FSC-klagomål.docx", "A 7092-2024")</f>
        <v/>
      </c>
      <c r="W83">
        <f>HYPERLINK("https://klasma.github.io/Logging_0680/klagomålsmail/A 7092-2024 FSC-klagomål mail.docx", "A 7092-2024")</f>
        <v/>
      </c>
      <c r="X83">
        <f>HYPERLINK("https://klasma.github.io/Logging_0680/tillsyn/A 7092-2024 tillsynsbegäran.docx", "A 7092-2024")</f>
        <v/>
      </c>
      <c r="Y83">
        <f>HYPERLINK("https://klasma.github.io/Logging_0680/tillsynsmail/A 7092-2024 tillsynsbegäran mail.docx", "A 7092-2024")</f>
        <v/>
      </c>
    </row>
    <row r="84" ht="15" customHeight="1">
      <c r="A84" t="inlineStr">
        <is>
          <t>A 13194-2024</t>
        </is>
      </c>
      <c r="B84" s="1" t="n">
        <v>45386</v>
      </c>
      <c r="C84" s="1" t="n">
        <v>45697</v>
      </c>
      <c r="D84" t="inlineStr">
        <is>
          <t>JÖNKÖPINGS LÄN</t>
        </is>
      </c>
      <c r="E84" t="inlineStr">
        <is>
          <t>JÖNKÖPING</t>
        </is>
      </c>
      <c r="G84" t="n">
        <v>10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HYPERLINK("https://klasma.github.io/Logging_0680/artfynd/A 13194-2024 artfynd.xlsx", "A 13194-2024")</f>
        <v/>
      </c>
      <c r="T84">
        <f>HYPERLINK("https://klasma.github.io/Logging_0680/kartor/A 13194-2024 karta.png", "A 13194-2024")</f>
        <v/>
      </c>
      <c r="V84">
        <f>HYPERLINK("https://klasma.github.io/Logging_0680/klagomål/A 13194-2024 FSC-klagomål.docx", "A 13194-2024")</f>
        <v/>
      </c>
      <c r="W84">
        <f>HYPERLINK("https://klasma.github.io/Logging_0680/klagomålsmail/A 13194-2024 FSC-klagomål mail.docx", "A 13194-2024")</f>
        <v/>
      </c>
      <c r="X84">
        <f>HYPERLINK("https://klasma.github.io/Logging_0680/tillsyn/A 13194-2024 tillsynsbegäran.docx", "A 13194-2024")</f>
        <v/>
      </c>
      <c r="Y84">
        <f>HYPERLINK("https://klasma.github.io/Logging_0680/tillsynsmail/A 13194-2024 tillsynsbegäran mail.docx", "A 13194-2024")</f>
        <v/>
      </c>
    </row>
    <row r="85" ht="15" customHeight="1">
      <c r="A85" t="inlineStr">
        <is>
          <t>A 27242-2024</t>
        </is>
      </c>
      <c r="B85" s="1" t="n">
        <v>45471</v>
      </c>
      <c r="C85" s="1" t="n">
        <v>45697</v>
      </c>
      <c r="D85" t="inlineStr">
        <is>
          <t>JÖNKÖPINGS LÄN</t>
        </is>
      </c>
      <c r="E85" t="inlineStr">
        <is>
          <t>JÖNKÖPING</t>
        </is>
      </c>
      <c r="G85" t="n">
        <v>4.4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HYPERLINK("https://klasma.github.io/Logging_0680/artfynd/A 27242-2024 artfynd.xlsx", "A 27242-2024")</f>
        <v/>
      </c>
      <c r="T85">
        <f>HYPERLINK("https://klasma.github.io/Logging_0680/kartor/A 27242-2024 karta.png", "A 27242-2024")</f>
        <v/>
      </c>
      <c r="V85">
        <f>HYPERLINK("https://klasma.github.io/Logging_0680/klagomål/A 27242-2024 FSC-klagomål.docx", "A 27242-2024")</f>
        <v/>
      </c>
      <c r="W85">
        <f>HYPERLINK("https://klasma.github.io/Logging_0680/klagomålsmail/A 27242-2024 FSC-klagomål mail.docx", "A 27242-2024")</f>
        <v/>
      </c>
      <c r="X85">
        <f>HYPERLINK("https://klasma.github.io/Logging_0680/tillsyn/A 27242-2024 tillsynsbegäran.docx", "A 27242-2024")</f>
        <v/>
      </c>
      <c r="Y85">
        <f>HYPERLINK("https://klasma.github.io/Logging_0680/tillsynsmail/A 27242-2024 tillsynsbegäran mail.docx", "A 27242-2024")</f>
        <v/>
      </c>
    </row>
    <row r="86" ht="15" customHeight="1">
      <c r="A86" t="inlineStr">
        <is>
          <t>A 31051-2024</t>
        </is>
      </c>
      <c r="B86" s="1" t="n">
        <v>45502</v>
      </c>
      <c r="C86" s="1" t="n">
        <v>45697</v>
      </c>
      <c r="D86" t="inlineStr">
        <is>
          <t>JÖNKÖPINGS LÄN</t>
        </is>
      </c>
      <c r="E86" t="inlineStr">
        <is>
          <t>JÖNKÖPING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HYPERLINK("https://klasma.github.io/Logging_0680/artfynd/A 31051-2024 artfynd.xlsx", "A 31051-2024")</f>
        <v/>
      </c>
      <c r="T86">
        <f>HYPERLINK("https://klasma.github.io/Logging_0680/kartor/A 31051-2024 karta.png", "A 31051-2024")</f>
        <v/>
      </c>
      <c r="V86">
        <f>HYPERLINK("https://klasma.github.io/Logging_0680/klagomål/A 31051-2024 FSC-klagomål.docx", "A 31051-2024")</f>
        <v/>
      </c>
      <c r="W86">
        <f>HYPERLINK("https://klasma.github.io/Logging_0680/klagomålsmail/A 31051-2024 FSC-klagomål mail.docx", "A 31051-2024")</f>
        <v/>
      </c>
      <c r="X86">
        <f>HYPERLINK("https://klasma.github.io/Logging_0680/tillsyn/A 31051-2024 tillsynsbegäran.docx", "A 31051-2024")</f>
        <v/>
      </c>
      <c r="Y86">
        <f>HYPERLINK("https://klasma.github.io/Logging_0680/tillsynsmail/A 31051-2024 tillsynsbegäran mail.docx", "A 31051-2024")</f>
        <v/>
      </c>
    </row>
    <row r="87" ht="15" customHeight="1">
      <c r="A87" t="inlineStr">
        <is>
          <t>A 31204-2024</t>
        </is>
      </c>
      <c r="B87" s="1" t="n">
        <v>45503</v>
      </c>
      <c r="C87" s="1" t="n">
        <v>45697</v>
      </c>
      <c r="D87" t="inlineStr">
        <is>
          <t>JÖNKÖPINGS LÄN</t>
        </is>
      </c>
      <c r="E87" t="inlineStr">
        <is>
          <t>JÖNKÖPING</t>
        </is>
      </c>
      <c r="G87" t="n">
        <v>1.7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HYPERLINK("https://klasma.github.io/Logging_0680/artfynd/A 31204-2024 artfynd.xlsx", "A 31204-2024")</f>
        <v/>
      </c>
      <c r="T87">
        <f>HYPERLINK("https://klasma.github.io/Logging_0680/kartor/A 31204-2024 karta.png", "A 31204-2024")</f>
        <v/>
      </c>
      <c r="U87">
        <f>HYPERLINK("https://klasma.github.io/Logging_0680/knärot/A 31204-2024 karta knärot.png", "A 31204-2024")</f>
        <v/>
      </c>
      <c r="V87">
        <f>HYPERLINK("https://klasma.github.io/Logging_0680/klagomål/A 31204-2024 FSC-klagomål.docx", "A 31204-2024")</f>
        <v/>
      </c>
      <c r="W87">
        <f>HYPERLINK("https://klasma.github.io/Logging_0680/klagomålsmail/A 31204-2024 FSC-klagomål mail.docx", "A 31204-2024")</f>
        <v/>
      </c>
      <c r="X87">
        <f>HYPERLINK("https://klasma.github.io/Logging_0680/tillsyn/A 31204-2024 tillsynsbegäran.docx", "A 31204-2024")</f>
        <v/>
      </c>
      <c r="Y87">
        <f>HYPERLINK("https://klasma.github.io/Logging_0680/tillsynsmail/A 31204-2024 tillsynsbegäran mail.docx", "A 31204-2024")</f>
        <v/>
      </c>
    </row>
    <row r="88" ht="15" customHeight="1">
      <c r="A88" t="inlineStr">
        <is>
          <t>A 36799-2024</t>
        </is>
      </c>
      <c r="B88" s="1" t="n">
        <v>45538</v>
      </c>
      <c r="C88" s="1" t="n">
        <v>45697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HYPERLINK("https://klasma.github.io/Logging_0680/artfynd/A 36799-2024 artfynd.xlsx", "A 36799-2024")</f>
        <v/>
      </c>
      <c r="T88">
        <f>HYPERLINK("https://klasma.github.io/Logging_0680/kartor/A 36799-2024 karta.png", "A 36799-2024")</f>
        <v/>
      </c>
      <c r="V88">
        <f>HYPERLINK("https://klasma.github.io/Logging_0680/klagomål/A 36799-2024 FSC-klagomål.docx", "A 36799-2024")</f>
        <v/>
      </c>
      <c r="W88">
        <f>HYPERLINK("https://klasma.github.io/Logging_0680/klagomålsmail/A 36799-2024 FSC-klagomål mail.docx", "A 36799-2024")</f>
        <v/>
      </c>
      <c r="X88">
        <f>HYPERLINK("https://klasma.github.io/Logging_0680/tillsyn/A 36799-2024 tillsynsbegäran.docx", "A 36799-2024")</f>
        <v/>
      </c>
      <c r="Y88">
        <f>HYPERLINK("https://klasma.github.io/Logging_0680/tillsynsmail/A 36799-2024 tillsynsbegäran mail.docx", "A 36799-2024")</f>
        <v/>
      </c>
    </row>
    <row r="89" ht="15" customHeight="1">
      <c r="A89" t="inlineStr">
        <is>
          <t>A 36802-2024</t>
        </is>
      </c>
      <c r="B89" s="1" t="n">
        <v>45538</v>
      </c>
      <c r="C89" s="1" t="n">
        <v>45697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36802-2024 artfynd.xlsx", "A 36802-2024")</f>
        <v/>
      </c>
      <c r="T89">
        <f>HYPERLINK("https://klasma.github.io/Logging_0680/kartor/A 36802-2024 karta.png", "A 36802-2024")</f>
        <v/>
      </c>
      <c r="U89">
        <f>HYPERLINK("https://klasma.github.io/Logging_0680/knärot/A 36802-2024 karta knärot.png", "A 36802-2024")</f>
        <v/>
      </c>
      <c r="V89">
        <f>HYPERLINK("https://klasma.github.io/Logging_0680/klagomål/A 36802-2024 FSC-klagomål.docx", "A 36802-2024")</f>
        <v/>
      </c>
      <c r="W89">
        <f>HYPERLINK("https://klasma.github.io/Logging_0680/klagomålsmail/A 36802-2024 FSC-klagomål mail.docx", "A 36802-2024")</f>
        <v/>
      </c>
      <c r="X89">
        <f>HYPERLINK("https://klasma.github.io/Logging_0680/tillsyn/A 36802-2024 tillsynsbegäran.docx", "A 36802-2024")</f>
        <v/>
      </c>
      <c r="Y89">
        <f>HYPERLINK("https://klasma.github.io/Logging_0680/tillsynsmail/A 36802-2024 tillsynsbegäran mail.docx", "A 36802-2024")</f>
        <v/>
      </c>
    </row>
    <row r="90" ht="15" customHeight="1">
      <c r="A90" t="inlineStr">
        <is>
          <t>A 37249-2024</t>
        </is>
      </c>
      <c r="B90" s="1" t="n">
        <v>45540</v>
      </c>
      <c r="C90" s="1" t="n">
        <v>45697</v>
      </c>
      <c r="D90" t="inlineStr">
        <is>
          <t>JÖNKÖPINGS LÄN</t>
        </is>
      </c>
      <c r="E90" t="inlineStr">
        <is>
          <t>JÖNKÖPING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37249-2024 artfynd.xlsx", "A 37249-2024")</f>
        <v/>
      </c>
      <c r="T90">
        <f>HYPERLINK("https://klasma.github.io/Logging_0680/kartor/A 37249-2024 karta.png", "A 37249-2024")</f>
        <v/>
      </c>
      <c r="U90">
        <f>HYPERLINK("https://klasma.github.io/Logging_0680/knärot/A 37249-2024 karta knärot.png", "A 37249-2024")</f>
        <v/>
      </c>
      <c r="V90">
        <f>HYPERLINK("https://klasma.github.io/Logging_0680/klagomål/A 37249-2024 FSC-klagomål.docx", "A 37249-2024")</f>
        <v/>
      </c>
      <c r="W90">
        <f>HYPERLINK("https://klasma.github.io/Logging_0680/klagomålsmail/A 37249-2024 FSC-klagomål mail.docx", "A 37249-2024")</f>
        <v/>
      </c>
      <c r="X90">
        <f>HYPERLINK("https://klasma.github.io/Logging_0680/tillsyn/A 37249-2024 tillsynsbegäran.docx", "A 37249-2024")</f>
        <v/>
      </c>
      <c r="Y90">
        <f>HYPERLINK("https://klasma.github.io/Logging_0680/tillsynsmail/A 37249-2024 tillsynsbegäran mail.docx", "A 37249-2024")</f>
        <v/>
      </c>
    </row>
    <row r="91" ht="15" customHeight="1">
      <c r="A91" t="inlineStr">
        <is>
          <t>A 37528-2024</t>
        </is>
      </c>
      <c r="B91" s="1" t="n">
        <v>45541</v>
      </c>
      <c r="C91" s="1" t="n">
        <v>45697</v>
      </c>
      <c r="D91" t="inlineStr">
        <is>
          <t>JÖNKÖPINGS LÄN</t>
        </is>
      </c>
      <c r="E91" t="inlineStr">
        <is>
          <t>JÖNKÖPING</t>
        </is>
      </c>
      <c r="G91" t="n">
        <v>3.6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37528-2024 artfynd.xlsx", "A 37528-2024")</f>
        <v/>
      </c>
      <c r="T91">
        <f>HYPERLINK("https://klasma.github.io/Logging_0680/kartor/A 37528-2024 karta.png", "A 37528-2024")</f>
        <v/>
      </c>
      <c r="U91">
        <f>HYPERLINK("https://klasma.github.io/Logging_0680/knärot/A 37528-2024 karta knärot.png", "A 37528-2024")</f>
        <v/>
      </c>
      <c r="V91">
        <f>HYPERLINK("https://klasma.github.io/Logging_0680/klagomål/A 37528-2024 FSC-klagomål.docx", "A 37528-2024")</f>
        <v/>
      </c>
      <c r="W91">
        <f>HYPERLINK("https://klasma.github.io/Logging_0680/klagomålsmail/A 37528-2024 FSC-klagomål mail.docx", "A 37528-2024")</f>
        <v/>
      </c>
      <c r="X91">
        <f>HYPERLINK("https://klasma.github.io/Logging_0680/tillsyn/A 37528-2024 tillsynsbegäran.docx", "A 37528-2024")</f>
        <v/>
      </c>
      <c r="Y91">
        <f>HYPERLINK("https://klasma.github.io/Logging_0680/tillsynsmail/A 37528-2024 tillsynsbegäran mail.docx", "A 37528-2024")</f>
        <v/>
      </c>
    </row>
    <row r="92" ht="15" customHeight="1">
      <c r="A92" t="inlineStr">
        <is>
          <t>A 41705-2024</t>
        </is>
      </c>
      <c r="B92" s="1" t="n">
        <v>45560</v>
      </c>
      <c r="C92" s="1" t="n">
        <v>45697</v>
      </c>
      <c r="D92" t="inlineStr">
        <is>
          <t>JÖNKÖPINGS LÄN</t>
        </is>
      </c>
      <c r="E92" t="inlineStr">
        <is>
          <t>JÖNKÖPING</t>
        </is>
      </c>
      <c r="G92" t="n">
        <v>10.5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revmossa</t>
        </is>
      </c>
      <c r="S92">
        <f>HYPERLINK("https://klasma.github.io/Logging_0680/artfynd/A 41705-2024 artfynd.xlsx", "A 41705-2024")</f>
        <v/>
      </c>
      <c r="T92">
        <f>HYPERLINK("https://klasma.github.io/Logging_0680/kartor/A 41705-2024 karta.png", "A 41705-2024")</f>
        <v/>
      </c>
      <c r="V92">
        <f>HYPERLINK("https://klasma.github.io/Logging_0680/klagomål/A 41705-2024 FSC-klagomål.docx", "A 41705-2024")</f>
        <v/>
      </c>
      <c r="W92">
        <f>HYPERLINK("https://klasma.github.io/Logging_0680/klagomålsmail/A 41705-2024 FSC-klagomål mail.docx", "A 41705-2024")</f>
        <v/>
      </c>
      <c r="X92">
        <f>HYPERLINK("https://klasma.github.io/Logging_0680/tillsyn/A 41705-2024 tillsynsbegäran.docx", "A 41705-2024")</f>
        <v/>
      </c>
      <c r="Y92">
        <f>HYPERLINK("https://klasma.github.io/Logging_0680/tillsynsmail/A 41705-2024 tillsynsbegäran mail.docx", "A 41705-2024")</f>
        <v/>
      </c>
    </row>
    <row r="93" ht="15" customHeight="1">
      <c r="A93" t="inlineStr">
        <is>
          <t>A 42234-2024</t>
        </is>
      </c>
      <c r="B93" s="1" t="n">
        <v>45562</v>
      </c>
      <c r="C93" s="1" t="n">
        <v>45697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8.5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HYPERLINK("https://klasma.github.io/Logging_0680/artfynd/A 42234-2024 artfynd.xlsx", "A 42234-2024")</f>
        <v/>
      </c>
      <c r="T93">
        <f>HYPERLINK("https://klasma.github.io/Logging_0680/kartor/A 42234-2024 karta.png", "A 42234-2024")</f>
        <v/>
      </c>
      <c r="V93">
        <f>HYPERLINK("https://klasma.github.io/Logging_0680/klagomål/A 42234-2024 FSC-klagomål.docx", "A 42234-2024")</f>
        <v/>
      </c>
      <c r="W93">
        <f>HYPERLINK("https://klasma.github.io/Logging_0680/klagomålsmail/A 42234-2024 FSC-klagomål mail.docx", "A 42234-2024")</f>
        <v/>
      </c>
      <c r="X93">
        <f>HYPERLINK("https://klasma.github.io/Logging_0680/tillsyn/A 42234-2024 tillsynsbegäran.docx", "A 42234-2024")</f>
        <v/>
      </c>
      <c r="Y93">
        <f>HYPERLINK("https://klasma.github.io/Logging_0680/tillsynsmail/A 42234-2024 tillsynsbegäran mail.docx", "A 42234-2024")</f>
        <v/>
      </c>
    </row>
    <row r="94" ht="15" customHeight="1">
      <c r="A94" t="inlineStr">
        <is>
          <t>A 43737-2024</t>
        </is>
      </c>
      <c r="B94" s="1" t="n">
        <v>45569</v>
      </c>
      <c r="C94" s="1" t="n">
        <v>45697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HYPERLINK("https://klasma.github.io/Logging_0680/artfynd/A 43737-2024 artfynd.xlsx", "A 43737-2024")</f>
        <v/>
      </c>
      <c r="T94">
        <f>HYPERLINK("https://klasma.github.io/Logging_0680/kartor/A 43737-2024 karta.png", "A 43737-2024")</f>
        <v/>
      </c>
      <c r="V94">
        <f>HYPERLINK("https://klasma.github.io/Logging_0680/klagomål/A 43737-2024 FSC-klagomål.docx", "A 43737-2024")</f>
        <v/>
      </c>
      <c r="W94">
        <f>HYPERLINK("https://klasma.github.io/Logging_0680/klagomålsmail/A 43737-2024 FSC-klagomål mail.docx", "A 43737-2024")</f>
        <v/>
      </c>
      <c r="X94">
        <f>HYPERLINK("https://klasma.github.io/Logging_0680/tillsyn/A 43737-2024 tillsynsbegäran.docx", "A 43737-2024")</f>
        <v/>
      </c>
      <c r="Y94">
        <f>HYPERLINK("https://klasma.github.io/Logging_0680/tillsynsmail/A 43737-2024 tillsynsbegäran mail.docx", "A 43737-2024")</f>
        <v/>
      </c>
    </row>
    <row r="95" ht="15" customHeight="1">
      <c r="A95" t="inlineStr">
        <is>
          <t>A 43573-2024</t>
        </is>
      </c>
      <c r="B95" s="1" t="n">
        <v>45569</v>
      </c>
      <c r="C95" s="1" t="n">
        <v>45697</v>
      </c>
      <c r="D95" t="inlineStr">
        <is>
          <t>JÖNKÖPINGS LÄN</t>
        </is>
      </c>
      <c r="E95" t="inlineStr">
        <is>
          <t>JÖNKÖPING</t>
        </is>
      </c>
      <c r="G95" t="n">
        <v>0.8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Större vattensalamander</t>
        </is>
      </c>
      <c r="S95">
        <f>HYPERLINK("https://klasma.github.io/Logging_0680/artfynd/A 43573-2024 artfynd.xlsx", "A 43573-2024")</f>
        <v/>
      </c>
      <c r="T95">
        <f>HYPERLINK("https://klasma.github.io/Logging_0680/kartor/A 43573-2024 karta.png", "A 43573-2024")</f>
        <v/>
      </c>
      <c r="V95">
        <f>HYPERLINK("https://klasma.github.io/Logging_0680/klagomål/A 43573-2024 FSC-klagomål.docx", "A 43573-2024")</f>
        <v/>
      </c>
      <c r="W95">
        <f>HYPERLINK("https://klasma.github.io/Logging_0680/klagomålsmail/A 43573-2024 FSC-klagomål mail.docx", "A 43573-2024")</f>
        <v/>
      </c>
      <c r="X95">
        <f>HYPERLINK("https://klasma.github.io/Logging_0680/tillsyn/A 43573-2024 tillsynsbegäran.docx", "A 43573-2024")</f>
        <v/>
      </c>
      <c r="Y95">
        <f>HYPERLINK("https://klasma.github.io/Logging_0680/tillsynsmail/A 43573-2024 tillsynsbegäran mail.docx", "A 43573-2024")</f>
        <v/>
      </c>
    </row>
    <row r="96" ht="15" customHeight="1">
      <c r="A96" t="inlineStr">
        <is>
          <t>A 45917-2024</t>
        </is>
      </c>
      <c r="B96" s="1" t="n">
        <v>45580</v>
      </c>
      <c r="C96" s="1" t="n">
        <v>45697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HYPERLINK("https://klasma.github.io/Logging_0680/artfynd/A 45917-2024 artfynd.xlsx", "A 45917-2024")</f>
        <v/>
      </c>
      <c r="T96">
        <f>HYPERLINK("https://klasma.github.io/Logging_0680/kartor/A 45917-2024 karta.png", "A 45917-2024")</f>
        <v/>
      </c>
      <c r="V96">
        <f>HYPERLINK("https://klasma.github.io/Logging_0680/klagomål/A 45917-2024 FSC-klagomål.docx", "A 45917-2024")</f>
        <v/>
      </c>
      <c r="W96">
        <f>HYPERLINK("https://klasma.github.io/Logging_0680/klagomålsmail/A 45917-2024 FSC-klagomål mail.docx", "A 45917-2024")</f>
        <v/>
      </c>
      <c r="X96">
        <f>HYPERLINK("https://klasma.github.io/Logging_0680/tillsyn/A 45917-2024 tillsynsbegäran.docx", "A 45917-2024")</f>
        <v/>
      </c>
      <c r="Y96">
        <f>HYPERLINK("https://klasma.github.io/Logging_0680/tillsynsmail/A 45917-2024 tillsynsbegäran mail.docx", "A 45917-2024")</f>
        <v/>
      </c>
    </row>
    <row r="97" ht="15" customHeight="1">
      <c r="A97" t="inlineStr">
        <is>
          <t>A 46141-2024</t>
        </is>
      </c>
      <c r="B97" s="1" t="n">
        <v>45581</v>
      </c>
      <c r="C97" s="1" t="n">
        <v>45697</v>
      </c>
      <c r="D97" t="inlineStr">
        <is>
          <t>JÖNKÖPINGS LÄN</t>
        </is>
      </c>
      <c r="E97" t="inlineStr">
        <is>
          <t>JÖNKÖPING</t>
        </is>
      </c>
      <c r="G97" t="n">
        <v>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revmossa</t>
        </is>
      </c>
      <c r="S97">
        <f>HYPERLINK("https://klasma.github.io/Logging_0680/artfynd/A 46141-2024 artfynd.xlsx", "A 46141-2024")</f>
        <v/>
      </c>
      <c r="T97">
        <f>HYPERLINK("https://klasma.github.io/Logging_0680/kartor/A 46141-2024 karta.png", "A 46141-2024")</f>
        <v/>
      </c>
      <c r="V97">
        <f>HYPERLINK("https://klasma.github.io/Logging_0680/klagomål/A 46141-2024 FSC-klagomål.docx", "A 46141-2024")</f>
        <v/>
      </c>
      <c r="W97">
        <f>HYPERLINK("https://klasma.github.io/Logging_0680/klagomålsmail/A 46141-2024 FSC-klagomål mail.docx", "A 46141-2024")</f>
        <v/>
      </c>
      <c r="X97">
        <f>HYPERLINK("https://klasma.github.io/Logging_0680/tillsyn/A 46141-2024 tillsynsbegäran.docx", "A 46141-2024")</f>
        <v/>
      </c>
      <c r="Y97">
        <f>HYPERLINK("https://klasma.github.io/Logging_0680/tillsynsmail/A 46141-2024 tillsynsbegäran mail.docx", "A 46141-2024")</f>
        <v/>
      </c>
    </row>
    <row r="98" ht="15" customHeight="1">
      <c r="A98" t="inlineStr">
        <is>
          <t>A 47601-2024</t>
        </is>
      </c>
      <c r="B98" s="1" t="n">
        <v>45587</v>
      </c>
      <c r="C98" s="1" t="n">
        <v>45697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Skogshakmossa</t>
        </is>
      </c>
      <c r="S98">
        <f>HYPERLINK("https://klasma.github.io/Logging_0680/artfynd/A 47601-2024 artfynd.xlsx", "A 47601-2024")</f>
        <v/>
      </c>
      <c r="T98">
        <f>HYPERLINK("https://klasma.github.io/Logging_0680/kartor/A 47601-2024 karta.png", "A 47601-2024")</f>
        <v/>
      </c>
      <c r="V98">
        <f>HYPERLINK("https://klasma.github.io/Logging_0680/klagomål/A 47601-2024 FSC-klagomål.docx", "A 47601-2024")</f>
        <v/>
      </c>
      <c r="W98">
        <f>HYPERLINK("https://klasma.github.io/Logging_0680/klagomålsmail/A 47601-2024 FSC-klagomål mail.docx", "A 47601-2024")</f>
        <v/>
      </c>
      <c r="X98">
        <f>HYPERLINK("https://klasma.github.io/Logging_0680/tillsyn/A 47601-2024 tillsynsbegäran.docx", "A 47601-2024")</f>
        <v/>
      </c>
      <c r="Y98">
        <f>HYPERLINK("https://klasma.github.io/Logging_0680/tillsynsmail/A 47601-2024 tillsynsbegäran mail.docx", "A 47601-2024")</f>
        <v/>
      </c>
    </row>
    <row r="99" ht="15" customHeight="1">
      <c r="A99" t="inlineStr">
        <is>
          <t>A 47492-2024</t>
        </is>
      </c>
      <c r="B99" s="1" t="n">
        <v>45587</v>
      </c>
      <c r="C99" s="1" t="n">
        <v>45697</v>
      </c>
      <c r="D99" t="inlineStr">
        <is>
          <t>JÖNKÖPINGS LÄN</t>
        </is>
      </c>
      <c r="E99" t="inlineStr">
        <is>
          <t>JÖNKÖPING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HYPERLINK("https://klasma.github.io/Logging_0680/artfynd/A 47492-2024 artfynd.xlsx", "A 47492-2024")</f>
        <v/>
      </c>
      <c r="T99">
        <f>HYPERLINK("https://klasma.github.io/Logging_0680/kartor/A 47492-2024 karta.png", "A 47492-2024")</f>
        <v/>
      </c>
      <c r="V99">
        <f>HYPERLINK("https://klasma.github.io/Logging_0680/klagomål/A 47492-2024 FSC-klagomål.docx", "A 47492-2024")</f>
        <v/>
      </c>
      <c r="W99">
        <f>HYPERLINK("https://klasma.github.io/Logging_0680/klagomålsmail/A 47492-2024 FSC-klagomål mail.docx", "A 47492-2024")</f>
        <v/>
      </c>
      <c r="X99">
        <f>HYPERLINK("https://klasma.github.io/Logging_0680/tillsyn/A 47492-2024 tillsynsbegäran.docx", "A 47492-2024")</f>
        <v/>
      </c>
      <c r="Y99">
        <f>HYPERLINK("https://klasma.github.io/Logging_0680/tillsynsmail/A 47492-2024 tillsynsbegäran mail.docx", "A 47492-2024")</f>
        <v/>
      </c>
    </row>
    <row r="100" ht="15" customHeight="1">
      <c r="A100" t="inlineStr">
        <is>
          <t>A 50300-2024</t>
        </is>
      </c>
      <c r="B100" s="1" t="n">
        <v>45600</v>
      </c>
      <c r="C100" s="1" t="n">
        <v>45697</v>
      </c>
      <c r="D100" t="inlineStr">
        <is>
          <t>JÖNKÖPINGS LÄN</t>
        </is>
      </c>
      <c r="E100" t="inlineStr">
        <is>
          <t>JÖNKÖPING</t>
        </is>
      </c>
      <c r="G100" t="n">
        <v>0.6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HYPERLINK("https://klasma.github.io/Logging_0680/artfynd/A 50300-2024 artfynd.xlsx", "A 50300-2024")</f>
        <v/>
      </c>
      <c r="T100">
        <f>HYPERLINK("https://klasma.github.io/Logging_0680/kartor/A 50300-2024 karta.png", "A 50300-2024")</f>
        <v/>
      </c>
      <c r="V100">
        <f>HYPERLINK("https://klasma.github.io/Logging_0680/klagomål/A 50300-2024 FSC-klagomål.docx", "A 50300-2024")</f>
        <v/>
      </c>
      <c r="W100">
        <f>HYPERLINK("https://klasma.github.io/Logging_0680/klagomålsmail/A 50300-2024 FSC-klagomål mail.docx", "A 50300-2024")</f>
        <v/>
      </c>
      <c r="X100">
        <f>HYPERLINK("https://klasma.github.io/Logging_0680/tillsyn/A 50300-2024 tillsynsbegäran.docx", "A 50300-2024")</f>
        <v/>
      </c>
      <c r="Y100">
        <f>HYPERLINK("https://klasma.github.io/Logging_0680/tillsynsmail/A 50300-2024 tillsynsbegäran mail.docx", "A 50300-2024")</f>
        <v/>
      </c>
    </row>
    <row r="101" ht="15" customHeight="1">
      <c r="A101" t="inlineStr">
        <is>
          <t>A 54325-2024</t>
        </is>
      </c>
      <c r="B101" s="1" t="n">
        <v>45616</v>
      </c>
      <c r="C101" s="1" t="n">
        <v>45697</v>
      </c>
      <c r="D101" t="inlineStr">
        <is>
          <t>JÖNKÖPINGS LÄN</t>
        </is>
      </c>
      <c r="E101" t="inlineStr">
        <is>
          <t>JÖNKÖPING</t>
        </is>
      </c>
      <c r="G101" t="n">
        <v>8.699999999999999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HYPERLINK("https://klasma.github.io/Logging_0680/artfynd/A 54325-2024 artfynd.xlsx", "A 54325-2024")</f>
        <v/>
      </c>
      <c r="T101">
        <f>HYPERLINK("https://klasma.github.io/Logging_0680/kartor/A 54325-2024 karta.png", "A 54325-2024")</f>
        <v/>
      </c>
      <c r="V101">
        <f>HYPERLINK("https://klasma.github.io/Logging_0680/klagomål/A 54325-2024 FSC-klagomål.docx", "A 54325-2024")</f>
        <v/>
      </c>
      <c r="W101">
        <f>HYPERLINK("https://klasma.github.io/Logging_0680/klagomålsmail/A 54325-2024 FSC-klagomål mail.docx", "A 54325-2024")</f>
        <v/>
      </c>
      <c r="X101">
        <f>HYPERLINK("https://klasma.github.io/Logging_0680/tillsyn/A 54325-2024 tillsynsbegäran.docx", "A 54325-2024")</f>
        <v/>
      </c>
      <c r="Y101">
        <f>HYPERLINK("https://klasma.github.io/Logging_0680/tillsynsmail/A 54325-2024 tillsynsbegäran mail.docx", "A 54325-2024")</f>
        <v/>
      </c>
      <c r="Z101">
        <f>HYPERLINK("https://klasma.github.io/Logging_0680/fåglar/A 54325-2024 prioriterade fågelarter.docx", "A 54325-2024")</f>
        <v/>
      </c>
    </row>
    <row r="102" ht="15" customHeight="1">
      <c r="A102" t="inlineStr">
        <is>
          <t>A 17902-2019</t>
        </is>
      </c>
      <c r="B102" s="1" t="n">
        <v>43557</v>
      </c>
      <c r="C102" s="1" t="n">
        <v>45697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19416-2019</t>
        </is>
      </c>
      <c r="B103" s="1" t="n">
        <v>43565</v>
      </c>
      <c r="C103" s="1" t="n">
        <v>45697</v>
      </c>
      <c r="D103" t="inlineStr">
        <is>
          <t>JÖNKÖPINGS LÄN</t>
        </is>
      </c>
      <c r="E103" t="inlineStr">
        <is>
          <t>JÖNKÖPING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22073-2019</t>
        </is>
      </c>
      <c r="B104" s="1" t="n">
        <v>43584</v>
      </c>
      <c r="C104" s="1" t="n">
        <v>45697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22797-2019</t>
        </is>
      </c>
      <c r="B105" s="1" t="n">
        <v>43589</v>
      </c>
      <c r="C105" s="1" t="n">
        <v>45697</v>
      </c>
      <c r="D105" t="inlineStr">
        <is>
          <t>JÖNKÖPINGS LÄN</t>
        </is>
      </c>
      <c r="E105" t="inlineStr">
        <is>
          <t>JÖNKÖPING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22992-2019</t>
        </is>
      </c>
      <c r="B106" s="1" t="n">
        <v>43591</v>
      </c>
      <c r="C106" s="1" t="n">
        <v>45697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Kommuner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23272-2019</t>
        </is>
      </c>
      <c r="B107" s="1" t="n">
        <v>43592</v>
      </c>
      <c r="C107" s="1" t="n">
        <v>45697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23273-2019</t>
        </is>
      </c>
      <c r="B108" s="1" t="n">
        <v>43592</v>
      </c>
      <c r="C108" s="1" t="n">
        <v>45697</v>
      </c>
      <c r="D108" t="inlineStr">
        <is>
          <t>JÖNKÖPINGS LÄN</t>
        </is>
      </c>
      <c r="E108" t="inlineStr">
        <is>
          <t>JÖNKÖPING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24119-2019</t>
        </is>
      </c>
      <c r="B109" s="1" t="n">
        <v>43598</v>
      </c>
      <c r="C109" s="1" t="n">
        <v>45697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24116-2019</t>
        </is>
      </c>
      <c r="B110" s="1" t="n">
        <v>43598</v>
      </c>
      <c r="C110" s="1" t="n">
        <v>45697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24968-2019</t>
        </is>
      </c>
      <c r="B111" s="1" t="n">
        <v>43602</v>
      </c>
      <c r="C111" s="1" t="n">
        <v>45697</v>
      </c>
      <c r="D111" t="inlineStr">
        <is>
          <t>JÖNKÖPINGS LÄN</t>
        </is>
      </c>
      <c r="E111" t="inlineStr">
        <is>
          <t>JÖNKÖPING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25181-2019</t>
        </is>
      </c>
      <c r="B112" s="1" t="n">
        <v>43605</v>
      </c>
      <c r="C112" s="1" t="n">
        <v>45697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26331-2019</t>
        </is>
      </c>
      <c r="B113" s="1" t="n">
        <v>43606</v>
      </c>
      <c r="C113" s="1" t="n">
        <v>45697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26670-2019</t>
        </is>
      </c>
      <c r="B114" s="1" t="n">
        <v>43607</v>
      </c>
      <c r="C114" s="1" t="n">
        <v>45697</v>
      </c>
      <c r="D114" t="inlineStr">
        <is>
          <t>JÖNKÖPINGS LÄN</t>
        </is>
      </c>
      <c r="E114" t="inlineStr">
        <is>
          <t>JÖNKÖPING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26667-2019</t>
        </is>
      </c>
      <c r="B115" s="1" t="n">
        <v>43607</v>
      </c>
      <c r="C115" s="1" t="n">
        <v>45697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26691-2019</t>
        </is>
      </c>
      <c r="B116" s="1" t="n">
        <v>43613</v>
      </c>
      <c r="C116" s="1" t="n">
        <v>45697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28697-2019</t>
        </is>
      </c>
      <c r="B117" s="1" t="n">
        <v>43614</v>
      </c>
      <c r="C117" s="1" t="n">
        <v>45697</v>
      </c>
      <c r="D117" t="inlineStr">
        <is>
          <t>JÖNKÖPINGS LÄN</t>
        </is>
      </c>
      <c r="E117" t="inlineStr">
        <is>
          <t>JÖNKÖPING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28692-2019</t>
        </is>
      </c>
      <c r="B118" s="1" t="n">
        <v>43614</v>
      </c>
      <c r="C118" s="1" t="n">
        <v>45697</v>
      </c>
      <c r="D118" t="inlineStr">
        <is>
          <t>JÖNKÖPINGS LÄN</t>
        </is>
      </c>
      <c r="E118" t="inlineStr">
        <is>
          <t>JÖNKÖPING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28683-2019</t>
        </is>
      </c>
      <c r="B119" s="1" t="n">
        <v>43614</v>
      </c>
      <c r="C119" s="1" t="n">
        <v>45697</v>
      </c>
      <c r="D119" t="inlineStr">
        <is>
          <t>JÖNKÖPINGS LÄN</t>
        </is>
      </c>
      <c r="E119" t="inlineStr">
        <is>
          <t>JÖNKÖPING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27878-2019</t>
        </is>
      </c>
      <c r="B120" s="1" t="n">
        <v>43620</v>
      </c>
      <c r="C120" s="1" t="n">
        <v>45697</v>
      </c>
      <c r="D120" t="inlineStr">
        <is>
          <t>JÖNKÖPINGS LÄN</t>
        </is>
      </c>
      <c r="E120" t="inlineStr">
        <is>
          <t>JÖNKÖPING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27851-2019</t>
        </is>
      </c>
      <c r="B121" s="1" t="n">
        <v>43620</v>
      </c>
      <c r="C121" s="1" t="n">
        <v>45697</v>
      </c>
      <c r="D121" t="inlineStr">
        <is>
          <t>JÖNKÖPINGS LÄN</t>
        </is>
      </c>
      <c r="E121" t="inlineStr">
        <is>
          <t>JÖNKÖPING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28561-2019</t>
        </is>
      </c>
      <c r="B122" s="1" t="n">
        <v>43626</v>
      </c>
      <c r="C122" s="1" t="n">
        <v>45697</v>
      </c>
      <c r="D122" t="inlineStr">
        <is>
          <t>JÖNKÖPINGS LÄN</t>
        </is>
      </c>
      <c r="E122" t="inlineStr">
        <is>
          <t>JÖNKÖPING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29767-2019</t>
        </is>
      </c>
      <c r="B123" s="1" t="n">
        <v>43632</v>
      </c>
      <c r="C123" s="1" t="n">
        <v>45697</v>
      </c>
      <c r="D123" t="inlineStr">
        <is>
          <t>JÖNKÖPINGS LÄN</t>
        </is>
      </c>
      <c r="E123" t="inlineStr">
        <is>
          <t>JÖNKÖPING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29956-2019</t>
        </is>
      </c>
      <c r="B124" s="1" t="n">
        <v>43633</v>
      </c>
      <c r="C124" s="1" t="n">
        <v>45697</v>
      </c>
      <c r="D124" t="inlineStr">
        <is>
          <t>JÖNKÖPINGS LÄN</t>
        </is>
      </c>
      <c r="E124" t="inlineStr">
        <is>
          <t>JÖNKÖPING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29897-2019</t>
        </is>
      </c>
      <c r="B125" s="1" t="n">
        <v>43633</v>
      </c>
      <c r="C125" s="1" t="n">
        <v>45697</v>
      </c>
      <c r="D125" t="inlineStr">
        <is>
          <t>JÖNKÖPINGS LÄN</t>
        </is>
      </c>
      <c r="E125" t="inlineStr">
        <is>
          <t>JÖNKÖPING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29911-2019</t>
        </is>
      </c>
      <c r="B126" s="1" t="n">
        <v>43633</v>
      </c>
      <c r="C126" s="1" t="n">
        <v>45697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30463-2019</t>
        </is>
      </c>
      <c r="B127" s="1" t="n">
        <v>43634</v>
      </c>
      <c r="C127" s="1" t="n">
        <v>45697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30904-2019</t>
        </is>
      </c>
      <c r="B128" s="1" t="n">
        <v>43636</v>
      </c>
      <c r="C128" s="1" t="n">
        <v>45697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34020-2019</t>
        </is>
      </c>
      <c r="B129" s="1" t="n">
        <v>43654</v>
      </c>
      <c r="C129" s="1" t="n">
        <v>45697</v>
      </c>
      <c r="D129" t="inlineStr">
        <is>
          <t>JÖNKÖPINGS LÄN</t>
        </is>
      </c>
      <c r="E129" t="inlineStr">
        <is>
          <t>JÖNKÖPING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35543-2019</t>
        </is>
      </c>
      <c r="B130" s="1" t="n">
        <v>43654</v>
      </c>
      <c r="C130" s="1" t="n">
        <v>45697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34408-2019</t>
        </is>
      </c>
      <c r="B131" s="1" t="n">
        <v>43656</v>
      </c>
      <c r="C131" s="1" t="n">
        <v>45697</v>
      </c>
      <c r="D131" t="inlineStr">
        <is>
          <t>JÖNKÖPINGS LÄN</t>
        </is>
      </c>
      <c r="E131" t="inlineStr">
        <is>
          <t>JÖNKÖPING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34410-2019</t>
        </is>
      </c>
      <c r="B132" s="1" t="n">
        <v>43656</v>
      </c>
      <c r="C132" s="1" t="n">
        <v>45697</v>
      </c>
      <c r="D132" t="inlineStr">
        <is>
          <t>JÖNKÖPINGS LÄN</t>
        </is>
      </c>
      <c r="E132" t="inlineStr">
        <is>
          <t>JÖNKÖPING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35275-2019</t>
        </is>
      </c>
      <c r="B133" s="1" t="n">
        <v>43662</v>
      </c>
      <c r="C133" s="1" t="n">
        <v>45697</v>
      </c>
      <c r="D133" t="inlineStr">
        <is>
          <t>JÖNKÖPINGS LÄN</t>
        </is>
      </c>
      <c r="E133" t="inlineStr">
        <is>
          <t>JÖNKÖPING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36433-2019</t>
        </is>
      </c>
      <c r="B134" s="1" t="n">
        <v>43663</v>
      </c>
      <c r="C134" s="1" t="n">
        <v>45697</v>
      </c>
      <c r="D134" t="inlineStr">
        <is>
          <t>JÖNKÖPINGS LÄN</t>
        </is>
      </c>
      <c r="E134" t="inlineStr">
        <is>
          <t>JÖNKÖPING</t>
        </is>
      </c>
      <c r="G134" t="n">
        <v>20.5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35821-2019</t>
        </is>
      </c>
      <c r="B135" s="1" t="n">
        <v>43665</v>
      </c>
      <c r="C135" s="1" t="n">
        <v>45697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36598-2019</t>
        </is>
      </c>
      <c r="B136" s="1" t="n">
        <v>43669</v>
      </c>
      <c r="C136" s="1" t="n">
        <v>45697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36661-2019</t>
        </is>
      </c>
      <c r="B137" s="1" t="n">
        <v>43671</v>
      </c>
      <c r="C137" s="1" t="n">
        <v>45697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36658-2019</t>
        </is>
      </c>
      <c r="B138" s="1" t="n">
        <v>43671</v>
      </c>
      <c r="C138" s="1" t="n">
        <v>45697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37200-2019</t>
        </is>
      </c>
      <c r="B139" s="1" t="n">
        <v>43676</v>
      </c>
      <c r="C139" s="1" t="n">
        <v>45697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37262-2019</t>
        </is>
      </c>
      <c r="B140" s="1" t="n">
        <v>43677</v>
      </c>
      <c r="C140" s="1" t="n">
        <v>45697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37267-2019</t>
        </is>
      </c>
      <c r="B141" s="1" t="n">
        <v>43677</v>
      </c>
      <c r="C141" s="1" t="n">
        <v>45697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37875-2019</t>
        </is>
      </c>
      <c r="B142" s="1" t="n">
        <v>43682</v>
      </c>
      <c r="C142" s="1" t="n">
        <v>45697</v>
      </c>
      <c r="D142" t="inlineStr">
        <is>
          <t>JÖNKÖPINGS LÄN</t>
        </is>
      </c>
      <c r="E142" t="inlineStr">
        <is>
          <t>JÖNKÖPING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38527-2019</t>
        </is>
      </c>
      <c r="B143" s="1" t="n">
        <v>43685</v>
      </c>
      <c r="C143" s="1" t="n">
        <v>45697</v>
      </c>
      <c r="D143" t="inlineStr">
        <is>
          <t>JÖNKÖPINGS LÄN</t>
        </is>
      </c>
      <c r="E143" t="inlineStr">
        <is>
          <t>JÖNKÖPING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39061-2019</t>
        </is>
      </c>
      <c r="B144" s="1" t="n">
        <v>43689</v>
      </c>
      <c r="C144" s="1" t="n">
        <v>45697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39285-2019</t>
        </is>
      </c>
      <c r="B145" s="1" t="n">
        <v>43690</v>
      </c>
      <c r="C145" s="1" t="n">
        <v>45697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39936-2019</t>
        </is>
      </c>
      <c r="B146" s="1" t="n">
        <v>43690</v>
      </c>
      <c r="C146" s="1" t="n">
        <v>45697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41097-2019</t>
        </is>
      </c>
      <c r="B147" s="1" t="n">
        <v>43691</v>
      </c>
      <c r="C147" s="1" t="n">
        <v>45697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40894-2019</t>
        </is>
      </c>
      <c r="B148" s="1" t="n">
        <v>43697</v>
      </c>
      <c r="C148" s="1" t="n">
        <v>45697</v>
      </c>
      <c r="D148" t="inlineStr">
        <is>
          <t>JÖNKÖPINGS LÄN</t>
        </is>
      </c>
      <c r="E148" t="inlineStr">
        <is>
          <t>JÖNKÖPING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42261-2019</t>
        </is>
      </c>
      <c r="B149" s="1" t="n">
        <v>43698</v>
      </c>
      <c r="C149" s="1" t="n">
        <v>45697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41225-2019</t>
        </is>
      </c>
      <c r="B150" s="1" t="n">
        <v>43698</v>
      </c>
      <c r="C150" s="1" t="n">
        <v>45697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42722-2019</t>
        </is>
      </c>
      <c r="B151" s="1" t="n">
        <v>43700</v>
      </c>
      <c r="C151" s="1" t="n">
        <v>45697</v>
      </c>
      <c r="D151" t="inlineStr">
        <is>
          <t>JÖNKÖPINGS LÄN</t>
        </is>
      </c>
      <c r="E151" t="inlineStr">
        <is>
          <t>JÖNKÖPING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42177-2019</t>
        </is>
      </c>
      <c r="B152" s="1" t="n">
        <v>43703</v>
      </c>
      <c r="C152" s="1" t="n">
        <v>45697</v>
      </c>
      <c r="D152" t="inlineStr">
        <is>
          <t>JÖNKÖPINGS LÄN</t>
        </is>
      </c>
      <c r="E152" t="inlineStr">
        <is>
          <t>JÖNKÖPING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42119-2019</t>
        </is>
      </c>
      <c r="B153" s="1" t="n">
        <v>43703</v>
      </c>
      <c r="C153" s="1" t="n">
        <v>45697</v>
      </c>
      <c r="D153" t="inlineStr">
        <is>
          <t>JÖNKÖPINGS LÄN</t>
        </is>
      </c>
      <c r="E153" t="inlineStr">
        <is>
          <t>JÖNKÖPING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42265-2019</t>
        </is>
      </c>
      <c r="B154" s="1" t="n">
        <v>43703</v>
      </c>
      <c r="C154" s="1" t="n">
        <v>45697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43462-2019</t>
        </is>
      </c>
      <c r="B155" s="1" t="n">
        <v>43704</v>
      </c>
      <c r="C155" s="1" t="n">
        <v>45697</v>
      </c>
      <c r="D155" t="inlineStr">
        <is>
          <t>JÖNKÖPINGS LÄN</t>
        </is>
      </c>
      <c r="E155" t="inlineStr">
        <is>
          <t>JÖNKÖPING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43118-2019</t>
        </is>
      </c>
      <c r="B156" s="1" t="n">
        <v>43705</v>
      </c>
      <c r="C156" s="1" t="n">
        <v>45697</v>
      </c>
      <c r="D156" t="inlineStr">
        <is>
          <t>JÖNKÖPINGS LÄN</t>
        </is>
      </c>
      <c r="E156" t="inlineStr">
        <is>
          <t>JÖNKÖPING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45978-2019</t>
        </is>
      </c>
      <c r="B157" s="1" t="n">
        <v>43713</v>
      </c>
      <c r="C157" s="1" t="n">
        <v>45697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46723-2019</t>
        </is>
      </c>
      <c r="B158" s="1" t="n">
        <v>43719</v>
      </c>
      <c r="C158" s="1" t="n">
        <v>45697</v>
      </c>
      <c r="D158" t="inlineStr">
        <is>
          <t>JÖNKÖPINGS LÄN</t>
        </is>
      </c>
      <c r="E158" t="inlineStr">
        <is>
          <t>JÖNKÖPING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46487-2019</t>
        </is>
      </c>
      <c r="B159" s="1" t="n">
        <v>43719</v>
      </c>
      <c r="C159" s="1" t="n">
        <v>45697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47660-2019</t>
        </is>
      </c>
      <c r="B160" s="1" t="n">
        <v>43724</v>
      </c>
      <c r="C160" s="1" t="n">
        <v>45697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51043-2019</t>
        </is>
      </c>
      <c r="B161" s="1" t="n">
        <v>43731</v>
      </c>
      <c r="C161" s="1" t="n">
        <v>45697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50194-2019</t>
        </is>
      </c>
      <c r="B162" s="1" t="n">
        <v>43734</v>
      </c>
      <c r="C162" s="1" t="n">
        <v>45697</v>
      </c>
      <c r="D162" t="inlineStr">
        <is>
          <t>JÖNKÖPINGS LÄN</t>
        </is>
      </c>
      <c r="E162" t="inlineStr">
        <is>
          <t>JÖNKÖPING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51287-2019</t>
        </is>
      </c>
      <c r="B163" s="1" t="n">
        <v>43739</v>
      </c>
      <c r="C163" s="1" t="n">
        <v>45697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51339-2019</t>
        </is>
      </c>
      <c r="B164" s="1" t="n">
        <v>43740</v>
      </c>
      <c r="C164" s="1" t="n">
        <v>45697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52093-2019</t>
        </is>
      </c>
      <c r="B165" s="1" t="n">
        <v>43742</v>
      </c>
      <c r="C165" s="1" t="n">
        <v>45697</v>
      </c>
      <c r="D165" t="inlineStr">
        <is>
          <t>JÖNKÖPINGS LÄN</t>
        </is>
      </c>
      <c r="E165" t="inlineStr">
        <is>
          <t>JÖNKÖPING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52190-2019</t>
        </is>
      </c>
      <c r="B166" s="1" t="n">
        <v>43742</v>
      </c>
      <c r="C166" s="1" t="n">
        <v>45697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52443-2019</t>
        </is>
      </c>
      <c r="B167" s="1" t="n">
        <v>43745</v>
      </c>
      <c r="C167" s="1" t="n">
        <v>45697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54088-2019</t>
        </is>
      </c>
      <c r="B168" s="1" t="n">
        <v>43752</v>
      </c>
      <c r="C168" s="1" t="n">
        <v>45697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54086-2019</t>
        </is>
      </c>
      <c r="B169" s="1" t="n">
        <v>43752</v>
      </c>
      <c r="C169" s="1" t="n">
        <v>45697</v>
      </c>
      <c r="D169" t="inlineStr">
        <is>
          <t>JÖNKÖPINGS LÄN</t>
        </is>
      </c>
      <c r="E169" t="inlineStr">
        <is>
          <t>JÖNKÖPING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56367-2019</t>
        </is>
      </c>
      <c r="B170" s="1" t="n">
        <v>43756</v>
      </c>
      <c r="C170" s="1" t="n">
        <v>45697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55991-2019</t>
        </is>
      </c>
      <c r="B171" s="1" t="n">
        <v>43759</v>
      </c>
      <c r="C171" s="1" t="n">
        <v>45697</v>
      </c>
      <c r="D171" t="inlineStr">
        <is>
          <t>JÖNKÖPINGS LÄN</t>
        </is>
      </c>
      <c r="E171" t="inlineStr">
        <is>
          <t>JÖNKÖPING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56032-2019</t>
        </is>
      </c>
      <c r="B172" s="1" t="n">
        <v>43759</v>
      </c>
      <c r="C172" s="1" t="n">
        <v>45697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55989-2019</t>
        </is>
      </c>
      <c r="B173" s="1" t="n">
        <v>43759</v>
      </c>
      <c r="C173" s="1" t="n">
        <v>45697</v>
      </c>
      <c r="D173" t="inlineStr">
        <is>
          <t>JÖNKÖPINGS LÄN</t>
        </is>
      </c>
      <c r="E173" t="inlineStr">
        <is>
          <t>JÖNKÖPING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57238-2019</t>
        </is>
      </c>
      <c r="B174" s="1" t="n">
        <v>43767</v>
      </c>
      <c r="C174" s="1" t="n">
        <v>45697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58411-2019</t>
        </is>
      </c>
      <c r="B175" s="1" t="n">
        <v>43772</v>
      </c>
      <c r="C175" s="1" t="n">
        <v>45697</v>
      </c>
      <c r="D175" t="inlineStr">
        <is>
          <t>JÖNKÖPINGS LÄN</t>
        </is>
      </c>
      <c r="E175" t="inlineStr">
        <is>
          <t>JÖNKÖPING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58990-2019</t>
        </is>
      </c>
      <c r="B176" s="1" t="n">
        <v>43774</v>
      </c>
      <c r="C176" s="1" t="n">
        <v>45697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59392-2019</t>
        </is>
      </c>
      <c r="B177" s="1" t="n">
        <v>43775</v>
      </c>
      <c r="C177" s="1" t="n">
        <v>45697</v>
      </c>
      <c r="D177" t="inlineStr">
        <is>
          <t>JÖNKÖPINGS LÄN</t>
        </is>
      </c>
      <c r="E177" t="inlineStr">
        <is>
          <t>JÖNKÖPING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59955-2019</t>
        </is>
      </c>
      <c r="B178" s="1" t="n">
        <v>43775</v>
      </c>
      <c r="C178" s="1" t="n">
        <v>45697</v>
      </c>
      <c r="D178" t="inlineStr">
        <is>
          <t>JÖNKÖPINGS LÄN</t>
        </is>
      </c>
      <c r="E178" t="inlineStr">
        <is>
          <t>JÖNKÖPING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59553-2019</t>
        </is>
      </c>
      <c r="B179" s="1" t="n">
        <v>43776</v>
      </c>
      <c r="C179" s="1" t="n">
        <v>45697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59704-2019</t>
        </is>
      </c>
      <c r="B180" s="1" t="n">
        <v>43776</v>
      </c>
      <c r="C180" s="1" t="n">
        <v>45697</v>
      </c>
      <c r="D180" t="inlineStr">
        <is>
          <t>JÖNKÖPINGS LÄN</t>
        </is>
      </c>
      <c r="E180" t="inlineStr">
        <is>
          <t>JÖNKÖPING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59982-2019</t>
        </is>
      </c>
      <c r="B181" s="1" t="n">
        <v>43777</v>
      </c>
      <c r="C181" s="1" t="n">
        <v>45697</v>
      </c>
      <c r="D181" t="inlineStr">
        <is>
          <t>JÖNKÖPINGS LÄN</t>
        </is>
      </c>
      <c r="E181" t="inlineStr">
        <is>
          <t>JÖNKÖPING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61094-2019</t>
        </is>
      </c>
      <c r="B182" s="1" t="n">
        <v>43782</v>
      </c>
      <c r="C182" s="1" t="n">
        <v>45697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63357-2019</t>
        </is>
      </c>
      <c r="B183" s="1" t="n">
        <v>43794</v>
      </c>
      <c r="C183" s="1" t="n">
        <v>45697</v>
      </c>
      <c r="D183" t="inlineStr">
        <is>
          <t>JÖNKÖPINGS LÄN</t>
        </is>
      </c>
      <c r="E183" t="inlineStr">
        <is>
          <t>JÖNKÖPING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63490-2019</t>
        </is>
      </c>
      <c r="B184" s="1" t="n">
        <v>43794</v>
      </c>
      <c r="C184" s="1" t="n">
        <v>45697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63485-2019</t>
        </is>
      </c>
      <c r="B185" s="1" t="n">
        <v>43794</v>
      </c>
      <c r="C185" s="1" t="n">
        <v>45697</v>
      </c>
      <c r="D185" t="inlineStr">
        <is>
          <t>JÖNKÖPINGS LÄN</t>
        </is>
      </c>
      <c r="E185" t="inlineStr">
        <is>
          <t>JÖNKÖPING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64900-2019</t>
        </is>
      </c>
      <c r="B186" s="1" t="n">
        <v>43801</v>
      </c>
      <c r="C186" s="1" t="n">
        <v>45697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65673-2019</t>
        </is>
      </c>
      <c r="B187" s="1" t="n">
        <v>43804</v>
      </c>
      <c r="C187" s="1" t="n">
        <v>45697</v>
      </c>
      <c r="D187" t="inlineStr">
        <is>
          <t>JÖNKÖPINGS LÄN</t>
        </is>
      </c>
      <c r="E187" t="inlineStr">
        <is>
          <t>JÖNKÖPING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66023-2019</t>
        </is>
      </c>
      <c r="B188" s="1" t="n">
        <v>43805</v>
      </c>
      <c r="C188" s="1" t="n">
        <v>45697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66229-2019</t>
        </is>
      </c>
      <c r="B189" s="1" t="n">
        <v>43808</v>
      </c>
      <c r="C189" s="1" t="n">
        <v>45697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66472-2019</t>
        </is>
      </c>
      <c r="B190" s="1" t="n">
        <v>43809</v>
      </c>
      <c r="C190" s="1" t="n">
        <v>45697</v>
      </c>
      <c r="D190" t="inlineStr">
        <is>
          <t>JÖNKÖPINGS LÄN</t>
        </is>
      </c>
      <c r="E190" t="inlineStr">
        <is>
          <t>JÖNKÖPING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67436-2019</t>
        </is>
      </c>
      <c r="B191" s="1" t="n">
        <v>43812</v>
      </c>
      <c r="C191" s="1" t="n">
        <v>45697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68556-2019</t>
        </is>
      </c>
      <c r="B192" s="1" t="n">
        <v>43818</v>
      </c>
      <c r="C192" s="1" t="n">
        <v>45697</v>
      </c>
      <c r="D192" t="inlineStr">
        <is>
          <t>JÖNKÖPINGS LÄN</t>
        </is>
      </c>
      <c r="E192" t="inlineStr">
        <is>
          <t>JÖNKÖPING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68537-2019</t>
        </is>
      </c>
      <c r="B193" s="1" t="n">
        <v>43818</v>
      </c>
      <c r="C193" s="1" t="n">
        <v>45697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68364-2019</t>
        </is>
      </c>
      <c r="B194" s="1" t="n">
        <v>43818</v>
      </c>
      <c r="C194" s="1" t="n">
        <v>45697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291-2020</t>
        </is>
      </c>
      <c r="B195" s="1" t="n">
        <v>43837</v>
      </c>
      <c r="C195" s="1" t="n">
        <v>45697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289-2020</t>
        </is>
      </c>
      <c r="B196" s="1" t="n">
        <v>43837</v>
      </c>
      <c r="C196" s="1" t="n">
        <v>45697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749-2020</t>
        </is>
      </c>
      <c r="B197" s="1" t="n">
        <v>43838</v>
      </c>
      <c r="C197" s="1" t="n">
        <v>45697</v>
      </c>
      <c r="D197" t="inlineStr">
        <is>
          <t>JÖNKÖPINGS LÄN</t>
        </is>
      </c>
      <c r="E197" t="inlineStr">
        <is>
          <t>JÖNKÖPING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3392-2020</t>
        </is>
      </c>
      <c r="B198" s="1" t="n">
        <v>43845</v>
      </c>
      <c r="C198" s="1" t="n">
        <v>45697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2943-2020</t>
        </is>
      </c>
      <c r="B199" s="1" t="n">
        <v>43850</v>
      </c>
      <c r="C199" s="1" t="n">
        <v>45697</v>
      </c>
      <c r="D199" t="inlineStr">
        <is>
          <t>JÖNKÖPINGS LÄN</t>
        </is>
      </c>
      <c r="E199" t="inlineStr">
        <is>
          <t>JÖNKÖPING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3350-2020</t>
        </is>
      </c>
      <c r="B200" s="1" t="n">
        <v>43852</v>
      </c>
      <c r="C200" s="1" t="n">
        <v>45697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5039-2020</t>
        </is>
      </c>
      <c r="B201" s="1" t="n">
        <v>43853</v>
      </c>
      <c r="C201" s="1" t="n">
        <v>45697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4262-2020</t>
        </is>
      </c>
      <c r="B202" s="1" t="n">
        <v>43857</v>
      </c>
      <c r="C202" s="1" t="n">
        <v>45697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4505-2020</t>
        </is>
      </c>
      <c r="B203" s="1" t="n">
        <v>43858</v>
      </c>
      <c r="C203" s="1" t="n">
        <v>45697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4547-2020</t>
        </is>
      </c>
      <c r="B204" s="1" t="n">
        <v>43858</v>
      </c>
      <c r="C204" s="1" t="n">
        <v>45697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5657-2020</t>
        </is>
      </c>
      <c r="B205" s="1" t="n">
        <v>43861</v>
      </c>
      <c r="C205" s="1" t="n">
        <v>45697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6096-2020</t>
        </is>
      </c>
      <c r="B206" s="1" t="n">
        <v>43865</v>
      </c>
      <c r="C206" s="1" t="n">
        <v>45697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6176-2020</t>
        </is>
      </c>
      <c r="B207" s="1" t="n">
        <v>43865</v>
      </c>
      <c r="C207" s="1" t="n">
        <v>45697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6420-2020</t>
        </is>
      </c>
      <c r="B208" s="1" t="n">
        <v>43866</v>
      </c>
      <c r="C208" s="1" t="n">
        <v>45697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7493-2020</t>
        </is>
      </c>
      <c r="B209" s="1" t="n">
        <v>43871</v>
      </c>
      <c r="C209" s="1" t="n">
        <v>45697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17594-2020</t>
        </is>
      </c>
      <c r="B210" s="1" t="n">
        <v>43872</v>
      </c>
      <c r="C210" s="1" t="n">
        <v>45697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7996-2020</t>
        </is>
      </c>
      <c r="B211" s="1" t="n">
        <v>43873</v>
      </c>
      <c r="C211" s="1" t="n">
        <v>45697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8327-2020</t>
        </is>
      </c>
      <c r="B212" s="1" t="n">
        <v>43875</v>
      </c>
      <c r="C212" s="1" t="n">
        <v>45697</v>
      </c>
      <c r="D212" t="inlineStr">
        <is>
          <t>JÖNKÖPINGS LÄN</t>
        </is>
      </c>
      <c r="E212" t="inlineStr">
        <is>
          <t>JÖNKÖPING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9233-2020</t>
        </is>
      </c>
      <c r="B213" s="1" t="n">
        <v>43879</v>
      </c>
      <c r="C213" s="1" t="n">
        <v>45697</v>
      </c>
      <c r="D213" t="inlineStr">
        <is>
          <t>JÖNKÖPINGS LÄN</t>
        </is>
      </c>
      <c r="E213" t="inlineStr">
        <is>
          <t>JÖNKÖPING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9513-2020</t>
        </is>
      </c>
      <c r="B214" s="1" t="n">
        <v>43880</v>
      </c>
      <c r="C214" s="1" t="n">
        <v>45697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10895-2020</t>
        </is>
      </c>
      <c r="B215" s="1" t="n">
        <v>43889</v>
      </c>
      <c r="C215" s="1" t="n">
        <v>45697</v>
      </c>
      <c r="D215" t="inlineStr">
        <is>
          <t>JÖNKÖPINGS LÄN</t>
        </is>
      </c>
      <c r="E215" t="inlineStr">
        <is>
          <t>JÖNKÖPING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12429-2020</t>
        </is>
      </c>
      <c r="B216" s="1" t="n">
        <v>43896</v>
      </c>
      <c r="C216" s="1" t="n">
        <v>45697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13372-2020</t>
        </is>
      </c>
      <c r="B217" s="1" t="n">
        <v>43902</v>
      </c>
      <c r="C217" s="1" t="n">
        <v>45697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13377-2020</t>
        </is>
      </c>
      <c r="B218" s="1" t="n">
        <v>43902</v>
      </c>
      <c r="C218" s="1" t="n">
        <v>45697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HYPERLINK("https://klasma.github.io/Logging_0680/knärot/A 13377-2020 karta knärot.png", "A 13377-2020")</f>
        <v/>
      </c>
      <c r="V218">
        <f>HYPERLINK("https://klasma.github.io/Logging_0680/klagomål/A 13377-2020 FSC-klagomål.docx", "A 13377-2020")</f>
        <v/>
      </c>
      <c r="W218">
        <f>HYPERLINK("https://klasma.github.io/Logging_0680/klagomålsmail/A 13377-2020 FSC-klagomål mail.docx", "A 13377-2020")</f>
        <v/>
      </c>
      <c r="X218">
        <f>HYPERLINK("https://klasma.github.io/Logging_0680/tillsyn/A 13377-2020 tillsynsbegäran.docx", "A 13377-2020")</f>
        <v/>
      </c>
      <c r="Y218">
        <f>HYPERLINK("https://klasma.github.io/Logging_0680/tillsynsmail/A 13377-2020 tillsynsbegäran mail.docx", "A 13377-2020")</f>
        <v/>
      </c>
    </row>
    <row r="219" ht="15" customHeight="1">
      <c r="A219" t="inlineStr">
        <is>
          <t>A 14431-2020</t>
        </is>
      </c>
      <c r="B219" s="1" t="n">
        <v>43908</v>
      </c>
      <c r="C219" s="1" t="n">
        <v>45697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14432-2020</t>
        </is>
      </c>
      <c r="B220" s="1" t="n">
        <v>43908</v>
      </c>
      <c r="C220" s="1" t="n">
        <v>45697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16627-2020</t>
        </is>
      </c>
      <c r="B221" s="1" t="n">
        <v>43909</v>
      </c>
      <c r="C221" s="1" t="n">
        <v>45697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16629-2020</t>
        </is>
      </c>
      <c r="B222" s="1" t="n">
        <v>43909</v>
      </c>
      <c r="C222" s="1" t="n">
        <v>45697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16634-2020</t>
        </is>
      </c>
      <c r="B223" s="1" t="n">
        <v>43909</v>
      </c>
      <c r="C223" s="1" t="n">
        <v>45697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15507-2020</t>
        </is>
      </c>
      <c r="B224" s="1" t="n">
        <v>43914</v>
      </c>
      <c r="C224" s="1" t="n">
        <v>45697</v>
      </c>
      <c r="D224" t="inlineStr">
        <is>
          <t>JÖNKÖPINGS LÄN</t>
        </is>
      </c>
      <c r="E224" t="inlineStr">
        <is>
          <t>JÖNKÖPING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15968-2020</t>
        </is>
      </c>
      <c r="B225" s="1" t="n">
        <v>43916</v>
      </c>
      <c r="C225" s="1" t="n">
        <v>45697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15961-2020</t>
        </is>
      </c>
      <c r="B226" s="1" t="n">
        <v>43916</v>
      </c>
      <c r="C226" s="1" t="n">
        <v>45697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15977-2020</t>
        </is>
      </c>
      <c r="B227" s="1" t="n">
        <v>43916</v>
      </c>
      <c r="C227" s="1" t="n">
        <v>45697</v>
      </c>
      <c r="D227" t="inlineStr">
        <is>
          <t>JÖNKÖPINGS LÄN</t>
        </is>
      </c>
      <c r="E227" t="inlineStr">
        <is>
          <t>JÖNKÖPING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16569-2020</t>
        </is>
      </c>
      <c r="B228" s="1" t="n">
        <v>43920</v>
      </c>
      <c r="C228" s="1" t="n">
        <v>45697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17654-2020</t>
        </is>
      </c>
      <c r="B229" s="1" t="n">
        <v>43923</v>
      </c>
      <c r="C229" s="1" t="n">
        <v>45697</v>
      </c>
      <c r="D229" t="inlineStr">
        <is>
          <t>JÖNKÖPINGS LÄN</t>
        </is>
      </c>
      <c r="E229" t="inlineStr">
        <is>
          <t>JÖNKÖPING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17644-2020</t>
        </is>
      </c>
      <c r="B230" s="1" t="n">
        <v>43923</v>
      </c>
      <c r="C230" s="1" t="n">
        <v>45697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17651-2020</t>
        </is>
      </c>
      <c r="B231" s="1" t="n">
        <v>43923</v>
      </c>
      <c r="C231" s="1" t="n">
        <v>45697</v>
      </c>
      <c r="D231" t="inlineStr">
        <is>
          <t>JÖNKÖPINGS LÄN</t>
        </is>
      </c>
      <c r="E231" t="inlineStr">
        <is>
          <t>JÖNKÖPING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17649-2020</t>
        </is>
      </c>
      <c r="B232" s="1" t="n">
        <v>43923</v>
      </c>
      <c r="C232" s="1" t="n">
        <v>45697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17655-2020</t>
        </is>
      </c>
      <c r="B233" s="1" t="n">
        <v>43923</v>
      </c>
      <c r="C233" s="1" t="n">
        <v>45697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17912-2020</t>
        </is>
      </c>
      <c r="B234" s="1" t="n">
        <v>43924</v>
      </c>
      <c r="C234" s="1" t="n">
        <v>45697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18922-2020</t>
        </is>
      </c>
      <c r="B235" s="1" t="n">
        <v>43935</v>
      </c>
      <c r="C235" s="1" t="n">
        <v>45697</v>
      </c>
      <c r="D235" t="inlineStr">
        <is>
          <t>JÖNKÖPINGS LÄN</t>
        </is>
      </c>
      <c r="E235" t="inlineStr">
        <is>
          <t>JÖNKÖPING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19371-2020</t>
        </is>
      </c>
      <c r="B236" s="1" t="n">
        <v>43938</v>
      </c>
      <c r="C236" s="1" t="n">
        <v>45697</v>
      </c>
      <c r="D236" t="inlineStr">
        <is>
          <t>JÖNKÖPINGS LÄN</t>
        </is>
      </c>
      <c r="E236" t="inlineStr">
        <is>
          <t>JÖNKÖPING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19536-2020</t>
        </is>
      </c>
      <c r="B237" s="1" t="n">
        <v>43941</v>
      </c>
      <c r="C237" s="1" t="n">
        <v>45697</v>
      </c>
      <c r="D237" t="inlineStr">
        <is>
          <t>JÖNKÖPINGS LÄN</t>
        </is>
      </c>
      <c r="E237" t="inlineStr">
        <is>
          <t>JÖNKÖPING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19988-2020</t>
        </is>
      </c>
      <c r="B238" s="1" t="n">
        <v>43943</v>
      </c>
      <c r="C238" s="1" t="n">
        <v>45697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20742-2020</t>
        </is>
      </c>
      <c r="B239" s="1" t="n">
        <v>43949</v>
      </c>
      <c r="C239" s="1" t="n">
        <v>45697</v>
      </c>
      <c r="D239" t="inlineStr">
        <is>
          <t>JÖNKÖPINGS LÄN</t>
        </is>
      </c>
      <c r="E239" t="inlineStr">
        <is>
          <t>JÖNKÖPING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21082-2020</t>
        </is>
      </c>
      <c r="B240" s="1" t="n">
        <v>43951</v>
      </c>
      <c r="C240" s="1" t="n">
        <v>45697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21332-2020</t>
        </is>
      </c>
      <c r="B241" s="1" t="n">
        <v>43955</v>
      </c>
      <c r="C241" s="1" t="n">
        <v>45697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21959-2020</t>
        </is>
      </c>
      <c r="B242" s="1" t="n">
        <v>43958</v>
      </c>
      <c r="C242" s="1" t="n">
        <v>45697</v>
      </c>
      <c r="D242" t="inlineStr">
        <is>
          <t>JÖNKÖPINGS LÄN</t>
        </is>
      </c>
      <c r="E242" t="inlineStr">
        <is>
          <t>JÖNKÖPING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21956-2020</t>
        </is>
      </c>
      <c r="B243" s="1" t="n">
        <v>43958</v>
      </c>
      <c r="C243" s="1" t="n">
        <v>45697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21958-2020</t>
        </is>
      </c>
      <c r="B244" s="1" t="n">
        <v>43958</v>
      </c>
      <c r="C244" s="1" t="n">
        <v>45697</v>
      </c>
      <c r="D244" t="inlineStr">
        <is>
          <t>JÖNKÖPINGS LÄN</t>
        </is>
      </c>
      <c r="E244" t="inlineStr">
        <is>
          <t>JÖNKÖPING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21957-2020</t>
        </is>
      </c>
      <c r="B245" s="1" t="n">
        <v>43958</v>
      </c>
      <c r="C245" s="1" t="n">
        <v>45697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22360-2020</t>
        </is>
      </c>
      <c r="B246" s="1" t="n">
        <v>43962</v>
      </c>
      <c r="C246" s="1" t="n">
        <v>45697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22635-2020</t>
        </is>
      </c>
      <c r="B247" s="1" t="n">
        <v>43963</v>
      </c>
      <c r="C247" s="1" t="n">
        <v>45697</v>
      </c>
      <c r="D247" t="inlineStr">
        <is>
          <t>JÖNKÖPINGS LÄN</t>
        </is>
      </c>
      <c r="E247" t="inlineStr">
        <is>
          <t>JÖNKÖPING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25559-2020</t>
        </is>
      </c>
      <c r="B248" s="1" t="n">
        <v>43980</v>
      </c>
      <c r="C248" s="1" t="n">
        <v>45697</v>
      </c>
      <c r="D248" t="inlineStr">
        <is>
          <t>JÖNKÖPINGS LÄN</t>
        </is>
      </c>
      <c r="E248" t="inlineStr">
        <is>
          <t>JÖNKÖPING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25556-2020</t>
        </is>
      </c>
      <c r="B249" s="1" t="n">
        <v>43980</v>
      </c>
      <c r="C249" s="1" t="n">
        <v>45697</v>
      </c>
      <c r="D249" t="inlineStr">
        <is>
          <t>JÖNKÖPINGS LÄN</t>
        </is>
      </c>
      <c r="E249" t="inlineStr">
        <is>
          <t>JÖNKÖPING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26059-2020</t>
        </is>
      </c>
      <c r="B250" s="1" t="n">
        <v>43985</v>
      </c>
      <c r="C250" s="1" t="n">
        <v>45697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28816-2020</t>
        </is>
      </c>
      <c r="B251" s="1" t="n">
        <v>43998</v>
      </c>
      <c r="C251" s="1" t="n">
        <v>45697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28674-2020</t>
        </is>
      </c>
      <c r="B252" s="1" t="n">
        <v>43998</v>
      </c>
      <c r="C252" s="1" t="n">
        <v>45697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29177-2020</t>
        </is>
      </c>
      <c r="B253" s="1" t="n">
        <v>44004</v>
      </c>
      <c r="C253" s="1" t="n">
        <v>45697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29776-2020</t>
        </is>
      </c>
      <c r="B254" s="1" t="n">
        <v>44005</v>
      </c>
      <c r="C254" s="1" t="n">
        <v>45697</v>
      </c>
      <c r="D254" t="inlineStr">
        <is>
          <t>JÖNKÖPINGS LÄN</t>
        </is>
      </c>
      <c r="E254" t="inlineStr">
        <is>
          <t>JÖNKÖPING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31765-2020</t>
        </is>
      </c>
      <c r="B255" s="1" t="n">
        <v>44014</v>
      </c>
      <c r="C255" s="1" t="n">
        <v>45697</v>
      </c>
      <c r="D255" t="inlineStr">
        <is>
          <t>JÖNKÖPINGS LÄN</t>
        </is>
      </c>
      <c r="E255" t="inlineStr">
        <is>
          <t>JÖNKÖPING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31764-2020</t>
        </is>
      </c>
      <c r="B256" s="1" t="n">
        <v>44014</v>
      </c>
      <c r="C256" s="1" t="n">
        <v>45697</v>
      </c>
      <c r="D256" t="inlineStr">
        <is>
          <t>JÖNKÖPINGS LÄN</t>
        </is>
      </c>
      <c r="E256" t="inlineStr">
        <is>
          <t>JÖNKÖPING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32524-2020</t>
        </is>
      </c>
      <c r="B257" s="1" t="n">
        <v>44018</v>
      </c>
      <c r="C257" s="1" t="n">
        <v>45697</v>
      </c>
      <c r="D257" t="inlineStr">
        <is>
          <t>JÖNKÖPINGS LÄN</t>
        </is>
      </c>
      <c r="E257" t="inlineStr">
        <is>
          <t>JÖNKÖPING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36252-2020</t>
        </is>
      </c>
      <c r="B258" s="1" t="n">
        <v>44018</v>
      </c>
      <c r="C258" s="1" t="n">
        <v>45697</v>
      </c>
      <c r="D258" t="inlineStr">
        <is>
          <t>JÖNKÖPINGS LÄN</t>
        </is>
      </c>
      <c r="E258" t="inlineStr">
        <is>
          <t>JÖNKÖPING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32720-2020</t>
        </is>
      </c>
      <c r="B259" s="1" t="n">
        <v>44018</v>
      </c>
      <c r="C259" s="1" t="n">
        <v>45697</v>
      </c>
      <c r="D259" t="inlineStr">
        <is>
          <t>JÖNKÖPINGS LÄN</t>
        </is>
      </c>
      <c r="E259" t="inlineStr">
        <is>
          <t>JÖNKÖPING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33172-2020</t>
        </is>
      </c>
      <c r="B260" s="1" t="n">
        <v>44021</v>
      </c>
      <c r="C260" s="1" t="n">
        <v>45697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33326-2020</t>
        </is>
      </c>
      <c r="B261" s="1" t="n">
        <v>44022</v>
      </c>
      <c r="C261" s="1" t="n">
        <v>45697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33848-2020</t>
        </is>
      </c>
      <c r="B262" s="1" t="n">
        <v>44027</v>
      </c>
      <c r="C262" s="1" t="n">
        <v>45697</v>
      </c>
      <c r="D262" t="inlineStr">
        <is>
          <t>JÖNKÖPINGS LÄN</t>
        </is>
      </c>
      <c r="E262" t="inlineStr">
        <is>
          <t>JÖNKÖPING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33988-2020</t>
        </is>
      </c>
      <c r="B263" s="1" t="n">
        <v>44028</v>
      </c>
      <c r="C263" s="1" t="n">
        <v>45697</v>
      </c>
      <c r="D263" t="inlineStr">
        <is>
          <t>JÖNKÖPINGS LÄN</t>
        </is>
      </c>
      <c r="E263" t="inlineStr">
        <is>
          <t>JÖNKÖPING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34444-2020</t>
        </is>
      </c>
      <c r="B264" s="1" t="n">
        <v>44032</v>
      </c>
      <c r="C264" s="1" t="n">
        <v>45697</v>
      </c>
      <c r="D264" t="inlineStr">
        <is>
          <t>JÖNKÖPINGS LÄN</t>
        </is>
      </c>
      <c r="E264" t="inlineStr">
        <is>
          <t>JÖNKÖPING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36171-2020</t>
        </is>
      </c>
      <c r="B265" s="1" t="n">
        <v>44048</v>
      </c>
      <c r="C265" s="1" t="n">
        <v>45697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36172-2020</t>
        </is>
      </c>
      <c r="B266" s="1" t="n">
        <v>44048</v>
      </c>
      <c r="C266" s="1" t="n">
        <v>45697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36983-2020</t>
        </is>
      </c>
      <c r="B267" s="1" t="n">
        <v>44054</v>
      </c>
      <c r="C267" s="1" t="n">
        <v>45697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36989-2020</t>
        </is>
      </c>
      <c r="B268" s="1" t="n">
        <v>44054</v>
      </c>
      <c r="C268" s="1" t="n">
        <v>45697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37535-2020</t>
        </is>
      </c>
      <c r="B269" s="1" t="n">
        <v>44056</v>
      </c>
      <c r="C269" s="1" t="n">
        <v>45697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37554-2020</t>
        </is>
      </c>
      <c r="B270" s="1" t="n">
        <v>44056</v>
      </c>
      <c r="C270" s="1" t="n">
        <v>45697</v>
      </c>
      <c r="D270" t="inlineStr">
        <is>
          <t>JÖNKÖPINGS LÄN</t>
        </is>
      </c>
      <c r="E270" t="inlineStr">
        <is>
          <t>JÖNKÖPING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37570-2020</t>
        </is>
      </c>
      <c r="B271" s="1" t="n">
        <v>44056</v>
      </c>
      <c r="C271" s="1" t="n">
        <v>45697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37533-2020</t>
        </is>
      </c>
      <c r="B272" s="1" t="n">
        <v>44056</v>
      </c>
      <c r="C272" s="1" t="n">
        <v>45697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38256-2020</t>
        </is>
      </c>
      <c r="B273" s="1" t="n">
        <v>44060</v>
      </c>
      <c r="C273" s="1" t="n">
        <v>45697</v>
      </c>
      <c r="D273" t="inlineStr">
        <is>
          <t>JÖNKÖPINGS LÄN</t>
        </is>
      </c>
      <c r="E273" t="inlineStr">
        <is>
          <t>JÖNKÖPING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39138-2020</t>
        </is>
      </c>
      <c r="B274" s="1" t="n">
        <v>44063</v>
      </c>
      <c r="C274" s="1" t="n">
        <v>45697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39304-2020</t>
        </is>
      </c>
      <c r="B275" s="1" t="n">
        <v>44063</v>
      </c>
      <c r="C275" s="1" t="n">
        <v>45697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39516-2020</t>
        </is>
      </c>
      <c r="B276" s="1" t="n">
        <v>44064</v>
      </c>
      <c r="C276" s="1" t="n">
        <v>45697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39682-2020</t>
        </is>
      </c>
      <c r="B277" s="1" t="n">
        <v>44066</v>
      </c>
      <c r="C277" s="1" t="n">
        <v>45697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41520-2020</t>
        </is>
      </c>
      <c r="B278" s="1" t="n">
        <v>44074</v>
      </c>
      <c r="C278" s="1" t="n">
        <v>45697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41689-2020</t>
        </is>
      </c>
      <c r="B279" s="1" t="n">
        <v>44074</v>
      </c>
      <c r="C279" s="1" t="n">
        <v>45697</v>
      </c>
      <c r="D279" t="inlineStr">
        <is>
          <t>JÖNKÖPINGS LÄN</t>
        </is>
      </c>
      <c r="E279" t="inlineStr">
        <is>
          <t>JÖNKÖPING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41981-2020</t>
        </is>
      </c>
      <c r="B280" s="1" t="n">
        <v>44075</v>
      </c>
      <c r="C280" s="1" t="n">
        <v>45697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42368-2020</t>
        </is>
      </c>
      <c r="B281" s="1" t="n">
        <v>44076</v>
      </c>
      <c r="C281" s="1" t="n">
        <v>45697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42593-2020</t>
        </is>
      </c>
      <c r="B282" s="1" t="n">
        <v>44077</v>
      </c>
      <c r="C282" s="1" t="n">
        <v>45697</v>
      </c>
      <c r="D282" t="inlineStr">
        <is>
          <t>JÖNKÖPINGS LÄN</t>
        </is>
      </c>
      <c r="E282" t="inlineStr">
        <is>
          <t>JÖNKÖPING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43673-2020</t>
        </is>
      </c>
      <c r="B283" s="1" t="n">
        <v>44082</v>
      </c>
      <c r="C283" s="1" t="n">
        <v>45697</v>
      </c>
      <c r="D283" t="inlineStr">
        <is>
          <t>JÖNKÖPINGS LÄN</t>
        </is>
      </c>
      <c r="E283" t="inlineStr">
        <is>
          <t>JÖNKÖPING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43788-2020</t>
        </is>
      </c>
      <c r="B284" s="1" t="n">
        <v>44082</v>
      </c>
      <c r="C284" s="1" t="n">
        <v>45697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43780-2020</t>
        </is>
      </c>
      <c r="B285" s="1" t="n">
        <v>44082</v>
      </c>
      <c r="C285" s="1" t="n">
        <v>45697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43791-2020</t>
        </is>
      </c>
      <c r="B286" s="1" t="n">
        <v>44082</v>
      </c>
      <c r="C286" s="1" t="n">
        <v>45697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43959-2020</t>
        </is>
      </c>
      <c r="B287" s="1" t="n">
        <v>44083</v>
      </c>
      <c r="C287" s="1" t="n">
        <v>45697</v>
      </c>
      <c r="D287" t="inlineStr">
        <is>
          <t>JÖNKÖPINGS LÄN</t>
        </is>
      </c>
      <c r="E287" t="inlineStr">
        <is>
          <t>JÖNKÖPING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44416-2020</t>
        </is>
      </c>
      <c r="B288" s="1" t="n">
        <v>44084</v>
      </c>
      <c r="C288" s="1" t="n">
        <v>45697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44843-2020</t>
        </is>
      </c>
      <c r="B289" s="1" t="n">
        <v>44086</v>
      </c>
      <c r="C289" s="1" t="n">
        <v>45697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44906-2020</t>
        </is>
      </c>
      <c r="B290" s="1" t="n">
        <v>44088</v>
      </c>
      <c r="C290" s="1" t="n">
        <v>45697</v>
      </c>
      <c r="D290" t="inlineStr">
        <is>
          <t>JÖNKÖPINGS LÄN</t>
        </is>
      </c>
      <c r="E290" t="inlineStr">
        <is>
          <t>JÖNKÖPING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45593-2020</t>
        </is>
      </c>
      <c r="B291" s="1" t="n">
        <v>44090</v>
      </c>
      <c r="C291" s="1" t="n">
        <v>45697</v>
      </c>
      <c r="D291" t="inlineStr">
        <is>
          <t>JÖNKÖPINGS LÄN</t>
        </is>
      </c>
      <c r="E291" t="inlineStr">
        <is>
          <t>JÖNKÖPING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45704-2020</t>
        </is>
      </c>
      <c r="B292" s="1" t="n">
        <v>44090</v>
      </c>
      <c r="C292" s="1" t="n">
        <v>45697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46234-2020</t>
        </is>
      </c>
      <c r="B293" s="1" t="n">
        <v>44092</v>
      </c>
      <c r="C293" s="1" t="n">
        <v>45697</v>
      </c>
      <c r="D293" t="inlineStr">
        <is>
          <t>JÖNKÖPINGS LÄN</t>
        </is>
      </c>
      <c r="E293" t="inlineStr">
        <is>
          <t>JÖNKÖPING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46389-2020</t>
        </is>
      </c>
      <c r="B294" s="1" t="n">
        <v>44093</v>
      </c>
      <c r="C294" s="1" t="n">
        <v>45697</v>
      </c>
      <c r="D294" t="inlineStr">
        <is>
          <t>JÖNKÖPINGS LÄN</t>
        </is>
      </c>
      <c r="E294" t="inlineStr">
        <is>
          <t>JÖNKÖPING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46737-2020</t>
        </is>
      </c>
      <c r="B295" s="1" t="n">
        <v>44095</v>
      </c>
      <c r="C295" s="1" t="n">
        <v>45697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48614-2020</t>
        </is>
      </c>
      <c r="B296" s="1" t="n">
        <v>44103</v>
      </c>
      <c r="C296" s="1" t="n">
        <v>45697</v>
      </c>
      <c r="D296" t="inlineStr">
        <is>
          <t>JÖNKÖPINGS LÄN</t>
        </is>
      </c>
      <c r="E296" t="inlineStr">
        <is>
          <t>JÖNKÖPING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48950-2020</t>
        </is>
      </c>
      <c r="B297" s="1" t="n">
        <v>44104</v>
      </c>
      <c r="C297" s="1" t="n">
        <v>45697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50205-2020</t>
        </is>
      </c>
      <c r="B298" s="1" t="n">
        <v>44109</v>
      </c>
      <c r="C298" s="1" t="n">
        <v>45697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50579-2020</t>
        </is>
      </c>
      <c r="B299" s="1" t="n">
        <v>44110</v>
      </c>
      <c r="C299" s="1" t="n">
        <v>45697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50928-2020</t>
        </is>
      </c>
      <c r="B300" s="1" t="n">
        <v>44111</v>
      </c>
      <c r="C300" s="1" t="n">
        <v>45697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51451-2020</t>
        </is>
      </c>
      <c r="B301" s="1" t="n">
        <v>44113</v>
      </c>
      <c r="C301" s="1" t="n">
        <v>45697</v>
      </c>
      <c r="D301" t="inlineStr">
        <is>
          <t>JÖNKÖPINGS LÄN</t>
        </is>
      </c>
      <c r="E301" t="inlineStr">
        <is>
          <t>JÖNKÖPING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51462-2020</t>
        </is>
      </c>
      <c r="B302" s="1" t="n">
        <v>44113</v>
      </c>
      <c r="C302" s="1" t="n">
        <v>45697</v>
      </c>
      <c r="D302" t="inlineStr">
        <is>
          <t>JÖNKÖPINGS LÄN</t>
        </is>
      </c>
      <c r="E302" t="inlineStr">
        <is>
          <t>JÖNKÖPING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52499-2020</t>
        </is>
      </c>
      <c r="B303" s="1" t="n">
        <v>44118</v>
      </c>
      <c r="C303" s="1" t="n">
        <v>45697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52501-2020</t>
        </is>
      </c>
      <c r="B304" s="1" t="n">
        <v>44118</v>
      </c>
      <c r="C304" s="1" t="n">
        <v>45697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52475-2020</t>
        </is>
      </c>
      <c r="B305" s="1" t="n">
        <v>44118</v>
      </c>
      <c r="C305" s="1" t="n">
        <v>45697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52498-2020</t>
        </is>
      </c>
      <c r="B306" s="1" t="n">
        <v>44118</v>
      </c>
      <c r="C306" s="1" t="n">
        <v>45697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52494-2020</t>
        </is>
      </c>
      <c r="B307" s="1" t="n">
        <v>44118</v>
      </c>
      <c r="C307" s="1" t="n">
        <v>45697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52503-2020</t>
        </is>
      </c>
      <c r="B308" s="1" t="n">
        <v>44118</v>
      </c>
      <c r="C308" s="1" t="n">
        <v>45697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52506-2020</t>
        </is>
      </c>
      <c r="B309" s="1" t="n">
        <v>44118</v>
      </c>
      <c r="C309" s="1" t="n">
        <v>45697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55101-2020</t>
        </is>
      </c>
      <c r="B310" s="1" t="n">
        <v>44130</v>
      </c>
      <c r="C310" s="1" t="n">
        <v>45697</v>
      </c>
      <c r="D310" t="inlineStr">
        <is>
          <t>JÖNKÖPINGS LÄN</t>
        </is>
      </c>
      <c r="E310" t="inlineStr">
        <is>
          <t>JÖNKÖPING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56700-2020</t>
        </is>
      </c>
      <c r="B311" s="1" t="n">
        <v>44137</v>
      </c>
      <c r="C311" s="1" t="n">
        <v>45697</v>
      </c>
      <c r="D311" t="inlineStr">
        <is>
          <t>JÖNKÖPINGS LÄN</t>
        </is>
      </c>
      <c r="E311" t="inlineStr">
        <is>
          <t>JÖNKÖPING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56704-2020</t>
        </is>
      </c>
      <c r="B312" s="1" t="n">
        <v>44137</v>
      </c>
      <c r="C312" s="1" t="n">
        <v>45697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56796-2020</t>
        </is>
      </c>
      <c r="B313" s="1" t="n">
        <v>44138</v>
      </c>
      <c r="C313" s="1" t="n">
        <v>45697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56795-2020</t>
        </is>
      </c>
      <c r="B314" s="1" t="n">
        <v>44138</v>
      </c>
      <c r="C314" s="1" t="n">
        <v>45697</v>
      </c>
      <c r="D314" t="inlineStr">
        <is>
          <t>JÖNKÖPINGS LÄN</t>
        </is>
      </c>
      <c r="E314" t="inlineStr">
        <is>
          <t>JÖNKÖPING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58007-2020</t>
        </is>
      </c>
      <c r="B315" s="1" t="n">
        <v>44144</v>
      </c>
      <c r="C315" s="1" t="n">
        <v>45697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58660-2020</t>
        </is>
      </c>
      <c r="B316" s="1" t="n">
        <v>44145</v>
      </c>
      <c r="C316" s="1" t="n">
        <v>45697</v>
      </c>
      <c r="D316" t="inlineStr">
        <is>
          <t>JÖNKÖPINGS LÄN</t>
        </is>
      </c>
      <c r="E316" t="inlineStr">
        <is>
          <t>JÖNKÖPING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58749-2020</t>
        </is>
      </c>
      <c r="B317" s="1" t="n">
        <v>44145</v>
      </c>
      <c r="C317" s="1" t="n">
        <v>45697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58627-2020</t>
        </is>
      </c>
      <c r="B318" s="1" t="n">
        <v>44145</v>
      </c>
      <c r="C318" s="1" t="n">
        <v>45697</v>
      </c>
      <c r="D318" t="inlineStr">
        <is>
          <t>JÖNKÖPINGS LÄN</t>
        </is>
      </c>
      <c r="E318" t="inlineStr">
        <is>
          <t>JÖNKÖPING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59305-2020</t>
        </is>
      </c>
      <c r="B319" s="1" t="n">
        <v>44147</v>
      </c>
      <c r="C319" s="1" t="n">
        <v>45697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59502-2020</t>
        </is>
      </c>
      <c r="B320" s="1" t="n">
        <v>44148</v>
      </c>
      <c r="C320" s="1" t="n">
        <v>45697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59684-2020</t>
        </is>
      </c>
      <c r="B321" s="1" t="n">
        <v>44151</v>
      </c>
      <c r="C321" s="1" t="n">
        <v>45697</v>
      </c>
      <c r="D321" t="inlineStr">
        <is>
          <t>JÖNKÖPINGS LÄN</t>
        </is>
      </c>
      <c r="E321" t="inlineStr">
        <is>
          <t>JÖNKÖPING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61619-2020</t>
        </is>
      </c>
      <c r="B322" s="1" t="n">
        <v>44158</v>
      </c>
      <c r="C322" s="1" t="n">
        <v>45697</v>
      </c>
      <c r="D322" t="inlineStr">
        <is>
          <t>JÖNKÖPINGS LÄN</t>
        </is>
      </c>
      <c r="E322" t="inlineStr">
        <is>
          <t>JÖNKÖPING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61546-2020</t>
        </is>
      </c>
      <c r="B323" s="1" t="n">
        <v>44158</v>
      </c>
      <c r="C323" s="1" t="n">
        <v>45697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61790-2020</t>
        </is>
      </c>
      <c r="B324" s="1" t="n">
        <v>44158</v>
      </c>
      <c r="C324" s="1" t="n">
        <v>45697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62594-2020</t>
        </is>
      </c>
      <c r="B325" s="1" t="n">
        <v>44161</v>
      </c>
      <c r="C325" s="1" t="n">
        <v>45697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65080-2020</t>
        </is>
      </c>
      <c r="B326" s="1" t="n">
        <v>44172</v>
      </c>
      <c r="C326" s="1" t="n">
        <v>45697</v>
      </c>
      <c r="D326" t="inlineStr">
        <is>
          <t>JÖNKÖPINGS LÄN</t>
        </is>
      </c>
      <c r="E326" t="inlineStr">
        <is>
          <t>JÖNKÖPING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65529-2020</t>
        </is>
      </c>
      <c r="B327" s="1" t="n">
        <v>44173</v>
      </c>
      <c r="C327" s="1" t="n">
        <v>45697</v>
      </c>
      <c r="D327" t="inlineStr">
        <is>
          <t>JÖNKÖPINGS LÄN</t>
        </is>
      </c>
      <c r="E327" t="inlineStr">
        <is>
          <t>JÖNKÖPING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66056-2020</t>
        </is>
      </c>
      <c r="B328" s="1" t="n">
        <v>44175</v>
      </c>
      <c r="C328" s="1" t="n">
        <v>45697</v>
      </c>
      <c r="D328" t="inlineStr">
        <is>
          <t>JÖNKÖPINGS LÄN</t>
        </is>
      </c>
      <c r="E328" t="inlineStr">
        <is>
          <t>JÖNKÖPING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67695-2020</t>
        </is>
      </c>
      <c r="B329" s="1" t="n">
        <v>44181</v>
      </c>
      <c r="C329" s="1" t="n">
        <v>45697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68245-2020</t>
        </is>
      </c>
      <c r="B330" s="1" t="n">
        <v>44183</v>
      </c>
      <c r="C330" s="1" t="n">
        <v>45697</v>
      </c>
      <c r="D330" t="inlineStr">
        <is>
          <t>JÖNKÖPINGS LÄN</t>
        </is>
      </c>
      <c r="E330" t="inlineStr">
        <is>
          <t>JÖNKÖPING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68750-2020</t>
        </is>
      </c>
      <c r="B331" s="1" t="n">
        <v>44187</v>
      </c>
      <c r="C331" s="1" t="n">
        <v>45697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68980-2020</t>
        </is>
      </c>
      <c r="B332" s="1" t="n">
        <v>44188</v>
      </c>
      <c r="C332" s="1" t="n">
        <v>45697</v>
      </c>
      <c r="D332" t="inlineStr">
        <is>
          <t>JÖNKÖPINGS LÄN</t>
        </is>
      </c>
      <c r="E332" t="inlineStr">
        <is>
          <t>JÖNKÖPING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69566-2020</t>
        </is>
      </c>
      <c r="B333" s="1" t="n">
        <v>44194</v>
      </c>
      <c r="C333" s="1" t="n">
        <v>45697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106-2021</t>
        </is>
      </c>
      <c r="B334" s="1" t="n">
        <v>44200</v>
      </c>
      <c r="C334" s="1" t="n">
        <v>45697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2052-2021</t>
        </is>
      </c>
      <c r="B335" s="1" t="n">
        <v>44211</v>
      </c>
      <c r="C335" s="1" t="n">
        <v>45697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4688-2021</t>
        </is>
      </c>
      <c r="B336" s="1" t="n">
        <v>44225</v>
      </c>
      <c r="C336" s="1" t="n">
        <v>45697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4683-2021</t>
        </is>
      </c>
      <c r="B337" s="1" t="n">
        <v>44225</v>
      </c>
      <c r="C337" s="1" t="n">
        <v>45697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4733-2021</t>
        </is>
      </c>
      <c r="B338" s="1" t="n">
        <v>44225</v>
      </c>
      <c r="C338" s="1" t="n">
        <v>45697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5327-2021</t>
        </is>
      </c>
      <c r="B339" s="1" t="n">
        <v>44229</v>
      </c>
      <c r="C339" s="1" t="n">
        <v>45697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5817-2021</t>
        </is>
      </c>
      <c r="B340" s="1" t="n">
        <v>44231</v>
      </c>
      <c r="C340" s="1" t="n">
        <v>45697</v>
      </c>
      <c r="D340" t="inlineStr">
        <is>
          <t>JÖNKÖPINGS LÄN</t>
        </is>
      </c>
      <c r="E340" t="inlineStr">
        <is>
          <t>JÖNKÖPING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7341-2021</t>
        </is>
      </c>
      <c r="B341" s="1" t="n">
        <v>44239</v>
      </c>
      <c r="C341" s="1" t="n">
        <v>45697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7452-2021</t>
        </is>
      </c>
      <c r="B342" s="1" t="n">
        <v>44239</v>
      </c>
      <c r="C342" s="1" t="n">
        <v>45697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7338-2021</t>
        </is>
      </c>
      <c r="B343" s="1" t="n">
        <v>44239</v>
      </c>
      <c r="C343" s="1" t="n">
        <v>45697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</v>
      </c>
      <c r="C344" s="1" t="n">
        <v>45697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9110-2021</t>
        </is>
      </c>
      <c r="B345" s="1" t="n">
        <v>44249</v>
      </c>
      <c r="C345" s="1" t="n">
        <v>45697</v>
      </c>
      <c r="D345" t="inlineStr">
        <is>
          <t>JÖNKÖPINGS LÄN</t>
        </is>
      </c>
      <c r="E345" t="inlineStr">
        <is>
          <t>JÖNKÖPING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9163-2021</t>
        </is>
      </c>
      <c r="B346" s="1" t="n">
        <v>44249</v>
      </c>
      <c r="C346" s="1" t="n">
        <v>45697</v>
      </c>
      <c r="D346" t="inlineStr">
        <is>
          <t>JÖNKÖPINGS LÄN</t>
        </is>
      </c>
      <c r="E346" t="inlineStr">
        <is>
          <t>JÖNKÖPING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9197-2021</t>
        </is>
      </c>
      <c r="B347" s="1" t="n">
        <v>44249</v>
      </c>
      <c r="C347" s="1" t="n">
        <v>45697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Övriga statliga verk och myndigheter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9817-2021</t>
        </is>
      </c>
      <c r="B348" s="1" t="n">
        <v>44252</v>
      </c>
      <c r="C348" s="1" t="n">
        <v>45697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9820-2021</t>
        </is>
      </c>
      <c r="B349" s="1" t="n">
        <v>44252</v>
      </c>
      <c r="C349" s="1" t="n">
        <v>45697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10869-2021</t>
        </is>
      </c>
      <c r="B350" s="1" t="n">
        <v>44259</v>
      </c>
      <c r="C350" s="1" t="n">
        <v>45697</v>
      </c>
      <c r="D350" t="inlineStr">
        <is>
          <t>JÖNKÖPINGS LÄN</t>
        </is>
      </c>
      <c r="E350" t="inlineStr">
        <is>
          <t>JÖNKÖPING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10874-2021</t>
        </is>
      </c>
      <c r="B351" s="1" t="n">
        <v>44259</v>
      </c>
      <c r="C351" s="1" t="n">
        <v>45697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11094-2021</t>
        </is>
      </c>
      <c r="B352" s="1" t="n">
        <v>44260</v>
      </c>
      <c r="C352" s="1" t="n">
        <v>45697</v>
      </c>
      <c r="D352" t="inlineStr">
        <is>
          <t>JÖNKÖPINGS LÄN</t>
        </is>
      </c>
      <c r="E352" t="inlineStr">
        <is>
          <t>JÖNKÖPING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11142-2021</t>
        </is>
      </c>
      <c r="B353" s="1" t="n">
        <v>44261</v>
      </c>
      <c r="C353" s="1" t="n">
        <v>45697</v>
      </c>
      <c r="D353" t="inlineStr">
        <is>
          <t>JÖNKÖPINGS LÄN</t>
        </is>
      </c>
      <c r="E353" t="inlineStr">
        <is>
          <t>JÖNKÖPING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11398-2021</t>
        </is>
      </c>
      <c r="B354" s="1" t="n">
        <v>44263</v>
      </c>
      <c r="C354" s="1" t="n">
        <v>45697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11414-2021</t>
        </is>
      </c>
      <c r="B355" s="1" t="n">
        <v>44263</v>
      </c>
      <c r="C355" s="1" t="n">
        <v>45697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12167-2021</t>
        </is>
      </c>
      <c r="B356" s="1" t="n">
        <v>44266</v>
      </c>
      <c r="C356" s="1" t="n">
        <v>45697</v>
      </c>
      <c r="D356" t="inlineStr">
        <is>
          <t>JÖNKÖPINGS LÄN</t>
        </is>
      </c>
      <c r="E356" t="inlineStr">
        <is>
          <t>JÖNKÖPING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12663-2021</t>
        </is>
      </c>
      <c r="B357" s="1" t="n">
        <v>44270</v>
      </c>
      <c r="C357" s="1" t="n">
        <v>45697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13235-2021</t>
        </is>
      </c>
      <c r="B358" s="1" t="n">
        <v>44272</v>
      </c>
      <c r="C358" s="1" t="n">
        <v>45697</v>
      </c>
      <c r="D358" t="inlineStr">
        <is>
          <t>JÖNKÖPINGS LÄN</t>
        </is>
      </c>
      <c r="E358" t="inlineStr">
        <is>
          <t>JÖNKÖPING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13212-2021</t>
        </is>
      </c>
      <c r="B359" s="1" t="n">
        <v>44272</v>
      </c>
      <c r="C359" s="1" t="n">
        <v>45697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13217-2021</t>
        </is>
      </c>
      <c r="B360" s="1" t="n">
        <v>44272</v>
      </c>
      <c r="C360" s="1" t="n">
        <v>45697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13228-2021</t>
        </is>
      </c>
      <c r="B361" s="1" t="n">
        <v>44272</v>
      </c>
      <c r="C361" s="1" t="n">
        <v>45697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13341-2021</t>
        </is>
      </c>
      <c r="B362" s="1" t="n">
        <v>44273</v>
      </c>
      <c r="C362" s="1" t="n">
        <v>45697</v>
      </c>
      <c r="D362" t="inlineStr">
        <is>
          <t>JÖNKÖPINGS LÄN</t>
        </is>
      </c>
      <c r="E362" t="inlineStr">
        <is>
          <t>JÖNKÖPING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13342-2021</t>
        </is>
      </c>
      <c r="B363" s="1" t="n">
        <v>44273</v>
      </c>
      <c r="C363" s="1" t="n">
        <v>45697</v>
      </c>
      <c r="D363" t="inlineStr">
        <is>
          <t>JÖNKÖPINGS LÄN</t>
        </is>
      </c>
      <c r="E363" t="inlineStr">
        <is>
          <t>JÖNKÖPING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13412-2021</t>
        </is>
      </c>
      <c r="B364" s="1" t="n">
        <v>44273</v>
      </c>
      <c r="C364" s="1" t="n">
        <v>45697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13478-2021</t>
        </is>
      </c>
      <c r="B365" s="1" t="n">
        <v>44273</v>
      </c>
      <c r="C365" s="1" t="n">
        <v>45697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14030-2021</t>
        </is>
      </c>
      <c r="B366" s="1" t="n">
        <v>44277</v>
      </c>
      <c r="C366" s="1" t="n">
        <v>45697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14141-2021</t>
        </is>
      </c>
      <c r="B367" s="1" t="n">
        <v>44278</v>
      </c>
      <c r="C367" s="1" t="n">
        <v>45697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14143-2021</t>
        </is>
      </c>
      <c r="B368" s="1" t="n">
        <v>44278</v>
      </c>
      <c r="C368" s="1" t="n">
        <v>45697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14373-2021</t>
        </is>
      </c>
      <c r="B369" s="1" t="n">
        <v>44279</v>
      </c>
      <c r="C369" s="1" t="n">
        <v>45697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14497-2021</t>
        </is>
      </c>
      <c r="B370" s="1" t="n">
        <v>44279</v>
      </c>
      <c r="C370" s="1" t="n">
        <v>45697</v>
      </c>
      <c r="D370" t="inlineStr">
        <is>
          <t>JÖNKÖPINGS LÄN</t>
        </is>
      </c>
      <c r="E370" t="inlineStr">
        <is>
          <t>JÖNKÖPING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14818-2021</t>
        </is>
      </c>
      <c r="B371" s="1" t="n">
        <v>44280</v>
      </c>
      <c r="C371" s="1" t="n">
        <v>45697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14620-2021</t>
        </is>
      </c>
      <c r="B372" s="1" t="n">
        <v>44280</v>
      </c>
      <c r="C372" s="1" t="n">
        <v>45697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15169-2021</t>
        </is>
      </c>
      <c r="B373" s="1" t="n">
        <v>44284</v>
      </c>
      <c r="C373" s="1" t="n">
        <v>45697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15670-2021</t>
        </is>
      </c>
      <c r="B374" s="1" t="n">
        <v>44286</v>
      </c>
      <c r="C374" s="1" t="n">
        <v>45697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16041-2021</t>
        </is>
      </c>
      <c r="B375" s="1" t="n">
        <v>44287</v>
      </c>
      <c r="C375" s="1" t="n">
        <v>45697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16130-2021</t>
        </is>
      </c>
      <c r="B376" s="1" t="n">
        <v>44292</v>
      </c>
      <c r="C376" s="1" t="n">
        <v>45697</v>
      </c>
      <c r="D376" t="inlineStr">
        <is>
          <t>JÖNKÖPINGS LÄN</t>
        </is>
      </c>
      <c r="E376" t="inlineStr">
        <is>
          <t>JÖNKÖPING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16131-2021</t>
        </is>
      </c>
      <c r="B377" s="1" t="n">
        <v>44292</v>
      </c>
      <c r="C377" s="1" t="n">
        <v>45697</v>
      </c>
      <c r="D377" t="inlineStr">
        <is>
          <t>JÖNKÖPINGS LÄN</t>
        </is>
      </c>
      <c r="E377" t="inlineStr">
        <is>
          <t>JÖNKÖPING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16701-2021</t>
        </is>
      </c>
      <c r="B378" s="1" t="n">
        <v>44294</v>
      </c>
      <c r="C378" s="1" t="n">
        <v>45697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16791-2021</t>
        </is>
      </c>
      <c r="B379" s="1" t="n">
        <v>44295</v>
      </c>
      <c r="C379" s="1" t="n">
        <v>45697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17177-2021</t>
        </is>
      </c>
      <c r="B380" s="1" t="n">
        <v>44298</v>
      </c>
      <c r="C380" s="1" t="n">
        <v>45697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17147-2021</t>
        </is>
      </c>
      <c r="B381" s="1" t="n">
        <v>44298</v>
      </c>
      <c r="C381" s="1" t="n">
        <v>45697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17175-2021</t>
        </is>
      </c>
      <c r="B382" s="1" t="n">
        <v>44298</v>
      </c>
      <c r="C382" s="1" t="n">
        <v>45697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17964-2021</t>
        </is>
      </c>
      <c r="B383" s="1" t="n">
        <v>44301</v>
      </c>
      <c r="C383" s="1" t="n">
        <v>45697</v>
      </c>
      <c r="D383" t="inlineStr">
        <is>
          <t>JÖNKÖPINGS LÄN</t>
        </is>
      </c>
      <c r="E383" t="inlineStr">
        <is>
          <t>JÖNKÖPING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18651-2021</t>
        </is>
      </c>
      <c r="B384" s="1" t="n">
        <v>44306</v>
      </c>
      <c r="C384" s="1" t="n">
        <v>45697</v>
      </c>
      <c r="D384" t="inlineStr">
        <is>
          <t>JÖNKÖPINGS LÄN</t>
        </is>
      </c>
      <c r="E384" t="inlineStr">
        <is>
          <t>JÖNKÖPING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19039-2021</t>
        </is>
      </c>
      <c r="B385" s="1" t="n">
        <v>44308</v>
      </c>
      <c r="C385" s="1" t="n">
        <v>45697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19040-2021</t>
        </is>
      </c>
      <c r="B386" s="1" t="n">
        <v>44308</v>
      </c>
      <c r="C386" s="1" t="n">
        <v>45697</v>
      </c>
      <c r="D386" t="inlineStr">
        <is>
          <t>JÖNKÖPINGS LÄN</t>
        </is>
      </c>
      <c r="E386" t="inlineStr">
        <is>
          <t>JÖNKÖPING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19126-2021</t>
        </is>
      </c>
      <c r="B387" s="1" t="n">
        <v>44308</v>
      </c>
      <c r="C387" s="1" t="n">
        <v>45697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19163-2021</t>
        </is>
      </c>
      <c r="B388" s="1" t="n">
        <v>44308</v>
      </c>
      <c r="C388" s="1" t="n">
        <v>45697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19121-2021</t>
        </is>
      </c>
      <c r="B389" s="1" t="n">
        <v>44308</v>
      </c>
      <c r="C389" s="1" t="n">
        <v>45697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19165-2021</t>
        </is>
      </c>
      <c r="B390" s="1" t="n">
        <v>44308</v>
      </c>
      <c r="C390" s="1" t="n">
        <v>45697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21412-2021</t>
        </is>
      </c>
      <c r="B391" s="1" t="n">
        <v>44321</v>
      </c>
      <c r="C391" s="1" t="n">
        <v>45697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21383-2021</t>
        </is>
      </c>
      <c r="B392" s="1" t="n">
        <v>44321</v>
      </c>
      <c r="C392" s="1" t="n">
        <v>45697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21385-2021</t>
        </is>
      </c>
      <c r="B393" s="1" t="n">
        <v>44321</v>
      </c>
      <c r="C393" s="1" t="n">
        <v>45697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21396-2021</t>
        </is>
      </c>
      <c r="B394" s="1" t="n">
        <v>44321</v>
      </c>
      <c r="C394" s="1" t="n">
        <v>45697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22168-2021</t>
        </is>
      </c>
      <c r="B395" s="1" t="n">
        <v>44325</v>
      </c>
      <c r="C395" s="1" t="n">
        <v>45697</v>
      </c>
      <c r="D395" t="inlineStr">
        <is>
          <t>JÖNKÖPINGS LÄN</t>
        </is>
      </c>
      <c r="E395" t="inlineStr">
        <is>
          <t>JÖNKÖPING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22603-2021</t>
        </is>
      </c>
      <c r="B396" s="1" t="n">
        <v>44326</v>
      </c>
      <c r="C396" s="1" t="n">
        <v>45697</v>
      </c>
      <c r="D396" t="inlineStr">
        <is>
          <t>JÖNKÖPINGS LÄN</t>
        </is>
      </c>
      <c r="E396" t="inlineStr">
        <is>
          <t>JÖNKÖPING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22818-2021</t>
        </is>
      </c>
      <c r="B397" s="1" t="n">
        <v>44328</v>
      </c>
      <c r="C397" s="1" t="n">
        <v>45697</v>
      </c>
      <c r="D397" t="inlineStr">
        <is>
          <t>JÖNKÖPINGS LÄN</t>
        </is>
      </c>
      <c r="E397" t="inlineStr">
        <is>
          <t>JÖNKÖPING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25255-2021</t>
        </is>
      </c>
      <c r="B398" s="1" t="n">
        <v>44342</v>
      </c>
      <c r="C398" s="1" t="n">
        <v>45697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25864-2021</t>
        </is>
      </c>
      <c r="B399" s="1" t="n">
        <v>44344</v>
      </c>
      <c r="C399" s="1" t="n">
        <v>45697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26073-2021</t>
        </is>
      </c>
      <c r="B400" s="1" t="n">
        <v>44344</v>
      </c>
      <c r="C400" s="1" t="n">
        <v>45697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26335-2021</t>
        </is>
      </c>
      <c r="B401" s="1" t="n">
        <v>44347</v>
      </c>
      <c r="C401" s="1" t="n">
        <v>45697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26342-2021</t>
        </is>
      </c>
      <c r="B402" s="1" t="n">
        <v>44347</v>
      </c>
      <c r="C402" s="1" t="n">
        <v>45697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26228-2021</t>
        </is>
      </c>
      <c r="B403" s="1" t="n">
        <v>44347</v>
      </c>
      <c r="C403" s="1" t="n">
        <v>45697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26494-2021</t>
        </is>
      </c>
      <c r="B404" s="1" t="n">
        <v>44348</v>
      </c>
      <c r="C404" s="1" t="n">
        <v>45697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26753-2021</t>
        </is>
      </c>
      <c r="B405" s="1" t="n">
        <v>44349</v>
      </c>
      <c r="C405" s="1" t="n">
        <v>45697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28171-2021</t>
        </is>
      </c>
      <c r="B406" s="1" t="n">
        <v>44355</v>
      </c>
      <c r="C406" s="1" t="n">
        <v>45697</v>
      </c>
      <c r="D406" t="inlineStr">
        <is>
          <t>JÖNKÖPINGS LÄN</t>
        </is>
      </c>
      <c r="E406" t="inlineStr">
        <is>
          <t>JÖNKÖPING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28570-2021</t>
        </is>
      </c>
      <c r="B407" s="1" t="n">
        <v>44356</v>
      </c>
      <c r="C407" s="1" t="n">
        <v>45697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29224-2021</t>
        </is>
      </c>
      <c r="B408" s="1" t="n">
        <v>44360</v>
      </c>
      <c r="C408" s="1" t="n">
        <v>45697</v>
      </c>
      <c r="D408" t="inlineStr">
        <is>
          <t>JÖNKÖPINGS LÄN</t>
        </is>
      </c>
      <c r="E408" t="inlineStr">
        <is>
          <t>JÖNKÖPING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29223-2021</t>
        </is>
      </c>
      <c r="B409" s="1" t="n">
        <v>44360</v>
      </c>
      <c r="C409" s="1" t="n">
        <v>45697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29336-2021</t>
        </is>
      </c>
      <c r="B410" s="1" t="n">
        <v>44361</v>
      </c>
      <c r="C410" s="1" t="n">
        <v>45697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30922-2021</t>
        </is>
      </c>
      <c r="B411" s="1" t="n">
        <v>44365</v>
      </c>
      <c r="C411" s="1" t="n">
        <v>45697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31213-2021</t>
        </is>
      </c>
      <c r="B412" s="1" t="n">
        <v>44368</v>
      </c>
      <c r="C412" s="1" t="n">
        <v>45697</v>
      </c>
      <c r="D412" t="inlineStr">
        <is>
          <t>JÖNKÖPINGS LÄN</t>
        </is>
      </c>
      <c r="E412" t="inlineStr">
        <is>
          <t>JÖNKÖPING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32116-2021</t>
        </is>
      </c>
      <c r="B413" s="1" t="n">
        <v>44371</v>
      </c>
      <c r="C413" s="1" t="n">
        <v>45697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32151-2021</t>
        </is>
      </c>
      <c r="B414" s="1" t="n">
        <v>44371</v>
      </c>
      <c r="C414" s="1" t="n">
        <v>45697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32113-2021</t>
        </is>
      </c>
      <c r="B415" s="1" t="n">
        <v>44371</v>
      </c>
      <c r="C415" s="1" t="n">
        <v>45697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32508-2021</t>
        </is>
      </c>
      <c r="B416" s="1" t="n">
        <v>44373</v>
      </c>
      <c r="C416" s="1" t="n">
        <v>45697</v>
      </c>
      <c r="D416" t="inlineStr">
        <is>
          <t>JÖNKÖPINGS LÄN</t>
        </is>
      </c>
      <c r="E416" t="inlineStr">
        <is>
          <t>JÖNKÖPING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32509-2021</t>
        </is>
      </c>
      <c r="B417" s="1" t="n">
        <v>44373</v>
      </c>
      <c r="C417" s="1" t="n">
        <v>45697</v>
      </c>
      <c r="D417" t="inlineStr">
        <is>
          <t>JÖNKÖPINGS LÄN</t>
        </is>
      </c>
      <c r="E417" t="inlineStr">
        <is>
          <t>JÖNKÖPING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32649-2021</t>
        </is>
      </c>
      <c r="B418" s="1" t="n">
        <v>44375</v>
      </c>
      <c r="C418" s="1" t="n">
        <v>45697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33124-2021</t>
        </is>
      </c>
      <c r="B419" s="1" t="n">
        <v>44376</v>
      </c>
      <c r="C419" s="1" t="n">
        <v>45697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33507-2021</t>
        </is>
      </c>
      <c r="B420" s="1" t="n">
        <v>44377</v>
      </c>
      <c r="C420" s="1" t="n">
        <v>45697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34491-2021</t>
        </is>
      </c>
      <c r="B421" s="1" t="n">
        <v>44382</v>
      </c>
      <c r="C421" s="1" t="n">
        <v>45697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34554-2021</t>
        </is>
      </c>
      <c r="B422" s="1" t="n">
        <v>44382</v>
      </c>
      <c r="C422" s="1" t="n">
        <v>45697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38082-2021</t>
        </is>
      </c>
      <c r="B423" s="1" t="n">
        <v>44404</v>
      </c>
      <c r="C423" s="1" t="n">
        <v>45697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38083-2021</t>
        </is>
      </c>
      <c r="B424" s="1" t="n">
        <v>44404</v>
      </c>
      <c r="C424" s="1" t="n">
        <v>45697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38081-2021</t>
        </is>
      </c>
      <c r="B425" s="1" t="n">
        <v>44404</v>
      </c>
      <c r="C425" s="1" t="n">
        <v>45697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38854-2021</t>
        </is>
      </c>
      <c r="B426" s="1" t="n">
        <v>44411</v>
      </c>
      <c r="C426" s="1" t="n">
        <v>45697</v>
      </c>
      <c r="D426" t="inlineStr">
        <is>
          <t>JÖNKÖPINGS LÄN</t>
        </is>
      </c>
      <c r="E426" t="inlineStr">
        <is>
          <t>JÖNKÖPING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38865-2021</t>
        </is>
      </c>
      <c r="B427" s="1" t="n">
        <v>44411</v>
      </c>
      <c r="C427" s="1" t="n">
        <v>45697</v>
      </c>
      <c r="D427" t="inlineStr">
        <is>
          <t>JÖNKÖPINGS LÄN</t>
        </is>
      </c>
      <c r="E427" t="inlineStr">
        <is>
          <t>JÖNKÖPING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39148-2021</t>
        </is>
      </c>
      <c r="B428" s="1" t="n">
        <v>44412</v>
      </c>
      <c r="C428" s="1" t="n">
        <v>45697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39155-2021</t>
        </is>
      </c>
      <c r="B429" s="1" t="n">
        <v>44412</v>
      </c>
      <c r="C429" s="1" t="n">
        <v>45697</v>
      </c>
      <c r="D429" t="inlineStr">
        <is>
          <t>JÖNKÖPINGS LÄN</t>
        </is>
      </c>
      <c r="E429" t="inlineStr">
        <is>
          <t>JÖNKÖPING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39443-2021</t>
        </is>
      </c>
      <c r="B430" s="1" t="n">
        <v>44414</v>
      </c>
      <c r="C430" s="1" t="n">
        <v>45697</v>
      </c>
      <c r="D430" t="inlineStr">
        <is>
          <t>JÖNKÖPINGS LÄN</t>
        </is>
      </c>
      <c r="E430" t="inlineStr">
        <is>
          <t>JÖNKÖPING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40745-2021</t>
        </is>
      </c>
      <c r="B431" s="1" t="n">
        <v>44420</v>
      </c>
      <c r="C431" s="1" t="n">
        <v>45697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41143-2021</t>
        </is>
      </c>
      <c r="B432" s="1" t="n">
        <v>44423</v>
      </c>
      <c r="C432" s="1" t="n">
        <v>45697</v>
      </c>
      <c r="D432" t="inlineStr">
        <is>
          <t>JÖNKÖPINGS LÄN</t>
        </is>
      </c>
      <c r="E432" t="inlineStr">
        <is>
          <t>JÖNKÖPING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42578-2021</t>
        </is>
      </c>
      <c r="B433" s="1" t="n">
        <v>44428</v>
      </c>
      <c r="C433" s="1" t="n">
        <v>45697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42710-2021</t>
        </is>
      </c>
      <c r="B434" s="1" t="n">
        <v>44428</v>
      </c>
      <c r="C434" s="1" t="n">
        <v>45697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42715-2021</t>
        </is>
      </c>
      <c r="B435" s="1" t="n">
        <v>44428</v>
      </c>
      <c r="C435" s="1" t="n">
        <v>45697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42729-2021</t>
        </is>
      </c>
      <c r="B436" s="1" t="n">
        <v>44428</v>
      </c>
      <c r="C436" s="1" t="n">
        <v>45697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42736-2021</t>
        </is>
      </c>
      <c r="B437" s="1" t="n">
        <v>44428</v>
      </c>
      <c r="C437" s="1" t="n">
        <v>45697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42724-2021</t>
        </is>
      </c>
      <c r="B438" s="1" t="n">
        <v>44428</v>
      </c>
      <c r="C438" s="1" t="n">
        <v>45697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43466-2021</t>
        </is>
      </c>
      <c r="B439" s="1" t="n">
        <v>44432</v>
      </c>
      <c r="C439" s="1" t="n">
        <v>45697</v>
      </c>
      <c r="D439" t="inlineStr">
        <is>
          <t>JÖNKÖPINGS LÄN</t>
        </is>
      </c>
      <c r="E439" t="inlineStr">
        <is>
          <t>JÖNKÖPING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43538-2021</t>
        </is>
      </c>
      <c r="B440" s="1" t="n">
        <v>44433</v>
      </c>
      <c r="C440" s="1" t="n">
        <v>45697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45592-2021</t>
        </is>
      </c>
      <c r="B441" s="1" t="n">
        <v>44440</v>
      </c>
      <c r="C441" s="1" t="n">
        <v>45697</v>
      </c>
      <c r="D441" t="inlineStr">
        <is>
          <t>JÖNKÖPINGS LÄN</t>
        </is>
      </c>
      <c r="E441" t="inlineStr">
        <is>
          <t>JÖNKÖPING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46430-2021</t>
        </is>
      </c>
      <c r="B442" s="1" t="n">
        <v>44442</v>
      </c>
      <c r="C442" s="1" t="n">
        <v>45697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46715-2021</t>
        </is>
      </c>
      <c r="B443" s="1" t="n">
        <v>44445</v>
      </c>
      <c r="C443" s="1" t="n">
        <v>45697</v>
      </c>
      <c r="D443" t="inlineStr">
        <is>
          <t>JÖNKÖPINGS LÄN</t>
        </is>
      </c>
      <c r="E443" t="inlineStr">
        <is>
          <t>JÖNKÖPING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48038-2021</t>
        </is>
      </c>
      <c r="B444" s="1" t="n">
        <v>44449</v>
      </c>
      <c r="C444" s="1" t="n">
        <v>45697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48064-2021</t>
        </is>
      </c>
      <c r="B445" s="1" t="n">
        <v>44449</v>
      </c>
      <c r="C445" s="1" t="n">
        <v>45697</v>
      </c>
      <c r="D445" t="inlineStr">
        <is>
          <t>JÖNKÖPINGS LÄN</t>
        </is>
      </c>
      <c r="E445" t="inlineStr">
        <is>
          <t>JÖNKÖPING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49215-2021</t>
        </is>
      </c>
      <c r="B446" s="1" t="n">
        <v>44454</v>
      </c>
      <c r="C446" s="1" t="n">
        <v>45697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49292-2021</t>
        </is>
      </c>
      <c r="B447" s="1" t="n">
        <v>44454</v>
      </c>
      <c r="C447" s="1" t="n">
        <v>45697</v>
      </c>
      <c r="D447" t="inlineStr">
        <is>
          <t>JÖNKÖPINGS LÄN</t>
        </is>
      </c>
      <c r="E447" t="inlineStr">
        <is>
          <t>JÖNKÖPING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49436-2021</t>
        </is>
      </c>
      <c r="B448" s="1" t="n">
        <v>44454</v>
      </c>
      <c r="C448" s="1" t="n">
        <v>45697</v>
      </c>
      <c r="D448" t="inlineStr">
        <is>
          <t>JÖNKÖPINGS LÄN</t>
        </is>
      </c>
      <c r="E448" t="inlineStr">
        <is>
          <t>JÖNKÖPING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49551-2021</t>
        </is>
      </c>
      <c r="B449" s="1" t="n">
        <v>44455</v>
      </c>
      <c r="C449" s="1" t="n">
        <v>45697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50003-2021</t>
        </is>
      </c>
      <c r="B450" s="1" t="n">
        <v>44456</v>
      </c>
      <c r="C450" s="1" t="n">
        <v>45697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51058-2021</t>
        </is>
      </c>
      <c r="B451" s="1" t="n">
        <v>44459</v>
      </c>
      <c r="C451" s="1" t="n">
        <v>45697</v>
      </c>
      <c r="D451" t="inlineStr">
        <is>
          <t>JÖNKÖPINGS LÄN</t>
        </is>
      </c>
      <c r="E451" t="inlineStr">
        <is>
          <t>JÖNKÖPING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51320-2021</t>
        </is>
      </c>
      <c r="B452" s="1" t="n">
        <v>44461</v>
      </c>
      <c r="C452" s="1" t="n">
        <v>45697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52030-2021</t>
        </is>
      </c>
      <c r="B453" s="1" t="n">
        <v>44463</v>
      </c>
      <c r="C453" s="1" t="n">
        <v>45697</v>
      </c>
      <c r="D453" t="inlineStr">
        <is>
          <t>JÖNKÖPINGS LÄN</t>
        </is>
      </c>
      <c r="E453" t="inlineStr">
        <is>
          <t>JÖNKÖPING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52342-2021</t>
        </is>
      </c>
      <c r="B454" s="1" t="n">
        <v>44464</v>
      </c>
      <c r="C454" s="1" t="n">
        <v>45697</v>
      </c>
      <c r="D454" t="inlineStr">
        <is>
          <t>JÖNKÖPINGS LÄN</t>
        </is>
      </c>
      <c r="E454" t="inlineStr">
        <is>
          <t>JÖNKÖPING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52340-2021</t>
        </is>
      </c>
      <c r="B455" s="1" t="n">
        <v>44464</v>
      </c>
      <c r="C455" s="1" t="n">
        <v>45697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52507-2021</t>
        </is>
      </c>
      <c r="B456" s="1" t="n">
        <v>44466</v>
      </c>
      <c r="C456" s="1" t="n">
        <v>45697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53027-2021</t>
        </is>
      </c>
      <c r="B457" s="1" t="n">
        <v>44467</v>
      </c>
      <c r="C457" s="1" t="n">
        <v>45697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53256-2021</t>
        </is>
      </c>
      <c r="B458" s="1" t="n">
        <v>44468</v>
      </c>
      <c r="C458" s="1" t="n">
        <v>45697</v>
      </c>
      <c r="D458" t="inlineStr">
        <is>
          <t>JÖNKÖPINGS LÄN</t>
        </is>
      </c>
      <c r="E458" t="inlineStr">
        <is>
          <t>JÖNKÖPING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53425-2021</t>
        </is>
      </c>
      <c r="B459" s="1" t="n">
        <v>44468</v>
      </c>
      <c r="C459" s="1" t="n">
        <v>45697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53683-2021</t>
        </is>
      </c>
      <c r="B460" s="1" t="n">
        <v>44469</v>
      </c>
      <c r="C460" s="1" t="n">
        <v>45697</v>
      </c>
      <c r="D460" t="inlineStr">
        <is>
          <t>JÖNKÖPINGS LÄN</t>
        </is>
      </c>
      <c r="E460" t="inlineStr">
        <is>
          <t>JÖNKÖPING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53685-2021</t>
        </is>
      </c>
      <c r="B461" s="1" t="n">
        <v>44469</v>
      </c>
      <c r="C461" s="1" t="n">
        <v>45697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53681-2021</t>
        </is>
      </c>
      <c r="B462" s="1" t="n">
        <v>44469</v>
      </c>
      <c r="C462" s="1" t="n">
        <v>45697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54824-2021</t>
        </is>
      </c>
      <c r="B463" s="1" t="n">
        <v>44474</v>
      </c>
      <c r="C463" s="1" t="n">
        <v>45697</v>
      </c>
      <c r="D463" t="inlineStr">
        <is>
          <t>JÖNKÖPINGS LÄN</t>
        </is>
      </c>
      <c r="E463" t="inlineStr">
        <is>
          <t>JÖNKÖPING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54822-2021</t>
        </is>
      </c>
      <c r="B464" s="1" t="n">
        <v>44474</v>
      </c>
      <c r="C464" s="1" t="n">
        <v>45697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55825-2021</t>
        </is>
      </c>
      <c r="B465" s="1" t="n">
        <v>44476</v>
      </c>
      <c r="C465" s="1" t="n">
        <v>45697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55968-2021</t>
        </is>
      </c>
      <c r="B466" s="1" t="n">
        <v>44476</v>
      </c>
      <c r="C466" s="1" t="n">
        <v>45697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57095-2021</t>
        </is>
      </c>
      <c r="B467" s="1" t="n">
        <v>44482</v>
      </c>
      <c r="C467" s="1" t="n">
        <v>45697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57413-2021</t>
        </is>
      </c>
      <c r="B468" s="1" t="n">
        <v>44483</v>
      </c>
      <c r="C468" s="1" t="n">
        <v>45697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57426-2021</t>
        </is>
      </c>
      <c r="B469" s="1" t="n">
        <v>44483</v>
      </c>
      <c r="C469" s="1" t="n">
        <v>45697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57719-2021</t>
        </is>
      </c>
      <c r="B470" s="1" t="n">
        <v>44484</v>
      </c>
      <c r="C470" s="1" t="n">
        <v>45697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57715-2021</t>
        </is>
      </c>
      <c r="B471" s="1" t="n">
        <v>44484</v>
      </c>
      <c r="C471" s="1" t="n">
        <v>45697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58079-2021</t>
        </is>
      </c>
      <c r="B472" s="1" t="n">
        <v>44487</v>
      </c>
      <c r="C472" s="1" t="n">
        <v>45697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57933-2021</t>
        </is>
      </c>
      <c r="B473" s="1" t="n">
        <v>44487</v>
      </c>
      <c r="C473" s="1" t="n">
        <v>45697</v>
      </c>
      <c r="D473" t="inlineStr">
        <is>
          <t>JÖNKÖPINGS LÄN</t>
        </is>
      </c>
      <c r="E473" t="inlineStr">
        <is>
          <t>JÖNKÖPING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57934-2021</t>
        </is>
      </c>
      <c r="B474" s="1" t="n">
        <v>44487</v>
      </c>
      <c r="C474" s="1" t="n">
        <v>45697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58006-2021</t>
        </is>
      </c>
      <c r="B475" s="1" t="n">
        <v>44487</v>
      </c>
      <c r="C475" s="1" t="n">
        <v>45697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58076-2021</t>
        </is>
      </c>
      <c r="B476" s="1" t="n">
        <v>44487</v>
      </c>
      <c r="C476" s="1" t="n">
        <v>45697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57930-2021</t>
        </is>
      </c>
      <c r="B477" s="1" t="n">
        <v>44487</v>
      </c>
      <c r="C477" s="1" t="n">
        <v>45697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58008-2021</t>
        </is>
      </c>
      <c r="B478" s="1" t="n">
        <v>44487</v>
      </c>
      <c r="C478" s="1" t="n">
        <v>45697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58072-2021</t>
        </is>
      </c>
      <c r="B479" s="1" t="n">
        <v>44487</v>
      </c>
      <c r="C479" s="1" t="n">
        <v>45697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58559-2021</t>
        </is>
      </c>
      <c r="B480" s="1" t="n">
        <v>44488</v>
      </c>
      <c r="C480" s="1" t="n">
        <v>45697</v>
      </c>
      <c r="D480" t="inlineStr">
        <is>
          <t>JÖNKÖPINGS LÄN</t>
        </is>
      </c>
      <c r="E480" t="inlineStr">
        <is>
          <t>JÖNKÖPING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58645-2021</t>
        </is>
      </c>
      <c r="B481" s="1" t="n">
        <v>44488</v>
      </c>
      <c r="C481" s="1" t="n">
        <v>45697</v>
      </c>
      <c r="D481" t="inlineStr">
        <is>
          <t>JÖNKÖPINGS LÄN</t>
        </is>
      </c>
      <c r="E481" t="inlineStr">
        <is>
          <t>JÖNKÖPING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58683-2021</t>
        </is>
      </c>
      <c r="B482" s="1" t="n">
        <v>44489</v>
      </c>
      <c r="C482" s="1" t="n">
        <v>45697</v>
      </c>
      <c r="D482" t="inlineStr">
        <is>
          <t>JÖNKÖPINGS LÄN</t>
        </is>
      </c>
      <c r="E482" t="inlineStr">
        <is>
          <t>JÖNKÖPING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59734-2021</t>
        </is>
      </c>
      <c r="B483" s="1" t="n">
        <v>44494</v>
      </c>
      <c r="C483" s="1" t="n">
        <v>45697</v>
      </c>
      <c r="D483" t="inlineStr">
        <is>
          <t>JÖNKÖPINGS LÄN</t>
        </is>
      </c>
      <c r="E483" t="inlineStr">
        <is>
          <t>JÖNKÖPING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60269-2021</t>
        </is>
      </c>
      <c r="B484" s="1" t="n">
        <v>44495</v>
      </c>
      <c r="C484" s="1" t="n">
        <v>45697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60720-2021</t>
        </is>
      </c>
      <c r="B485" s="1" t="n">
        <v>44496</v>
      </c>
      <c r="C485" s="1" t="n">
        <v>45697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61250-2021</t>
        </is>
      </c>
      <c r="B486" s="1" t="n">
        <v>44498</v>
      </c>
      <c r="C486" s="1" t="n">
        <v>45697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61253-2021</t>
        </is>
      </c>
      <c r="B487" s="1" t="n">
        <v>44498</v>
      </c>
      <c r="C487" s="1" t="n">
        <v>45697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61260-2021</t>
        </is>
      </c>
      <c r="B488" s="1" t="n">
        <v>44498</v>
      </c>
      <c r="C488" s="1" t="n">
        <v>45697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62453-2021</t>
        </is>
      </c>
      <c r="B489" s="1" t="n">
        <v>44503</v>
      </c>
      <c r="C489" s="1" t="n">
        <v>45697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62753-2021</t>
        </is>
      </c>
      <c r="B490" s="1" t="n">
        <v>44504</v>
      </c>
      <c r="C490" s="1" t="n">
        <v>45697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63176-2021</t>
        </is>
      </c>
      <c r="B491" s="1" t="n">
        <v>44507</v>
      </c>
      <c r="C491" s="1" t="n">
        <v>45697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63207-2021</t>
        </is>
      </c>
      <c r="B492" s="1" t="n">
        <v>44507</v>
      </c>
      <c r="C492" s="1" t="n">
        <v>45697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64610-2021</t>
        </is>
      </c>
      <c r="B493" s="1" t="n">
        <v>44511</v>
      </c>
      <c r="C493" s="1" t="n">
        <v>45697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64882-2021</t>
        </is>
      </c>
      <c r="B494" s="1" t="n">
        <v>44512</v>
      </c>
      <c r="C494" s="1" t="n">
        <v>45697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67306-2021</t>
        </is>
      </c>
      <c r="B495" s="1" t="n">
        <v>44523</v>
      </c>
      <c r="C495" s="1" t="n">
        <v>45697</v>
      </c>
      <c r="D495" t="inlineStr">
        <is>
          <t>JÖNKÖPINGS LÄN</t>
        </is>
      </c>
      <c r="E495" t="inlineStr">
        <is>
          <t>JÖNKÖPING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69650-2021</t>
        </is>
      </c>
      <c r="B496" s="1" t="n">
        <v>44531</v>
      </c>
      <c r="C496" s="1" t="n">
        <v>45697</v>
      </c>
      <c r="D496" t="inlineStr">
        <is>
          <t>JÖNKÖPINGS LÄN</t>
        </is>
      </c>
      <c r="E496" t="inlineStr">
        <is>
          <t>JÖNKÖPING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69558-2021</t>
        </is>
      </c>
      <c r="B497" s="1" t="n">
        <v>44532</v>
      </c>
      <c r="C497" s="1" t="n">
        <v>45697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70402-2021</t>
        </is>
      </c>
      <c r="B498" s="1" t="n">
        <v>44536</v>
      </c>
      <c r="C498" s="1" t="n">
        <v>45697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70546-2021</t>
        </is>
      </c>
      <c r="B499" s="1" t="n">
        <v>44537</v>
      </c>
      <c r="C499" s="1" t="n">
        <v>45697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70965-2021</t>
        </is>
      </c>
      <c r="B500" s="1" t="n">
        <v>44538</v>
      </c>
      <c r="C500" s="1" t="n">
        <v>45697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71504-2021</t>
        </is>
      </c>
      <c r="B501" s="1" t="n">
        <v>44540</v>
      </c>
      <c r="C501" s="1" t="n">
        <v>45697</v>
      </c>
      <c r="D501" t="inlineStr">
        <is>
          <t>JÖNKÖPINGS LÄN</t>
        </is>
      </c>
      <c r="E501" t="inlineStr">
        <is>
          <t>JÖNKÖPING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72255-2021</t>
        </is>
      </c>
      <c r="B502" s="1" t="n">
        <v>44545</v>
      </c>
      <c r="C502" s="1" t="n">
        <v>45697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73003-2021</t>
        </is>
      </c>
      <c r="B503" s="1" t="n">
        <v>44550</v>
      </c>
      <c r="C503" s="1" t="n">
        <v>45697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73943-2021</t>
        </is>
      </c>
      <c r="B504" s="1" t="n">
        <v>44552</v>
      </c>
      <c r="C504" s="1" t="n">
        <v>45697</v>
      </c>
      <c r="D504" t="inlineStr">
        <is>
          <t>JÖNKÖPINGS LÄN</t>
        </is>
      </c>
      <c r="E504" t="inlineStr">
        <is>
          <t>JÖNKÖPING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74120-2021</t>
        </is>
      </c>
      <c r="B505" s="1" t="n">
        <v>44557</v>
      </c>
      <c r="C505" s="1" t="n">
        <v>45697</v>
      </c>
      <c r="D505" t="inlineStr">
        <is>
          <t>JÖNKÖPINGS LÄN</t>
        </is>
      </c>
      <c r="E505" t="inlineStr">
        <is>
          <t>JÖNKÖPING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74117-2021</t>
        </is>
      </c>
      <c r="B506" s="1" t="n">
        <v>44557</v>
      </c>
      <c r="C506" s="1" t="n">
        <v>45697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216-2022</t>
        </is>
      </c>
      <c r="B507" s="1" t="n">
        <v>44564</v>
      </c>
      <c r="C507" s="1" t="n">
        <v>45697</v>
      </c>
      <c r="D507" t="inlineStr">
        <is>
          <t>JÖNKÖPINGS LÄN</t>
        </is>
      </c>
      <c r="E507" t="inlineStr">
        <is>
          <t>JÖNKÖPING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858-2022</t>
        </is>
      </c>
      <c r="B508" s="1" t="n">
        <v>44571</v>
      </c>
      <c r="C508" s="1" t="n">
        <v>45697</v>
      </c>
      <c r="D508" t="inlineStr">
        <is>
          <t>JÖNKÖPINGS LÄN</t>
        </is>
      </c>
      <c r="E508" t="inlineStr">
        <is>
          <t>JÖNKÖPING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1877-2022</t>
        </is>
      </c>
      <c r="B509" s="1" t="n">
        <v>44575</v>
      </c>
      <c r="C509" s="1" t="n">
        <v>45697</v>
      </c>
      <c r="D509" t="inlineStr">
        <is>
          <t>JÖNKÖPINGS LÄN</t>
        </is>
      </c>
      <c r="E509" t="inlineStr">
        <is>
          <t>JÖNKÖPING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2064-2022</t>
        </is>
      </c>
      <c r="B510" s="1" t="n">
        <v>44575</v>
      </c>
      <c r="C510" s="1" t="n">
        <v>45697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2068-2022</t>
        </is>
      </c>
      <c r="B511" s="1" t="n">
        <v>44575</v>
      </c>
      <c r="C511" s="1" t="n">
        <v>45697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2065-2022</t>
        </is>
      </c>
      <c r="B512" s="1" t="n">
        <v>44575</v>
      </c>
      <c r="C512" s="1" t="n">
        <v>45697</v>
      </c>
      <c r="D512" t="inlineStr">
        <is>
          <t>JÖNKÖPINGS LÄN</t>
        </is>
      </c>
      <c r="E512" t="inlineStr">
        <is>
          <t>JÖNKÖPING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2067-2022</t>
        </is>
      </c>
      <c r="B513" s="1" t="n">
        <v>44575</v>
      </c>
      <c r="C513" s="1" t="n">
        <v>45697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2066-2022</t>
        </is>
      </c>
      <c r="B514" s="1" t="n">
        <v>44575</v>
      </c>
      <c r="C514" s="1" t="n">
        <v>45697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2205-2022</t>
        </is>
      </c>
      <c r="B515" s="1" t="n">
        <v>44578</v>
      </c>
      <c r="C515" s="1" t="n">
        <v>45697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2327-2022</t>
        </is>
      </c>
      <c r="B516" s="1" t="n">
        <v>44578</v>
      </c>
      <c r="C516" s="1" t="n">
        <v>45697</v>
      </c>
      <c r="D516" t="inlineStr">
        <is>
          <t>JÖNKÖPINGS LÄN</t>
        </is>
      </c>
      <c r="E516" t="inlineStr">
        <is>
          <t>JÖNKÖPING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2323-2022</t>
        </is>
      </c>
      <c r="B517" s="1" t="n">
        <v>44578</v>
      </c>
      <c r="C517" s="1" t="n">
        <v>45697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2326-2022</t>
        </is>
      </c>
      <c r="B518" s="1" t="n">
        <v>44578</v>
      </c>
      <c r="C518" s="1" t="n">
        <v>45697</v>
      </c>
      <c r="D518" t="inlineStr">
        <is>
          <t>JÖNKÖPINGS LÄN</t>
        </is>
      </c>
      <c r="E518" t="inlineStr">
        <is>
          <t>JÖNKÖPING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2394-2022</t>
        </is>
      </c>
      <c r="B519" s="1" t="n">
        <v>44579</v>
      </c>
      <c r="C519" s="1" t="n">
        <v>45697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2498-2022</t>
        </is>
      </c>
      <c r="B520" s="1" t="n">
        <v>44579</v>
      </c>
      <c r="C520" s="1" t="n">
        <v>45697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2641-2022</t>
        </is>
      </c>
      <c r="B521" s="1" t="n">
        <v>44580</v>
      </c>
      <c r="C521" s="1" t="n">
        <v>45697</v>
      </c>
      <c r="D521" t="inlineStr">
        <is>
          <t>JÖNKÖPINGS LÄN</t>
        </is>
      </c>
      <c r="E521" t="inlineStr">
        <is>
          <t>JÖNKÖPING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2642-2022</t>
        </is>
      </c>
      <c r="B522" s="1" t="n">
        <v>44580</v>
      </c>
      <c r="C522" s="1" t="n">
        <v>45697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3314-2022</t>
        </is>
      </c>
      <c r="B523" s="1" t="n">
        <v>44585</v>
      </c>
      <c r="C523" s="1" t="n">
        <v>45697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3427-2022</t>
        </is>
      </c>
      <c r="B524" s="1" t="n">
        <v>44585</v>
      </c>
      <c r="C524" s="1" t="n">
        <v>45697</v>
      </c>
      <c r="D524" t="inlineStr">
        <is>
          <t>JÖNKÖPINGS LÄN</t>
        </is>
      </c>
      <c r="E524" t="inlineStr">
        <is>
          <t>JÖNKÖPING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4154-2022</t>
        </is>
      </c>
      <c r="B525" s="1" t="n">
        <v>44588</v>
      </c>
      <c r="C525" s="1" t="n">
        <v>45697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4503-2022</t>
        </is>
      </c>
      <c r="B526" s="1" t="n">
        <v>44589</v>
      </c>
      <c r="C526" s="1" t="n">
        <v>45697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4505-2022</t>
        </is>
      </c>
      <c r="B527" s="1" t="n">
        <v>44589</v>
      </c>
      <c r="C527" s="1" t="n">
        <v>45697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4581-2022</t>
        </is>
      </c>
      <c r="B528" s="1" t="n">
        <v>44591</v>
      </c>
      <c r="C528" s="1" t="n">
        <v>45697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4577-2022</t>
        </is>
      </c>
      <c r="B529" s="1" t="n">
        <v>44591</v>
      </c>
      <c r="C529" s="1" t="n">
        <v>45697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4576-2022</t>
        </is>
      </c>
      <c r="B530" s="1" t="n">
        <v>44591</v>
      </c>
      <c r="C530" s="1" t="n">
        <v>45697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4592-2022</t>
        </is>
      </c>
      <c r="B531" s="1" t="n">
        <v>44592</v>
      </c>
      <c r="C531" s="1" t="n">
        <v>45697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5147-2022</t>
        </is>
      </c>
      <c r="B532" s="1" t="n">
        <v>44593</v>
      </c>
      <c r="C532" s="1" t="n">
        <v>45697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5541-2022</t>
        </is>
      </c>
      <c r="B533" s="1" t="n">
        <v>44595</v>
      </c>
      <c r="C533" s="1" t="n">
        <v>45697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5736-2022</t>
        </is>
      </c>
      <c r="B534" s="1" t="n">
        <v>44596</v>
      </c>
      <c r="C534" s="1" t="n">
        <v>45697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7176-2022</t>
        </is>
      </c>
      <c r="B535" s="1" t="n">
        <v>44605</v>
      </c>
      <c r="C535" s="1" t="n">
        <v>45697</v>
      </c>
      <c r="D535" t="inlineStr">
        <is>
          <t>JÖNKÖPINGS LÄN</t>
        </is>
      </c>
      <c r="E535" t="inlineStr">
        <is>
          <t>JÖNKÖPING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7177-2022</t>
        </is>
      </c>
      <c r="B536" s="1" t="n">
        <v>44605</v>
      </c>
      <c r="C536" s="1" t="n">
        <v>45697</v>
      </c>
      <c r="D536" t="inlineStr">
        <is>
          <t>JÖNKÖPINGS LÄN</t>
        </is>
      </c>
      <c r="E536" t="inlineStr">
        <is>
          <t>JÖNKÖPING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7185-2022</t>
        </is>
      </c>
      <c r="B537" s="1" t="n">
        <v>44605</v>
      </c>
      <c r="C537" s="1" t="n">
        <v>45697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7865-2022</t>
        </is>
      </c>
      <c r="B538" s="1" t="n">
        <v>44608</v>
      </c>
      <c r="C538" s="1" t="n">
        <v>45697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8582-2022</t>
        </is>
      </c>
      <c r="B539" s="1" t="n">
        <v>44613</v>
      </c>
      <c r="C539" s="1" t="n">
        <v>45697</v>
      </c>
      <c r="D539" t="inlineStr">
        <is>
          <t>JÖNKÖPINGS LÄN</t>
        </is>
      </c>
      <c r="E539" t="inlineStr">
        <is>
          <t>JÖNKÖPING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8752-2022</t>
        </is>
      </c>
      <c r="B540" s="1" t="n">
        <v>44614</v>
      </c>
      <c r="C540" s="1" t="n">
        <v>45697</v>
      </c>
      <c r="D540" t="inlineStr">
        <is>
          <t>JÖNKÖPINGS LÄN</t>
        </is>
      </c>
      <c r="E540" t="inlineStr">
        <is>
          <t>JÖNKÖPING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8829-2022</t>
        </is>
      </c>
      <c r="B541" s="1" t="n">
        <v>44614</v>
      </c>
      <c r="C541" s="1" t="n">
        <v>45697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8757-2022</t>
        </is>
      </c>
      <c r="B542" s="1" t="n">
        <v>44614</v>
      </c>
      <c r="C542" s="1" t="n">
        <v>45697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8931-2022</t>
        </is>
      </c>
      <c r="B543" s="1" t="n">
        <v>44614</v>
      </c>
      <c r="C543" s="1" t="n">
        <v>45697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8864-2022</t>
        </is>
      </c>
      <c r="B544" s="1" t="n">
        <v>44614</v>
      </c>
      <c r="C544" s="1" t="n">
        <v>45697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9248-2022</t>
        </is>
      </c>
      <c r="B545" s="1" t="n">
        <v>44616</v>
      </c>
      <c r="C545" s="1" t="n">
        <v>45697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10204-2022</t>
        </is>
      </c>
      <c r="B546" s="1" t="n">
        <v>44622</v>
      </c>
      <c r="C546" s="1" t="n">
        <v>45697</v>
      </c>
      <c r="D546" t="inlineStr">
        <is>
          <t>JÖNKÖPINGS LÄN</t>
        </is>
      </c>
      <c r="E546" t="inlineStr">
        <is>
          <t>JÖNKÖPING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10720-2022</t>
        </is>
      </c>
      <c r="B547" s="1" t="n">
        <v>44626</v>
      </c>
      <c r="C547" s="1" t="n">
        <v>45697</v>
      </c>
      <c r="D547" t="inlineStr">
        <is>
          <t>JÖNKÖPINGS LÄN</t>
        </is>
      </c>
      <c r="E547" t="inlineStr">
        <is>
          <t>JÖNKÖPING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10760-2022</t>
        </is>
      </c>
      <c r="B548" s="1" t="n">
        <v>44627</v>
      </c>
      <c r="C548" s="1" t="n">
        <v>45697</v>
      </c>
      <c r="D548" t="inlineStr">
        <is>
          <t>JÖNKÖPINGS LÄN</t>
        </is>
      </c>
      <c r="E548" t="inlineStr">
        <is>
          <t>JÖNKÖPING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11052-2022</t>
        </is>
      </c>
      <c r="B549" s="1" t="n">
        <v>44628</v>
      </c>
      <c r="C549" s="1" t="n">
        <v>45697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11039-2022</t>
        </is>
      </c>
      <c r="B550" s="1" t="n">
        <v>44628</v>
      </c>
      <c r="C550" s="1" t="n">
        <v>45697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11497-2022</t>
        </is>
      </c>
      <c r="B551" s="1" t="n">
        <v>44631</v>
      </c>
      <c r="C551" s="1" t="n">
        <v>45697</v>
      </c>
      <c r="D551" t="inlineStr">
        <is>
          <t>JÖNKÖPINGS LÄN</t>
        </is>
      </c>
      <c r="E551" t="inlineStr">
        <is>
          <t>JÖNKÖPING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11503-2022</t>
        </is>
      </c>
      <c r="B552" s="1" t="n">
        <v>44631</v>
      </c>
      <c r="C552" s="1" t="n">
        <v>45697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13632-2022</t>
        </is>
      </c>
      <c r="B553" s="1" t="n">
        <v>44648</v>
      </c>
      <c r="C553" s="1" t="n">
        <v>45697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13686-2022</t>
        </is>
      </c>
      <c r="B554" s="1" t="n">
        <v>44648</v>
      </c>
      <c r="C554" s="1" t="n">
        <v>45697</v>
      </c>
      <c r="D554" t="inlineStr">
        <is>
          <t>JÖNKÖPINGS LÄN</t>
        </is>
      </c>
      <c r="E554" t="inlineStr">
        <is>
          <t>JÖNKÖPING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13691-2022</t>
        </is>
      </c>
      <c r="B555" s="1" t="n">
        <v>44648</v>
      </c>
      <c r="C555" s="1" t="n">
        <v>45697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14566-2022</t>
        </is>
      </c>
      <c r="B556" s="1" t="n">
        <v>44655</v>
      </c>
      <c r="C556" s="1" t="n">
        <v>45697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15190-2022</t>
        </is>
      </c>
      <c r="B557" s="1" t="n">
        <v>44658</v>
      </c>
      <c r="C557" s="1" t="n">
        <v>45697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15368-2022</t>
        </is>
      </c>
      <c r="B558" s="1" t="n">
        <v>44659</v>
      </c>
      <c r="C558" s="1" t="n">
        <v>45697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15376-2022</t>
        </is>
      </c>
      <c r="B559" s="1" t="n">
        <v>44659</v>
      </c>
      <c r="C559" s="1" t="n">
        <v>45697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15383-2022</t>
        </is>
      </c>
      <c r="B560" s="1" t="n">
        <v>44659</v>
      </c>
      <c r="C560" s="1" t="n">
        <v>45697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15384-2022</t>
        </is>
      </c>
      <c r="B561" s="1" t="n">
        <v>44659</v>
      </c>
      <c r="C561" s="1" t="n">
        <v>45697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15600-2022</t>
        </is>
      </c>
      <c r="B562" s="1" t="n">
        <v>44662</v>
      </c>
      <c r="C562" s="1" t="n">
        <v>45697</v>
      </c>
      <c r="D562" t="inlineStr">
        <is>
          <t>JÖNKÖPINGS LÄN</t>
        </is>
      </c>
      <c r="E562" t="inlineStr">
        <is>
          <t>JÖNKÖPING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15602-2022</t>
        </is>
      </c>
      <c r="B563" s="1" t="n">
        <v>44662</v>
      </c>
      <c r="C563" s="1" t="n">
        <v>45697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15605-2022</t>
        </is>
      </c>
      <c r="B564" s="1" t="n">
        <v>44662</v>
      </c>
      <c r="C564" s="1" t="n">
        <v>45697</v>
      </c>
      <c r="D564" t="inlineStr">
        <is>
          <t>JÖNKÖPINGS LÄN</t>
        </is>
      </c>
      <c r="E564" t="inlineStr">
        <is>
          <t>JÖNKÖPING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16103-2022</t>
        </is>
      </c>
      <c r="B565" s="1" t="n">
        <v>44665</v>
      </c>
      <c r="C565" s="1" t="n">
        <v>45697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16312-2022</t>
        </is>
      </c>
      <c r="B566" s="1" t="n">
        <v>44670</v>
      </c>
      <c r="C566" s="1" t="n">
        <v>45697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16310-2022</t>
        </is>
      </c>
      <c r="B567" s="1" t="n">
        <v>44670</v>
      </c>
      <c r="C567" s="1" t="n">
        <v>45697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16378-2022</t>
        </is>
      </c>
      <c r="B568" s="1" t="n">
        <v>44671</v>
      </c>
      <c r="C568" s="1" t="n">
        <v>45697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16532-2022</t>
        </is>
      </c>
      <c r="B569" s="1" t="n">
        <v>44672</v>
      </c>
      <c r="C569" s="1" t="n">
        <v>45697</v>
      </c>
      <c r="D569" t="inlineStr">
        <is>
          <t>JÖNKÖPINGS LÄN</t>
        </is>
      </c>
      <c r="E569" t="inlineStr">
        <is>
          <t>JÖNKÖPING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16705-2022</t>
        </is>
      </c>
      <c r="B570" s="1" t="n">
        <v>44673</v>
      </c>
      <c r="C570" s="1" t="n">
        <v>45697</v>
      </c>
      <c r="D570" t="inlineStr">
        <is>
          <t>JÖNKÖPINGS LÄN</t>
        </is>
      </c>
      <c r="E570" t="inlineStr">
        <is>
          <t>JÖNKÖPING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17203-2022</t>
        </is>
      </c>
      <c r="B571" s="1" t="n">
        <v>44677</v>
      </c>
      <c r="C571" s="1" t="n">
        <v>45697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17280-2022</t>
        </is>
      </c>
      <c r="B572" s="1" t="n">
        <v>44678</v>
      </c>
      <c r="C572" s="1" t="n">
        <v>45697</v>
      </c>
      <c r="D572" t="inlineStr">
        <is>
          <t>JÖNKÖPINGS LÄN</t>
        </is>
      </c>
      <c r="E572" t="inlineStr">
        <is>
          <t>JÖNKÖPING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18457-2022</t>
        </is>
      </c>
      <c r="B573" s="1" t="n">
        <v>44686</v>
      </c>
      <c r="C573" s="1" t="n">
        <v>45697</v>
      </c>
      <c r="D573" t="inlineStr">
        <is>
          <t>JÖNKÖPINGS LÄN</t>
        </is>
      </c>
      <c r="E573" t="inlineStr">
        <is>
          <t>JÖNKÖPING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18458-2022</t>
        </is>
      </c>
      <c r="B574" s="1" t="n">
        <v>44686</v>
      </c>
      <c r="C574" s="1" t="n">
        <v>45697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19773-2022</t>
        </is>
      </c>
      <c r="B575" s="1" t="n">
        <v>44694</v>
      </c>
      <c r="C575" s="1" t="n">
        <v>45697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19913-2022</t>
        </is>
      </c>
      <c r="B576" s="1" t="n">
        <v>44697</v>
      </c>
      <c r="C576" s="1" t="n">
        <v>45697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20392-2022</t>
        </is>
      </c>
      <c r="B577" s="1" t="n">
        <v>44699</v>
      </c>
      <c r="C577" s="1" t="n">
        <v>45697</v>
      </c>
      <c r="D577" t="inlineStr">
        <is>
          <t>JÖNKÖPINGS LÄN</t>
        </is>
      </c>
      <c r="E577" t="inlineStr">
        <is>
          <t>JÖNKÖPING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21149-2022</t>
        </is>
      </c>
      <c r="B578" s="1" t="n">
        <v>44704</v>
      </c>
      <c r="C578" s="1" t="n">
        <v>45697</v>
      </c>
      <c r="D578" t="inlineStr">
        <is>
          <t>JÖNKÖPINGS LÄN</t>
        </is>
      </c>
      <c r="E578" t="inlineStr">
        <is>
          <t>JÖNKÖPING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21155-2022</t>
        </is>
      </c>
      <c r="B579" s="1" t="n">
        <v>44704</v>
      </c>
      <c r="C579" s="1" t="n">
        <v>45697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21897-2022</t>
        </is>
      </c>
      <c r="B580" s="1" t="n">
        <v>44711</v>
      </c>
      <c r="C580" s="1" t="n">
        <v>45697</v>
      </c>
      <c r="D580" t="inlineStr">
        <is>
          <t>JÖNKÖPINGS LÄN</t>
        </is>
      </c>
      <c r="E580" t="inlineStr">
        <is>
          <t>JÖNKÖPING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21923-2022</t>
        </is>
      </c>
      <c r="B581" s="1" t="n">
        <v>44711</v>
      </c>
      <c r="C581" s="1" t="n">
        <v>45697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21944-2022</t>
        </is>
      </c>
      <c r="B582" s="1" t="n">
        <v>44711</v>
      </c>
      <c r="C582" s="1" t="n">
        <v>45697</v>
      </c>
      <c r="D582" t="inlineStr">
        <is>
          <t>JÖNKÖPINGS LÄN</t>
        </is>
      </c>
      <c r="E582" t="inlineStr">
        <is>
          <t>JÖNKÖPING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21947-2022</t>
        </is>
      </c>
      <c r="B583" s="1" t="n">
        <v>44711</v>
      </c>
      <c r="C583" s="1" t="n">
        <v>45697</v>
      </c>
      <c r="D583" t="inlineStr">
        <is>
          <t>JÖNKÖPINGS LÄN</t>
        </is>
      </c>
      <c r="E583" t="inlineStr">
        <is>
          <t>JÖNKÖPING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21924-2022</t>
        </is>
      </c>
      <c r="B584" s="1" t="n">
        <v>44711</v>
      </c>
      <c r="C584" s="1" t="n">
        <v>45697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21935-2022</t>
        </is>
      </c>
      <c r="B585" s="1" t="n">
        <v>44711</v>
      </c>
      <c r="C585" s="1" t="n">
        <v>45697</v>
      </c>
      <c r="D585" t="inlineStr">
        <is>
          <t>JÖNKÖPINGS LÄN</t>
        </is>
      </c>
      <c r="E585" t="inlineStr">
        <is>
          <t>JÖNKÖPING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22605-2022</t>
        </is>
      </c>
      <c r="B586" s="1" t="n">
        <v>44714</v>
      </c>
      <c r="C586" s="1" t="n">
        <v>45697</v>
      </c>
      <c r="D586" t="inlineStr">
        <is>
          <t>JÖNKÖPINGS LÄN</t>
        </is>
      </c>
      <c r="E586" t="inlineStr">
        <is>
          <t>JÖNKÖPING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22803-2022</t>
        </is>
      </c>
      <c r="B587" s="1" t="n">
        <v>44715</v>
      </c>
      <c r="C587" s="1" t="n">
        <v>45697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Övriga statliga verk och myndigheter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23055-2022</t>
        </is>
      </c>
      <c r="B588" s="1" t="n">
        <v>44719</v>
      </c>
      <c r="C588" s="1" t="n">
        <v>45697</v>
      </c>
      <c r="D588" t="inlineStr">
        <is>
          <t>JÖNKÖPINGS LÄN</t>
        </is>
      </c>
      <c r="E588" t="inlineStr">
        <is>
          <t>JÖNKÖPING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23973-2022</t>
        </is>
      </c>
      <c r="B589" s="1" t="n">
        <v>44722</v>
      </c>
      <c r="C589" s="1" t="n">
        <v>45697</v>
      </c>
      <c r="D589" t="inlineStr">
        <is>
          <t>JÖNKÖPINGS LÄN</t>
        </is>
      </c>
      <c r="E589" t="inlineStr">
        <is>
          <t>JÖNKÖPING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24587-2022</t>
        </is>
      </c>
      <c r="B590" s="1" t="n">
        <v>44727</v>
      </c>
      <c r="C590" s="1" t="n">
        <v>45697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24584-2022</t>
        </is>
      </c>
      <c r="B591" s="1" t="n">
        <v>44727</v>
      </c>
      <c r="C591" s="1" t="n">
        <v>45697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25067-2022</t>
        </is>
      </c>
      <c r="B592" s="1" t="n">
        <v>44729</v>
      </c>
      <c r="C592" s="1" t="n">
        <v>45697</v>
      </c>
      <c r="D592" t="inlineStr">
        <is>
          <t>JÖNKÖPINGS LÄN</t>
        </is>
      </c>
      <c r="E592" t="inlineStr">
        <is>
          <t>JÖNKÖPING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25065-2022</t>
        </is>
      </c>
      <c r="B593" s="1" t="n">
        <v>44729</v>
      </c>
      <c r="C593" s="1" t="n">
        <v>45697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25125-2022</t>
        </is>
      </c>
      <c r="B594" s="1" t="n">
        <v>44729</v>
      </c>
      <c r="C594" s="1" t="n">
        <v>45697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26221-2022</t>
        </is>
      </c>
      <c r="B595" s="1" t="n">
        <v>44734</v>
      </c>
      <c r="C595" s="1" t="n">
        <v>45697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26206-2022</t>
        </is>
      </c>
      <c r="B596" s="1" t="n">
        <v>44734</v>
      </c>
      <c r="C596" s="1" t="n">
        <v>45697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26208-2022</t>
        </is>
      </c>
      <c r="B597" s="1" t="n">
        <v>44734</v>
      </c>
      <c r="C597" s="1" t="n">
        <v>45697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26213-2022</t>
        </is>
      </c>
      <c r="B598" s="1" t="n">
        <v>44734</v>
      </c>
      <c r="C598" s="1" t="n">
        <v>45697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26230-2022</t>
        </is>
      </c>
      <c r="B599" s="1" t="n">
        <v>44735</v>
      </c>
      <c r="C599" s="1" t="n">
        <v>45697</v>
      </c>
      <c r="D599" t="inlineStr">
        <is>
          <t>JÖNKÖPINGS LÄN</t>
        </is>
      </c>
      <c r="E599" t="inlineStr">
        <is>
          <t>JÖNKÖPING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26374-2022</t>
        </is>
      </c>
      <c r="B600" s="1" t="n">
        <v>44735</v>
      </c>
      <c r="C600" s="1" t="n">
        <v>45697</v>
      </c>
      <c r="D600" t="inlineStr">
        <is>
          <t>JÖNKÖPINGS LÄN</t>
        </is>
      </c>
      <c r="E600" t="inlineStr">
        <is>
          <t>JÖNKÖPING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26378-2022</t>
        </is>
      </c>
      <c r="B601" s="1" t="n">
        <v>44735</v>
      </c>
      <c r="C601" s="1" t="n">
        <v>45697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26661-2022</t>
        </is>
      </c>
      <c r="B602" s="1" t="n">
        <v>44739</v>
      </c>
      <c r="C602" s="1" t="n">
        <v>45697</v>
      </c>
      <c r="D602" t="inlineStr">
        <is>
          <t>JÖNKÖPINGS LÄN</t>
        </is>
      </c>
      <c r="E602" t="inlineStr">
        <is>
          <t>JÖNKÖPING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26653-2022</t>
        </is>
      </c>
      <c r="B603" s="1" t="n">
        <v>44739</v>
      </c>
      <c r="C603" s="1" t="n">
        <v>45697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27246-2022</t>
        </is>
      </c>
      <c r="B604" s="1" t="n">
        <v>44741</v>
      </c>
      <c r="C604" s="1" t="n">
        <v>45697</v>
      </c>
      <c r="D604" t="inlineStr">
        <is>
          <t>JÖNKÖPINGS LÄN</t>
        </is>
      </c>
      <c r="E604" t="inlineStr">
        <is>
          <t>JÖNKÖPING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28758-2022</t>
        </is>
      </c>
      <c r="B605" s="1" t="n">
        <v>44749</v>
      </c>
      <c r="C605" s="1" t="n">
        <v>45697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28907-2022</t>
        </is>
      </c>
      <c r="B606" s="1" t="n">
        <v>44749</v>
      </c>
      <c r="C606" s="1" t="n">
        <v>45697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28905-2022</t>
        </is>
      </c>
      <c r="B607" s="1" t="n">
        <v>44749</v>
      </c>
      <c r="C607" s="1" t="n">
        <v>45697</v>
      </c>
      <c r="D607" t="inlineStr">
        <is>
          <t>JÖNKÖPINGS LÄN</t>
        </is>
      </c>
      <c r="E607" t="inlineStr">
        <is>
          <t>JÖNKÖPING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28910-2022</t>
        </is>
      </c>
      <c r="B608" s="1" t="n">
        <v>44749</v>
      </c>
      <c r="C608" s="1" t="n">
        <v>45697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29056-2022</t>
        </is>
      </c>
      <c r="B609" s="1" t="n">
        <v>44750</v>
      </c>
      <c r="C609" s="1" t="n">
        <v>45697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29259-2022</t>
        </is>
      </c>
      <c r="B610" s="1" t="n">
        <v>44750</v>
      </c>
      <c r="C610" s="1" t="n">
        <v>45697</v>
      </c>
      <c r="D610" t="inlineStr">
        <is>
          <t>JÖNKÖPINGS LÄN</t>
        </is>
      </c>
      <c r="E610" t="inlineStr">
        <is>
          <t>JÖNKÖPING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29599-2022</t>
        </is>
      </c>
      <c r="B611" s="1" t="n">
        <v>44754</v>
      </c>
      <c r="C611" s="1" t="n">
        <v>45697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30581-2022</t>
        </is>
      </c>
      <c r="B612" s="1" t="n">
        <v>44762</v>
      </c>
      <c r="C612" s="1" t="n">
        <v>45697</v>
      </c>
      <c r="D612" t="inlineStr">
        <is>
          <t>JÖNKÖPINGS LÄN</t>
        </is>
      </c>
      <c r="E612" t="inlineStr">
        <is>
          <t>JÖNKÖPING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32310-2022</t>
        </is>
      </c>
      <c r="B613" s="1" t="n">
        <v>44781</v>
      </c>
      <c r="C613" s="1" t="n">
        <v>45697</v>
      </c>
      <c r="D613" t="inlineStr">
        <is>
          <t>JÖNKÖPINGS LÄN</t>
        </is>
      </c>
      <c r="E613" t="inlineStr">
        <is>
          <t>JÖNKÖPING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32306-2022</t>
        </is>
      </c>
      <c r="B614" s="1" t="n">
        <v>44781</v>
      </c>
      <c r="C614" s="1" t="n">
        <v>45697</v>
      </c>
      <c r="D614" t="inlineStr">
        <is>
          <t>JÖNKÖPINGS LÄN</t>
        </is>
      </c>
      <c r="E614" t="inlineStr">
        <is>
          <t>JÖNKÖPING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33259-2022</t>
        </is>
      </c>
      <c r="B615" s="1" t="n">
        <v>44787</v>
      </c>
      <c r="C615" s="1" t="n">
        <v>45697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33367-2022</t>
        </is>
      </c>
      <c r="B616" s="1" t="n">
        <v>44788</v>
      </c>
      <c r="C616" s="1" t="n">
        <v>45697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34408-2022</t>
        </is>
      </c>
      <c r="B617" s="1" t="n">
        <v>44792</v>
      </c>
      <c r="C617" s="1" t="n">
        <v>45697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34405-2022</t>
        </is>
      </c>
      <c r="B618" s="1" t="n">
        <v>44792</v>
      </c>
      <c r="C618" s="1" t="n">
        <v>45697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34403-2022</t>
        </is>
      </c>
      <c r="B619" s="1" t="n">
        <v>44792</v>
      </c>
      <c r="C619" s="1" t="n">
        <v>45697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34404-2022</t>
        </is>
      </c>
      <c r="B620" s="1" t="n">
        <v>44792</v>
      </c>
      <c r="C620" s="1" t="n">
        <v>45697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34411-2022</t>
        </is>
      </c>
      <c r="B621" s="1" t="n">
        <v>44792</v>
      </c>
      <c r="C621" s="1" t="n">
        <v>45697</v>
      </c>
      <c r="D621" t="inlineStr">
        <is>
          <t>JÖNKÖPINGS LÄN</t>
        </is>
      </c>
      <c r="E621" t="inlineStr">
        <is>
          <t>JÖNKÖPING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34747-2022</t>
        </is>
      </c>
      <c r="B622" s="1" t="n">
        <v>44795</v>
      </c>
      <c r="C622" s="1" t="n">
        <v>45697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35430-2022</t>
        </is>
      </c>
      <c r="B623" s="1" t="n">
        <v>44798</v>
      </c>
      <c r="C623" s="1" t="n">
        <v>45697</v>
      </c>
      <c r="D623" t="inlineStr">
        <is>
          <t>JÖNKÖPINGS LÄN</t>
        </is>
      </c>
      <c r="E623" t="inlineStr">
        <is>
          <t>JÖNKÖPING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36189-2022</t>
        </is>
      </c>
      <c r="B624" s="1" t="n">
        <v>44803</v>
      </c>
      <c r="C624" s="1" t="n">
        <v>45697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36619-2022</t>
        </is>
      </c>
      <c r="B625" s="1" t="n">
        <v>44804</v>
      </c>
      <c r="C625" s="1" t="n">
        <v>45697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36861-2022</t>
        </is>
      </c>
      <c r="B626" s="1" t="n">
        <v>44805</v>
      </c>
      <c r="C626" s="1" t="n">
        <v>45697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37372-2022</t>
        </is>
      </c>
      <c r="B627" s="1" t="n">
        <v>44809</v>
      </c>
      <c r="C627" s="1" t="n">
        <v>45697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37622-2022</t>
        </is>
      </c>
      <c r="B628" s="1" t="n">
        <v>44810</v>
      </c>
      <c r="C628" s="1" t="n">
        <v>45697</v>
      </c>
      <c r="D628" t="inlineStr">
        <is>
          <t>JÖNKÖPINGS LÄN</t>
        </is>
      </c>
      <c r="E628" t="inlineStr">
        <is>
          <t>JÖNKÖPING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37618-2022</t>
        </is>
      </c>
      <c r="B629" s="1" t="n">
        <v>44810</v>
      </c>
      <c r="C629" s="1" t="n">
        <v>45697</v>
      </c>
      <c r="D629" t="inlineStr">
        <is>
          <t>JÖNKÖPINGS LÄN</t>
        </is>
      </c>
      <c r="E629" t="inlineStr">
        <is>
          <t>JÖNKÖPING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37851-2022</t>
        </is>
      </c>
      <c r="B630" s="1" t="n">
        <v>44811</v>
      </c>
      <c r="C630" s="1" t="n">
        <v>45697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38467-2022</t>
        </is>
      </c>
      <c r="B631" s="1" t="n">
        <v>44813</v>
      </c>
      <c r="C631" s="1" t="n">
        <v>45697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38507-2022</t>
        </is>
      </c>
      <c r="B632" s="1" t="n">
        <v>44813</v>
      </c>
      <c r="C632" s="1" t="n">
        <v>45697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38929-2022</t>
        </is>
      </c>
      <c r="B633" s="1" t="n">
        <v>44816</v>
      </c>
      <c r="C633" s="1" t="n">
        <v>45697</v>
      </c>
      <c r="D633" t="inlineStr">
        <is>
          <t>JÖNKÖPINGS LÄN</t>
        </is>
      </c>
      <c r="E633" t="inlineStr">
        <is>
          <t>JÖNKÖPING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39719-2022</t>
        </is>
      </c>
      <c r="B634" s="1" t="n">
        <v>44819</v>
      </c>
      <c r="C634" s="1" t="n">
        <v>45697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39718-2022</t>
        </is>
      </c>
      <c r="B635" s="1" t="n">
        <v>44819</v>
      </c>
      <c r="C635" s="1" t="n">
        <v>45697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40069-2022</t>
        </is>
      </c>
      <c r="B636" s="1" t="n">
        <v>44820</v>
      </c>
      <c r="C636" s="1" t="n">
        <v>45697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40064-2022</t>
        </is>
      </c>
      <c r="B637" s="1" t="n">
        <v>44820</v>
      </c>
      <c r="C637" s="1" t="n">
        <v>45697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40065-2022</t>
        </is>
      </c>
      <c r="B638" s="1" t="n">
        <v>44820</v>
      </c>
      <c r="C638" s="1" t="n">
        <v>45697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40068-2022</t>
        </is>
      </c>
      <c r="B639" s="1" t="n">
        <v>44820</v>
      </c>
      <c r="C639" s="1" t="n">
        <v>45697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40919-2022</t>
        </is>
      </c>
      <c r="B640" s="1" t="n">
        <v>44825</v>
      </c>
      <c r="C640" s="1" t="n">
        <v>45697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42242-2022</t>
        </is>
      </c>
      <c r="B641" s="1" t="n">
        <v>44830</v>
      </c>
      <c r="C641" s="1" t="n">
        <v>45697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42390-2022</t>
        </is>
      </c>
      <c r="B642" s="1" t="n">
        <v>44831</v>
      </c>
      <c r="C642" s="1" t="n">
        <v>45697</v>
      </c>
      <c r="D642" t="inlineStr">
        <is>
          <t>JÖNKÖPINGS LÄN</t>
        </is>
      </c>
      <c r="E642" t="inlineStr">
        <is>
          <t>JÖNKÖPING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43295-2022</t>
        </is>
      </c>
      <c r="B643" s="1" t="n">
        <v>44833</v>
      </c>
      <c r="C643" s="1" t="n">
        <v>45697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43186-2022</t>
        </is>
      </c>
      <c r="B644" s="1" t="n">
        <v>44834</v>
      </c>
      <c r="C644" s="1" t="n">
        <v>45697</v>
      </c>
      <c r="D644" t="inlineStr">
        <is>
          <t>JÖNKÖPINGS LÄN</t>
        </is>
      </c>
      <c r="E644" t="inlineStr">
        <is>
          <t>JÖNKÖPING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43668-2022</t>
        </is>
      </c>
      <c r="B645" s="1" t="n">
        <v>44837</v>
      </c>
      <c r="C645" s="1" t="n">
        <v>45697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44109-2022</t>
        </is>
      </c>
      <c r="B646" s="1" t="n">
        <v>44839</v>
      </c>
      <c r="C646" s="1" t="n">
        <v>45697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44079-2022</t>
        </is>
      </c>
      <c r="B647" s="1" t="n">
        <v>44839</v>
      </c>
      <c r="C647" s="1" t="n">
        <v>45697</v>
      </c>
      <c r="D647" t="inlineStr">
        <is>
          <t>JÖNKÖPINGS LÄN</t>
        </is>
      </c>
      <c r="E647" t="inlineStr">
        <is>
          <t>JÖNKÖPING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44107-2022</t>
        </is>
      </c>
      <c r="B648" s="1" t="n">
        <v>44839</v>
      </c>
      <c r="C648" s="1" t="n">
        <v>45697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44106-2022</t>
        </is>
      </c>
      <c r="B649" s="1" t="n">
        <v>44839</v>
      </c>
      <c r="C649" s="1" t="n">
        <v>45697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44692-2022</t>
        </is>
      </c>
      <c r="B650" s="1" t="n">
        <v>44840</v>
      </c>
      <c r="C650" s="1" t="n">
        <v>45697</v>
      </c>
      <c r="D650" t="inlineStr">
        <is>
          <t>JÖNKÖPINGS LÄN</t>
        </is>
      </c>
      <c r="E650" t="inlineStr">
        <is>
          <t>JÖNKÖPING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45340-2022</t>
        </is>
      </c>
      <c r="B651" s="1" t="n">
        <v>44840</v>
      </c>
      <c r="C651" s="1" t="n">
        <v>45697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45329-2022</t>
        </is>
      </c>
      <c r="B652" s="1" t="n">
        <v>44840</v>
      </c>
      <c r="C652" s="1" t="n">
        <v>45697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44780-2022</t>
        </is>
      </c>
      <c r="B653" s="1" t="n">
        <v>44841</v>
      </c>
      <c r="C653" s="1" t="n">
        <v>45697</v>
      </c>
      <c r="D653" t="inlineStr">
        <is>
          <t>JÖNKÖPINGS LÄN</t>
        </is>
      </c>
      <c r="E653" t="inlineStr">
        <is>
          <t>JÖNKÖPING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45131-2022</t>
        </is>
      </c>
      <c r="B654" s="1" t="n">
        <v>44844</v>
      </c>
      <c r="C654" s="1" t="n">
        <v>45697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45306-2022</t>
        </is>
      </c>
      <c r="B655" s="1" t="n">
        <v>44844</v>
      </c>
      <c r="C655" s="1" t="n">
        <v>45697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45729-2022</t>
        </is>
      </c>
      <c r="B656" s="1" t="n">
        <v>44846</v>
      </c>
      <c r="C656" s="1" t="n">
        <v>45697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45730-2022</t>
        </is>
      </c>
      <c r="B657" s="1" t="n">
        <v>44846</v>
      </c>
      <c r="C657" s="1" t="n">
        <v>45697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45957-2022</t>
        </is>
      </c>
      <c r="B658" s="1" t="n">
        <v>44846</v>
      </c>
      <c r="C658" s="1" t="n">
        <v>45697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45976-2022</t>
        </is>
      </c>
      <c r="B659" s="1" t="n">
        <v>44846</v>
      </c>
      <c r="C659" s="1" t="n">
        <v>45697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46906-2022</t>
        </is>
      </c>
      <c r="B660" s="1" t="n">
        <v>44851</v>
      </c>
      <c r="C660" s="1" t="n">
        <v>45697</v>
      </c>
      <c r="D660" t="inlineStr">
        <is>
          <t>JÖNKÖPINGS LÄN</t>
        </is>
      </c>
      <c r="E660" t="inlineStr">
        <is>
          <t>JÖNKÖPING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47179-2022</t>
        </is>
      </c>
      <c r="B661" s="1" t="n">
        <v>44852</v>
      </c>
      <c r="C661" s="1" t="n">
        <v>45697</v>
      </c>
      <c r="D661" t="inlineStr">
        <is>
          <t>JÖNKÖPINGS LÄN</t>
        </is>
      </c>
      <c r="E661" t="inlineStr">
        <is>
          <t>JÖNKÖPING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47178-2022</t>
        </is>
      </c>
      <c r="B662" s="1" t="n">
        <v>44852</v>
      </c>
      <c r="C662" s="1" t="n">
        <v>45697</v>
      </c>
      <c r="D662" t="inlineStr">
        <is>
          <t>JÖNKÖPINGS LÄN</t>
        </is>
      </c>
      <c r="E662" t="inlineStr">
        <is>
          <t>JÖNKÖPING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47226-2022</t>
        </is>
      </c>
      <c r="B663" s="1" t="n">
        <v>44852</v>
      </c>
      <c r="C663" s="1" t="n">
        <v>45697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47314-2022</t>
        </is>
      </c>
      <c r="B664" s="1" t="n">
        <v>44853</v>
      </c>
      <c r="C664" s="1" t="n">
        <v>45697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47343-2022</t>
        </is>
      </c>
      <c r="B665" s="1" t="n">
        <v>44853</v>
      </c>
      <c r="C665" s="1" t="n">
        <v>45697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48308-2022</t>
        </is>
      </c>
      <c r="B666" s="1" t="n">
        <v>44853</v>
      </c>
      <c r="C666" s="1" t="n">
        <v>45697</v>
      </c>
      <c r="D666" t="inlineStr">
        <is>
          <t>JÖNKÖPINGS LÄN</t>
        </is>
      </c>
      <c r="E666" t="inlineStr">
        <is>
          <t>JÖNKÖPING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48305-2022</t>
        </is>
      </c>
      <c r="B667" s="1" t="n">
        <v>44853</v>
      </c>
      <c r="C667" s="1" t="n">
        <v>45697</v>
      </c>
      <c r="D667" t="inlineStr">
        <is>
          <t>JÖNKÖPINGS LÄN</t>
        </is>
      </c>
      <c r="E667" t="inlineStr">
        <is>
          <t>JÖNKÖPING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47822-2022</t>
        </is>
      </c>
      <c r="B668" s="1" t="n">
        <v>44855</v>
      </c>
      <c r="C668" s="1" t="n">
        <v>45697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48497-2022</t>
        </is>
      </c>
      <c r="B669" s="1" t="n">
        <v>44858</v>
      </c>
      <c r="C669" s="1" t="n">
        <v>45697</v>
      </c>
      <c r="D669" t="inlineStr">
        <is>
          <t>JÖNKÖPINGS LÄN</t>
        </is>
      </c>
      <c r="E669" t="inlineStr">
        <is>
          <t>JÖNKÖPING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48556-2022</t>
        </is>
      </c>
      <c r="B670" s="1" t="n">
        <v>44859</v>
      </c>
      <c r="C670" s="1" t="n">
        <v>45697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49379-2022</t>
        </is>
      </c>
      <c r="B671" s="1" t="n">
        <v>44861</v>
      </c>
      <c r="C671" s="1" t="n">
        <v>45697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49396-2022</t>
        </is>
      </c>
      <c r="B672" s="1" t="n">
        <v>44861</v>
      </c>
      <c r="C672" s="1" t="n">
        <v>45697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49392-2022</t>
        </is>
      </c>
      <c r="B673" s="1" t="n">
        <v>44861</v>
      </c>
      <c r="C673" s="1" t="n">
        <v>45697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49500-2022</t>
        </is>
      </c>
      <c r="B674" s="1" t="n">
        <v>44861</v>
      </c>
      <c r="C674" s="1" t="n">
        <v>45697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50823-2022</t>
        </is>
      </c>
      <c r="B675" s="1" t="n">
        <v>44867</v>
      </c>
      <c r="C675" s="1" t="n">
        <v>45697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50821-2022</t>
        </is>
      </c>
      <c r="B676" s="1" t="n">
        <v>44867</v>
      </c>
      <c r="C676" s="1" t="n">
        <v>45697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51876-2022</t>
        </is>
      </c>
      <c r="B677" s="1" t="n">
        <v>44867</v>
      </c>
      <c r="C677" s="1" t="n">
        <v>45697</v>
      </c>
      <c r="D677" t="inlineStr">
        <is>
          <t>JÖNKÖPINGS LÄN</t>
        </is>
      </c>
      <c r="E677" t="inlineStr">
        <is>
          <t>JÖNKÖPING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51446-2022</t>
        </is>
      </c>
      <c r="B678" s="1" t="n">
        <v>44869</v>
      </c>
      <c r="C678" s="1" t="n">
        <v>45697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52512-2022</t>
        </is>
      </c>
      <c r="B679" s="1" t="n">
        <v>44874</v>
      </c>
      <c r="C679" s="1" t="n">
        <v>45697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52916-2022</t>
        </is>
      </c>
      <c r="B680" s="1" t="n">
        <v>44875</v>
      </c>
      <c r="C680" s="1" t="n">
        <v>45697</v>
      </c>
      <c r="D680" t="inlineStr">
        <is>
          <t>JÖNKÖPINGS LÄN</t>
        </is>
      </c>
      <c r="E680" t="inlineStr">
        <is>
          <t>JÖNKÖPING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53587-2022</t>
        </is>
      </c>
      <c r="B681" s="1" t="n">
        <v>44879</v>
      </c>
      <c r="C681" s="1" t="n">
        <v>45697</v>
      </c>
      <c r="D681" t="inlineStr">
        <is>
          <t>JÖNKÖPINGS LÄN</t>
        </is>
      </c>
      <c r="E681" t="inlineStr">
        <is>
          <t>JÖNKÖPING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53631-2022</t>
        </is>
      </c>
      <c r="B682" s="1" t="n">
        <v>44879</v>
      </c>
      <c r="C682" s="1" t="n">
        <v>45697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54217-2022</t>
        </is>
      </c>
      <c r="B683" s="1" t="n">
        <v>44881</v>
      </c>
      <c r="C683" s="1" t="n">
        <v>45697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54219-2022</t>
        </is>
      </c>
      <c r="B684" s="1" t="n">
        <v>44881</v>
      </c>
      <c r="C684" s="1" t="n">
        <v>45697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54680-2022</t>
        </is>
      </c>
      <c r="B685" s="1" t="n">
        <v>44881</v>
      </c>
      <c r="C685" s="1" t="n">
        <v>45697</v>
      </c>
      <c r="D685" t="inlineStr">
        <is>
          <t>JÖNKÖPINGS LÄN</t>
        </is>
      </c>
      <c r="E685" t="inlineStr">
        <is>
          <t>JÖNKÖPING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54677-2022</t>
        </is>
      </c>
      <c r="B686" s="1" t="n">
        <v>44881</v>
      </c>
      <c r="C686" s="1" t="n">
        <v>45697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54986-2022</t>
        </is>
      </c>
      <c r="B687" s="1" t="n">
        <v>44881</v>
      </c>
      <c r="C687" s="1" t="n">
        <v>45697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Aktiebolag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54451-2022</t>
        </is>
      </c>
      <c r="B688" s="1" t="n">
        <v>44882</v>
      </c>
      <c r="C688" s="1" t="n">
        <v>45697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54298-2022</t>
        </is>
      </c>
      <c r="B689" s="1" t="n">
        <v>44882</v>
      </c>
      <c r="C689" s="1" t="n">
        <v>45697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55282-2022</t>
        </is>
      </c>
      <c r="B690" s="1" t="n">
        <v>44882</v>
      </c>
      <c r="C690" s="1" t="n">
        <v>45697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55300-2022</t>
        </is>
      </c>
      <c r="B691" s="1" t="n">
        <v>44882</v>
      </c>
      <c r="C691" s="1" t="n">
        <v>45697</v>
      </c>
      <c r="D691" t="inlineStr">
        <is>
          <t>JÖNKÖPINGS LÄN</t>
        </is>
      </c>
      <c r="E691" t="inlineStr">
        <is>
          <t>JÖNKÖPING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55294-2022</t>
        </is>
      </c>
      <c r="B692" s="1" t="n">
        <v>44882</v>
      </c>
      <c r="C692" s="1" t="n">
        <v>45697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55305-2022</t>
        </is>
      </c>
      <c r="B693" s="1" t="n">
        <v>44882</v>
      </c>
      <c r="C693" s="1" t="n">
        <v>45697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54913-2022</t>
        </is>
      </c>
      <c r="B694" s="1" t="n">
        <v>44886</v>
      </c>
      <c r="C694" s="1" t="n">
        <v>45697</v>
      </c>
      <c r="D694" t="inlineStr">
        <is>
          <t>JÖNKÖPINGS LÄN</t>
        </is>
      </c>
      <c r="E694" t="inlineStr">
        <is>
          <t>JÖNKÖPING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54876-2022</t>
        </is>
      </c>
      <c r="B695" s="1" t="n">
        <v>44886</v>
      </c>
      <c r="C695" s="1" t="n">
        <v>45697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55704-2022</t>
        </is>
      </c>
      <c r="B696" s="1" t="n">
        <v>44888</v>
      </c>
      <c r="C696" s="1" t="n">
        <v>45697</v>
      </c>
      <c r="D696" t="inlineStr">
        <is>
          <t>JÖNKÖPINGS LÄN</t>
        </is>
      </c>
      <c r="E696" t="inlineStr">
        <is>
          <t>JÖNKÖPING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56131-2022</t>
        </is>
      </c>
      <c r="B697" s="1" t="n">
        <v>44889</v>
      </c>
      <c r="C697" s="1" t="n">
        <v>45697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55912-2022</t>
        </is>
      </c>
      <c r="B698" s="1" t="n">
        <v>44889</v>
      </c>
      <c r="C698" s="1" t="n">
        <v>45697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56525-2022</t>
        </is>
      </c>
      <c r="B699" s="1" t="n">
        <v>44893</v>
      </c>
      <c r="C699" s="1" t="n">
        <v>45697</v>
      </c>
      <c r="D699" t="inlineStr">
        <is>
          <t>JÖNKÖPINGS LÄN</t>
        </is>
      </c>
      <c r="E699" t="inlineStr">
        <is>
          <t>JÖNKÖPING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56593-2022</t>
        </is>
      </c>
      <c r="B700" s="1" t="n">
        <v>44893</v>
      </c>
      <c r="C700" s="1" t="n">
        <v>45697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56599-2022</t>
        </is>
      </c>
      <c r="B701" s="1" t="n">
        <v>44893</v>
      </c>
      <c r="C701" s="1" t="n">
        <v>45697</v>
      </c>
      <c r="D701" t="inlineStr">
        <is>
          <t>JÖNKÖPINGS LÄN</t>
        </is>
      </c>
      <c r="E701" t="inlineStr">
        <is>
          <t>JÖNKÖPING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56569-2022</t>
        </is>
      </c>
      <c r="B702" s="1" t="n">
        <v>44893</v>
      </c>
      <c r="C702" s="1" t="n">
        <v>45697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56585-2022</t>
        </is>
      </c>
      <c r="B703" s="1" t="n">
        <v>44893</v>
      </c>
      <c r="C703" s="1" t="n">
        <v>45697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56588-2022</t>
        </is>
      </c>
      <c r="B704" s="1" t="n">
        <v>44893</v>
      </c>
      <c r="C704" s="1" t="n">
        <v>45697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58351-2022</t>
        </is>
      </c>
      <c r="B705" s="1" t="n">
        <v>44893</v>
      </c>
      <c r="C705" s="1" t="n">
        <v>45697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58346-2022</t>
        </is>
      </c>
      <c r="B706" s="1" t="n">
        <v>44893</v>
      </c>
      <c r="C706" s="1" t="n">
        <v>45697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56747-2022</t>
        </is>
      </c>
      <c r="B707" s="1" t="n">
        <v>44894</v>
      </c>
      <c r="C707" s="1" t="n">
        <v>45697</v>
      </c>
      <c r="D707" t="inlineStr">
        <is>
          <t>JÖNKÖPINGS LÄN</t>
        </is>
      </c>
      <c r="E707" t="inlineStr">
        <is>
          <t>JÖNKÖPING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56856-2022</t>
        </is>
      </c>
      <c r="B708" s="1" t="n">
        <v>44894</v>
      </c>
      <c r="C708" s="1" t="n">
        <v>45697</v>
      </c>
      <c r="D708" t="inlineStr">
        <is>
          <t>JÖNKÖPINGS LÄN</t>
        </is>
      </c>
      <c r="E708" t="inlineStr">
        <is>
          <t>JÖNKÖPING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57752-2022</t>
        </is>
      </c>
      <c r="B709" s="1" t="n">
        <v>44897</v>
      </c>
      <c r="C709" s="1" t="n">
        <v>45697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57620-2022</t>
        </is>
      </c>
      <c r="B710" s="1" t="n">
        <v>44897</v>
      </c>
      <c r="C710" s="1" t="n">
        <v>45697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59293-2022</t>
        </is>
      </c>
      <c r="B711" s="1" t="n">
        <v>44897</v>
      </c>
      <c r="C711" s="1" t="n">
        <v>45697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57850-2022</t>
        </is>
      </c>
      <c r="B712" s="1" t="n">
        <v>44898</v>
      </c>
      <c r="C712" s="1" t="n">
        <v>45697</v>
      </c>
      <c r="D712" t="inlineStr">
        <is>
          <t>JÖNKÖPINGS LÄN</t>
        </is>
      </c>
      <c r="E712" t="inlineStr">
        <is>
          <t>JÖNKÖPING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59269-2022</t>
        </is>
      </c>
      <c r="B713" s="1" t="n">
        <v>44904</v>
      </c>
      <c r="C713" s="1" t="n">
        <v>45697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59312-2022</t>
        </is>
      </c>
      <c r="B714" s="1" t="n">
        <v>44904</v>
      </c>
      <c r="C714" s="1" t="n">
        <v>45697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59110-2022</t>
        </is>
      </c>
      <c r="B715" s="1" t="n">
        <v>44904</v>
      </c>
      <c r="C715" s="1" t="n">
        <v>45697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59195-2022</t>
        </is>
      </c>
      <c r="B716" s="1" t="n">
        <v>44904</v>
      </c>
      <c r="C716" s="1" t="n">
        <v>45697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59216-2022</t>
        </is>
      </c>
      <c r="B717" s="1" t="n">
        <v>44904</v>
      </c>
      <c r="C717" s="1" t="n">
        <v>45697</v>
      </c>
      <c r="D717" t="inlineStr">
        <is>
          <t>JÖNKÖPINGS LÄN</t>
        </is>
      </c>
      <c r="E717" t="inlineStr">
        <is>
          <t>JÖNKÖPING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59294-2022</t>
        </is>
      </c>
      <c r="B718" s="1" t="n">
        <v>44904</v>
      </c>
      <c r="C718" s="1" t="n">
        <v>45697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59218-2022</t>
        </is>
      </c>
      <c r="B719" s="1" t="n">
        <v>44904</v>
      </c>
      <c r="C719" s="1" t="n">
        <v>45697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59318-2022</t>
        </is>
      </c>
      <c r="B720" s="1" t="n">
        <v>44904</v>
      </c>
      <c r="C720" s="1" t="n">
        <v>45697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59539-2022</t>
        </is>
      </c>
      <c r="B721" s="1" t="n">
        <v>44907</v>
      </c>
      <c r="C721" s="1" t="n">
        <v>45697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60512-2022</t>
        </is>
      </c>
      <c r="B722" s="1" t="n">
        <v>44911</v>
      </c>
      <c r="C722" s="1" t="n">
        <v>45697</v>
      </c>
      <c r="D722" t="inlineStr">
        <is>
          <t>JÖNKÖPINGS LÄN</t>
        </is>
      </c>
      <c r="E722" t="inlineStr">
        <is>
          <t>JÖNKÖPING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60522-2022</t>
        </is>
      </c>
      <c r="B723" s="1" t="n">
        <v>44911</v>
      </c>
      <c r="C723" s="1" t="n">
        <v>45697</v>
      </c>
      <c r="D723" t="inlineStr">
        <is>
          <t>JÖNKÖPINGS LÄN</t>
        </is>
      </c>
      <c r="E723" t="inlineStr">
        <is>
          <t>JÖNKÖPING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62332-2022</t>
        </is>
      </c>
      <c r="B724" s="1" t="n">
        <v>44923</v>
      </c>
      <c r="C724" s="1" t="n">
        <v>45697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1185-2023</t>
        </is>
      </c>
      <c r="B725" s="1" t="n">
        <v>44930</v>
      </c>
      <c r="C725" s="1" t="n">
        <v>45697</v>
      </c>
      <c r="D725" t="inlineStr">
        <is>
          <t>JÖNKÖPINGS LÄN</t>
        </is>
      </c>
      <c r="E725" t="inlineStr">
        <is>
          <t>JÖNKÖPING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1184-2023</t>
        </is>
      </c>
      <c r="B726" s="1" t="n">
        <v>44930</v>
      </c>
      <c r="C726" s="1" t="n">
        <v>45697</v>
      </c>
      <c r="D726" t="inlineStr">
        <is>
          <t>JÖNKÖPINGS LÄN</t>
        </is>
      </c>
      <c r="E726" t="inlineStr">
        <is>
          <t>JÖNKÖPING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1167-2023</t>
        </is>
      </c>
      <c r="B727" s="1" t="n">
        <v>44930</v>
      </c>
      <c r="C727" s="1" t="n">
        <v>45697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982-2023</t>
        </is>
      </c>
      <c r="B728" s="1" t="n">
        <v>44935</v>
      </c>
      <c r="C728" s="1" t="n">
        <v>45697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1676-2023</t>
        </is>
      </c>
      <c r="B729" s="1" t="n">
        <v>44935</v>
      </c>
      <c r="C729" s="1" t="n">
        <v>45697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1298-2023</t>
        </is>
      </c>
      <c r="B730" s="1" t="n">
        <v>44936</v>
      </c>
      <c r="C730" s="1" t="n">
        <v>45697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1306-2023</t>
        </is>
      </c>
      <c r="B731" s="1" t="n">
        <v>44936</v>
      </c>
      <c r="C731" s="1" t="n">
        <v>45697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1580-2023</t>
        </is>
      </c>
      <c r="B732" s="1" t="n">
        <v>44937</v>
      </c>
      <c r="C732" s="1" t="n">
        <v>45697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Kommuner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1756-2023</t>
        </is>
      </c>
      <c r="B733" s="1" t="n">
        <v>44938</v>
      </c>
      <c r="C733" s="1" t="n">
        <v>45697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1752-2023</t>
        </is>
      </c>
      <c r="B734" s="1" t="n">
        <v>44938</v>
      </c>
      <c r="C734" s="1" t="n">
        <v>45697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2454-2023</t>
        </is>
      </c>
      <c r="B735" s="1" t="n">
        <v>44943</v>
      </c>
      <c r="C735" s="1" t="n">
        <v>45697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2513-2023</t>
        </is>
      </c>
      <c r="B736" s="1" t="n">
        <v>44943</v>
      </c>
      <c r="C736" s="1" t="n">
        <v>45697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2462-2023</t>
        </is>
      </c>
      <c r="B737" s="1" t="n">
        <v>44943</v>
      </c>
      <c r="C737" s="1" t="n">
        <v>45697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2453-2023</t>
        </is>
      </c>
      <c r="B738" s="1" t="n">
        <v>44943</v>
      </c>
      <c r="C738" s="1" t="n">
        <v>45697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2461-2023</t>
        </is>
      </c>
      <c r="B739" s="1" t="n">
        <v>44943</v>
      </c>
      <c r="C739" s="1" t="n">
        <v>45697</v>
      </c>
      <c r="D739" t="inlineStr">
        <is>
          <t>JÖNKÖPINGS LÄN</t>
        </is>
      </c>
      <c r="E739" t="inlineStr">
        <is>
          <t>JÖNKÖPING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2470-2023</t>
        </is>
      </c>
      <c r="B740" s="1" t="n">
        <v>44943</v>
      </c>
      <c r="C740" s="1" t="n">
        <v>45697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2487-2023</t>
        </is>
      </c>
      <c r="B741" s="1" t="n">
        <v>44943</v>
      </c>
      <c r="C741" s="1" t="n">
        <v>45697</v>
      </c>
      <c r="D741" t="inlineStr">
        <is>
          <t>JÖNKÖPINGS LÄN</t>
        </is>
      </c>
      <c r="E741" t="inlineStr">
        <is>
          <t>JÖNKÖPING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2464-2023</t>
        </is>
      </c>
      <c r="B742" s="1" t="n">
        <v>44943</v>
      </c>
      <c r="C742" s="1" t="n">
        <v>45697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2636-2023</t>
        </is>
      </c>
      <c r="B743" s="1" t="n">
        <v>44944</v>
      </c>
      <c r="C743" s="1" t="n">
        <v>45697</v>
      </c>
      <c r="D743" t="inlineStr">
        <is>
          <t>JÖNKÖPINGS LÄN</t>
        </is>
      </c>
      <c r="E743" t="inlineStr">
        <is>
          <t>JÖNKÖPING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3381-2023</t>
        </is>
      </c>
      <c r="B744" s="1" t="n">
        <v>44949</v>
      </c>
      <c r="C744" s="1" t="n">
        <v>45697</v>
      </c>
      <c r="D744" t="inlineStr">
        <is>
          <t>JÖNKÖPINGS LÄN</t>
        </is>
      </c>
      <c r="E744" t="inlineStr">
        <is>
          <t>JÖNKÖPING</t>
        </is>
      </c>
      <c r="G744" t="n">
        <v>14.5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3516-2023</t>
        </is>
      </c>
      <c r="B745" s="1" t="n">
        <v>44950</v>
      </c>
      <c r="C745" s="1" t="n">
        <v>45697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3522-2023</t>
        </is>
      </c>
      <c r="B746" s="1" t="n">
        <v>44950</v>
      </c>
      <c r="C746" s="1" t="n">
        <v>45697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3520-2023</t>
        </is>
      </c>
      <c r="B747" s="1" t="n">
        <v>44950</v>
      </c>
      <c r="C747" s="1" t="n">
        <v>45697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3519-2023</t>
        </is>
      </c>
      <c r="B748" s="1" t="n">
        <v>44950</v>
      </c>
      <c r="C748" s="1" t="n">
        <v>45697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3827-2023</t>
        </is>
      </c>
      <c r="B749" s="1" t="n">
        <v>44951</v>
      </c>
      <c r="C749" s="1" t="n">
        <v>45697</v>
      </c>
      <c r="D749" t="inlineStr">
        <is>
          <t>JÖNKÖPINGS LÄN</t>
        </is>
      </c>
      <c r="E749" t="inlineStr">
        <is>
          <t>JÖNKÖPING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3829-2023</t>
        </is>
      </c>
      <c r="B750" s="1" t="n">
        <v>44951</v>
      </c>
      <c r="C750" s="1" t="n">
        <v>45697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4643-2023</t>
        </is>
      </c>
      <c r="B751" s="1" t="n">
        <v>44957</v>
      </c>
      <c r="C751" s="1" t="n">
        <v>45697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5205-2023</t>
        </is>
      </c>
      <c r="B752" s="1" t="n">
        <v>44959</v>
      </c>
      <c r="C752" s="1" t="n">
        <v>45697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5193-2023</t>
        </is>
      </c>
      <c r="B753" s="1" t="n">
        <v>44959</v>
      </c>
      <c r="C753" s="1" t="n">
        <v>45697</v>
      </c>
      <c r="D753" t="inlineStr">
        <is>
          <t>JÖNKÖPINGS LÄN</t>
        </is>
      </c>
      <c r="E753" t="inlineStr">
        <is>
          <t>JÖNKÖPING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5199-2023</t>
        </is>
      </c>
      <c r="B754" s="1" t="n">
        <v>44959</v>
      </c>
      <c r="C754" s="1" t="n">
        <v>45697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5898-2023</t>
        </is>
      </c>
      <c r="B755" s="1" t="n">
        <v>44963</v>
      </c>
      <c r="C755" s="1" t="n">
        <v>45697</v>
      </c>
      <c r="D755" t="inlineStr">
        <is>
          <t>JÖNKÖPINGS LÄN</t>
        </is>
      </c>
      <c r="E755" t="inlineStr">
        <is>
          <t>JÖNKÖPING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5901-2023</t>
        </is>
      </c>
      <c r="B756" s="1" t="n">
        <v>44963</v>
      </c>
      <c r="C756" s="1" t="n">
        <v>45697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6409-2023</t>
        </is>
      </c>
      <c r="B757" s="1" t="n">
        <v>44965</v>
      </c>
      <c r="C757" s="1" t="n">
        <v>45697</v>
      </c>
      <c r="D757" t="inlineStr">
        <is>
          <t>JÖNKÖPINGS LÄN</t>
        </is>
      </c>
      <c r="E757" t="inlineStr">
        <is>
          <t>JÖNKÖPING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6428-2023</t>
        </is>
      </c>
      <c r="B758" s="1" t="n">
        <v>44965</v>
      </c>
      <c r="C758" s="1" t="n">
        <v>45697</v>
      </c>
      <c r="D758" t="inlineStr">
        <is>
          <t>JÖNKÖPINGS LÄN</t>
        </is>
      </c>
      <c r="E758" t="inlineStr">
        <is>
          <t>JÖNKÖPING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6639-2023</t>
        </is>
      </c>
      <c r="B759" s="1" t="n">
        <v>44966</v>
      </c>
      <c r="C759" s="1" t="n">
        <v>45697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6601-2023</t>
        </is>
      </c>
      <c r="B760" s="1" t="n">
        <v>44966</v>
      </c>
      <c r="C760" s="1" t="n">
        <v>45697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6634-2023</t>
        </is>
      </c>
      <c r="B761" s="1" t="n">
        <v>44966</v>
      </c>
      <c r="C761" s="1" t="n">
        <v>45697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6970-2023</t>
        </is>
      </c>
      <c r="B762" s="1" t="n">
        <v>44967</v>
      </c>
      <c r="C762" s="1" t="n">
        <v>45697</v>
      </c>
      <c r="D762" t="inlineStr">
        <is>
          <t>JÖNKÖPINGS LÄN</t>
        </is>
      </c>
      <c r="E762" t="inlineStr">
        <is>
          <t>JÖNKÖPING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7972-2023</t>
        </is>
      </c>
      <c r="B763" s="1" t="n">
        <v>44973</v>
      </c>
      <c r="C763" s="1" t="n">
        <v>45697</v>
      </c>
      <c r="D763" t="inlineStr">
        <is>
          <t>JÖNKÖPINGS LÄN</t>
        </is>
      </c>
      <c r="E763" t="inlineStr">
        <is>
          <t>JÖNKÖPING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8983-2023</t>
        </is>
      </c>
      <c r="B764" s="1" t="n">
        <v>44974</v>
      </c>
      <c r="C764" s="1" t="n">
        <v>45697</v>
      </c>
      <c r="D764" t="inlineStr">
        <is>
          <t>JÖNKÖPINGS LÄN</t>
        </is>
      </c>
      <c r="E764" t="inlineStr">
        <is>
          <t>JÖNKÖPING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8346-2023</t>
        </is>
      </c>
      <c r="B765" s="1" t="n">
        <v>44977</v>
      </c>
      <c r="C765" s="1" t="n">
        <v>45697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8347-2023</t>
        </is>
      </c>
      <c r="B766" s="1" t="n">
        <v>44977</v>
      </c>
      <c r="C766" s="1" t="n">
        <v>45697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9974-2023</t>
        </is>
      </c>
      <c r="B767" s="1" t="n">
        <v>44979</v>
      </c>
      <c r="C767" s="1" t="n">
        <v>45697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9437-2023</t>
        </is>
      </c>
      <c r="B768" s="1" t="n">
        <v>44981</v>
      </c>
      <c r="C768" s="1" t="n">
        <v>45697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9653-2023</t>
        </is>
      </c>
      <c r="B769" s="1" t="n">
        <v>44984</v>
      </c>
      <c r="C769" s="1" t="n">
        <v>45697</v>
      </c>
      <c r="D769" t="inlineStr">
        <is>
          <t>JÖNKÖPINGS LÄN</t>
        </is>
      </c>
      <c r="E769" t="inlineStr">
        <is>
          <t>JÖNKÖPING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9897-2023</t>
        </is>
      </c>
      <c r="B770" s="1" t="n">
        <v>44985</v>
      </c>
      <c r="C770" s="1" t="n">
        <v>45697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9924-2023</t>
        </is>
      </c>
      <c r="B771" s="1" t="n">
        <v>44985</v>
      </c>
      <c r="C771" s="1" t="n">
        <v>45697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10202-2023</t>
        </is>
      </c>
      <c r="B772" s="1" t="n">
        <v>44986</v>
      </c>
      <c r="C772" s="1" t="n">
        <v>45697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10563-2023</t>
        </is>
      </c>
      <c r="B773" s="1" t="n">
        <v>44988</v>
      </c>
      <c r="C773" s="1" t="n">
        <v>45697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10993-2023</t>
        </is>
      </c>
      <c r="B774" s="1" t="n">
        <v>44991</v>
      </c>
      <c r="C774" s="1" t="n">
        <v>45697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10870-2023</t>
        </is>
      </c>
      <c r="B775" s="1" t="n">
        <v>44991</v>
      </c>
      <c r="C775" s="1" t="n">
        <v>45697</v>
      </c>
      <c r="D775" t="inlineStr">
        <is>
          <t>JÖNKÖPINGS LÄN</t>
        </is>
      </c>
      <c r="E775" t="inlineStr">
        <is>
          <t>JÖNKÖPING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10992-2023</t>
        </is>
      </c>
      <c r="B776" s="1" t="n">
        <v>44991</v>
      </c>
      <c r="C776" s="1" t="n">
        <v>45697</v>
      </c>
      <c r="D776" t="inlineStr">
        <is>
          <t>JÖNKÖPINGS LÄN</t>
        </is>
      </c>
      <c r="E776" t="inlineStr">
        <is>
          <t>JÖNKÖPING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11255-2023</t>
        </is>
      </c>
      <c r="B777" s="1" t="n">
        <v>44992</v>
      </c>
      <c r="C777" s="1" t="n">
        <v>45697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11260-2023</t>
        </is>
      </c>
      <c r="B778" s="1" t="n">
        <v>44992</v>
      </c>
      <c r="C778" s="1" t="n">
        <v>45697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HYPERLINK("https://klasma.github.io/Logging_0680/knärot/A 11260-2023 karta knärot.png", "A 11260-2023")</f>
        <v/>
      </c>
      <c r="V778">
        <f>HYPERLINK("https://klasma.github.io/Logging_0680/klagomål/A 11260-2023 FSC-klagomål.docx", "A 11260-2023")</f>
        <v/>
      </c>
      <c r="W778">
        <f>HYPERLINK("https://klasma.github.io/Logging_0680/klagomålsmail/A 11260-2023 FSC-klagomål mail.docx", "A 11260-2023")</f>
        <v/>
      </c>
      <c r="X778">
        <f>HYPERLINK("https://klasma.github.io/Logging_0680/tillsyn/A 11260-2023 tillsynsbegäran.docx", "A 11260-2023")</f>
        <v/>
      </c>
      <c r="Y778">
        <f>HYPERLINK("https://klasma.github.io/Logging_0680/tillsynsmail/A 11260-2023 tillsynsbegäran mail.docx", "A 11260-2023")</f>
        <v/>
      </c>
    </row>
    <row r="779" ht="15" customHeight="1">
      <c r="A779" t="inlineStr">
        <is>
          <t>A 11268-2023</t>
        </is>
      </c>
      <c r="B779" s="1" t="n">
        <v>44992</v>
      </c>
      <c r="C779" s="1" t="n">
        <v>45697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11666-2023</t>
        </is>
      </c>
      <c r="B780" s="1" t="n">
        <v>44992</v>
      </c>
      <c r="C780" s="1" t="n">
        <v>45697</v>
      </c>
      <c r="D780" t="inlineStr">
        <is>
          <t>JÖNKÖPINGS LÄN</t>
        </is>
      </c>
      <c r="E780" t="inlineStr">
        <is>
          <t>JÖNKÖPING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45697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45697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45697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45697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45697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45697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45697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45697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45697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45697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45697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45697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45697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45697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45697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45697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45697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45697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45697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45697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45697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45697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45697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45697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45697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45697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45697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45697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45697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45697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45697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45697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45697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45697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45697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45697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45697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45697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45697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45697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45697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45697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45697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45697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45697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45697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45697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45697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45697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45697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45697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45697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45697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45697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45697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45697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45697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45697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45697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45697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45697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45697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45697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45697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45697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45697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45697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45697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45697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45697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45697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45697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45697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45697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45697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45697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45697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45697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45697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45697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45697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45697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45697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45697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45697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45697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45697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45697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45697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45697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45697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45697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45697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45697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45697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45697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45697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45697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45697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45697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45697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45697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45697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45697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45697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45697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45697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45697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45697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45697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45697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45697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45697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45697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45697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45697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45697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45697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45697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45697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45697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45697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45697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45697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45697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45697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45697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45697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45697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45697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45697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45697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45697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45697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45697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45697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45697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45697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45697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45697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45697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45697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45697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45697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45697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45697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45697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45697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45697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45697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45697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45697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45697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45697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45697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45697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45697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45697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45697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45697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45697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45697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45697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45697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45697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45697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45697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45697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45697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45697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45697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45697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45697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45697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45697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45697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45697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45697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45697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45697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45697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45697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45697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45697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45697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45697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45697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45697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45697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45697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45697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45697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45697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45697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45697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45697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45697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45697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45697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45697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45697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45697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45697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45697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45697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45697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45697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45697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45697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45697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45697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45697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45697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45697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45697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45697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45697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45697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45697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45697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45697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45697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45697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45697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45697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45697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45697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45697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45697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45697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45697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45697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45697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45697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45697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45697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45697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45697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45697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45697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45697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45697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45697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45697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45697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45697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45697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45697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45697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45697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45697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45697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45697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45697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45697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45697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45697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45697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45697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45697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45697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45697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45697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45697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45697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45697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45697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45697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45697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45697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45697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45697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45697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45697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45697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45697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45697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45697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45697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45697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45697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45697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45697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45697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45697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45697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45697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45697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45697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45697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45697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45697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45697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45697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45697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45697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45697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45697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45697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45697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45697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45697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45697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45697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45697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45697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45697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45697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45697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45697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45697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45697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45697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45697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45697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45697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45697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45697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45697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45697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45697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45697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45697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45697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45697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45697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45697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45697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45697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45697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45697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45697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45697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45697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45697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45697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45697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45697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45697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45697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45697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45697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45697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45697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45697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45697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45697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45697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45697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45697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45697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45697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45697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45697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45697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45697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45697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45697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45697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45697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45697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45697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45697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45697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45697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45697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45697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45697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45697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45697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45697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45697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45697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45697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45697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45697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45697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45697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45697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45697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45697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45697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45697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45697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45697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45697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45697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45697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45697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45697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45697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45697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45697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45697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45697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45697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45697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45697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45697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45697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45697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45697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45697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45697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45697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45697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45697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45697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45697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45697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45697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45697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45697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45697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45697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45697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45697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45697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45697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45697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45697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45697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45697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45697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45697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45697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45697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45697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45697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45697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45697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45697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45697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45697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45697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45697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45697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45697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45697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45697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45697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45697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45697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45697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45697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45697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45697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45697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45697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45697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45697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45697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45697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45697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45697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45697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45697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45697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45697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45697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45697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45697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45697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45697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45697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45697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45697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45697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45697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45697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45697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45697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45697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45697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45697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45697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45697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45697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45697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45697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45697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45697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45697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45697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45697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45697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45697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45697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45697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45697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45697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45697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45697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45697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45697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45697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45697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45697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45697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45697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45697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45697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45697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45697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45697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45697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45697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45697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45697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45697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45697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45697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45697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45697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45697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45697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45697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45697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45697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45697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45697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45697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45697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45697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45697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45697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45697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45697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45697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45697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45697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45697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45697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45697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45697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45697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45697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45697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45697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45697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45697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45697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45697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45697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45697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45697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45697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45697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45697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45697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45697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45697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45697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45697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45697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45697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45697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45697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45697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45697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45697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45697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45697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45697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45697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45697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45697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45697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45697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45697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45697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45697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45697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45697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45697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45697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45697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45697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45697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45697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45697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45697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45697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45697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45697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45697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45697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45697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45697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45697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45697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45697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45697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45697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45697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45697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45697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45697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45697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45697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45697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45697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45697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45697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45697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45697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45697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45697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45697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45697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45697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1102-2025</t>
        </is>
      </c>
      <c r="B1423" s="1" t="n">
        <v>45666</v>
      </c>
      <c r="C1423" s="1" t="n">
        <v>45697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1061-2025</t>
        </is>
      </c>
      <c r="B1424" s="1" t="n">
        <v>45666</v>
      </c>
      <c r="C1424" s="1" t="n">
        <v>45697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45697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1657-2025</t>
        </is>
      </c>
      <c r="B1426" s="1" t="n">
        <v>45670</v>
      </c>
      <c r="C1426" s="1" t="n">
        <v>45697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45697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1782-2025</t>
        </is>
      </c>
      <c r="B1428" s="1" t="n">
        <v>45671</v>
      </c>
      <c r="C1428" s="1" t="n">
        <v>45697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1780-2025</t>
        </is>
      </c>
      <c r="B1429" s="1" t="n">
        <v>45671</v>
      </c>
      <c r="C1429" s="1" t="n">
        <v>45697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45697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45697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45697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3358-2025</t>
        </is>
      </c>
      <c r="B1433" s="1" t="n">
        <v>45680</v>
      </c>
      <c r="C1433" s="1" t="n">
        <v>45697</v>
      </c>
      <c r="D1433" t="inlineStr">
        <is>
          <t>JÖNKÖPINGS LÄN</t>
        </is>
      </c>
      <c r="E1433" t="inlineStr">
        <is>
          <t>JÖNKÖPING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45697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45697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3360-2025</t>
        </is>
      </c>
      <c r="B1436" s="1" t="n">
        <v>45680</v>
      </c>
      <c r="C1436" s="1" t="n">
        <v>45697</v>
      </c>
      <c r="D1436" t="inlineStr">
        <is>
          <t>JÖNKÖPINGS LÄN</t>
        </is>
      </c>
      <c r="E1436" t="inlineStr">
        <is>
          <t>JÖNKÖPING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3364-2025</t>
        </is>
      </c>
      <c r="B1437" s="1" t="n">
        <v>45680</v>
      </c>
      <c r="C1437" s="1" t="n">
        <v>45697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3724-2025</t>
        </is>
      </c>
      <c r="B1438" s="1" t="n">
        <v>45681</v>
      </c>
      <c r="C1438" s="1" t="n">
        <v>45697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45697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3706-2025</t>
        </is>
      </c>
      <c r="B1440" s="1" t="n">
        <v>45681</v>
      </c>
      <c r="C1440" s="1" t="n">
        <v>45697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3730-2025</t>
        </is>
      </c>
      <c r="B1441" s="1" t="n">
        <v>45681</v>
      </c>
      <c r="C1441" s="1" t="n">
        <v>45697</v>
      </c>
      <c r="D1441" t="inlineStr">
        <is>
          <t>JÖNKÖPINGS LÄN</t>
        </is>
      </c>
      <c r="E1441" t="inlineStr">
        <is>
          <t>JÖNKÖPING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45697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45697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45697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45697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45697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4665-2025</t>
        </is>
      </c>
      <c r="B1447" s="1" t="n">
        <v>45687</v>
      </c>
      <c r="C1447" s="1" t="n">
        <v>45697</v>
      </c>
      <c r="D1447" t="inlineStr">
        <is>
          <t>JÖNKÖPINGS LÄN</t>
        </is>
      </c>
      <c r="E1447" t="inlineStr">
        <is>
          <t>JÖNKÖPING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45697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45697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5123-2025</t>
        </is>
      </c>
      <c r="B1450" s="1" t="n">
        <v>45691</v>
      </c>
      <c r="C1450" s="1" t="n">
        <v>45697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5381-2025</t>
        </is>
      </c>
      <c r="B1451" s="1" t="n">
        <v>45692</v>
      </c>
      <c r="C1451" s="1" t="n">
        <v>45697</v>
      </c>
      <c r="D1451" t="inlineStr">
        <is>
          <t>JÖNKÖPINGS LÄN</t>
        </is>
      </c>
      <c r="E1451" t="inlineStr">
        <is>
          <t>JÖNKÖPING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5641-2025</t>
        </is>
      </c>
      <c r="B1452" s="1" t="n">
        <v>45693</v>
      </c>
      <c r="C1452" s="1" t="n">
        <v>45697</v>
      </c>
      <c r="D1452" t="inlineStr">
        <is>
          <t>JÖNKÖPINGS LÄN</t>
        </is>
      </c>
      <c r="E1452" t="inlineStr">
        <is>
          <t>JÖNKÖPING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5661-2025</t>
        </is>
      </c>
      <c r="B1453" s="1" t="n">
        <v>45693</v>
      </c>
      <c r="C1453" s="1" t="n">
        <v>45697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5585-2025</t>
        </is>
      </c>
      <c r="B1454" s="1" t="n">
        <v>45693</v>
      </c>
      <c r="C1454" s="1" t="n">
        <v>45697</v>
      </c>
      <c r="D1454" t="inlineStr">
        <is>
          <t>JÖNKÖPINGS LÄN</t>
        </is>
      </c>
      <c r="E1454" t="inlineStr">
        <is>
          <t>JÖNKÖPING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2025-02-09T17:12:52Z</dcterms:created>
  <dcterms:modified xmlns:dcterms="http://purl.org/dc/terms/" xmlns:xsi="http://www.w3.org/2001/XMLSchema-instance" xsi:type="dcterms:W3CDTF">2025-02-09T17:12:53Z</dcterms:modified>
</cp:coreProperties>
</file>