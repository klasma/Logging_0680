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46299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46299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46299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46299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46299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46299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46299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46299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46299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46299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46299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46299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46299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46299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46299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46299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46299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46299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46299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46299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46299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46299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46299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46299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46299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46299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46299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46299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46299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46299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46299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46299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46299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46299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46299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46299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46299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46299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46299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46299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46299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46299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46299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5291-2024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45331</v>
      </c>
      <c r="E54" s="1" t="n">
        <v>46299</v>
      </c>
      <c r="F54" t="inlineStr">
        <is>
          <t>JÖNKÖPINGS LÄN</t>
        </is>
      </c>
      <c r="G54" t="inlineStr">
        <is>
          <t>JÖNKÖPING</t>
        </is>
      </c>
      <c r="I54" t="n">
        <v>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Jungfrulin
Grönvit nattviol</t>
        </is>
      </c>
      <c r="W54">
        <f>HYPERLINK("https://klasma.github.io/Logging_0680/artfynd/A 5291-2024 artfynd.xlsx", "A 5291-2024")</f>
        <v/>
      </c>
      <c r="X54">
        <f>HYPERLINK("https://klasma.github.io/Logging_0680/kartor/A 5291-2024 karta.png", "A 5291-2024")</f>
        <v/>
      </c>
      <c r="Y54">
        <f>HYPERLINK("https://klasma.github.io/Logging_0680/kartor_geotiff/A 5291-2024 georefererad karta.tif", "A 5291-2024")</f>
        <v/>
      </c>
      <c r="AA54">
        <f>HYPERLINK("https://klasma.github.io/Logging_0680/klagomål/A 5291-2024 FSC-klagomål.docx", "A 5291-2024")</f>
        <v/>
      </c>
      <c r="AB54">
        <f>HYPERLINK("https://klasma.github.io/Logging_0680/klagomålsmail/A 5291-2024 FSC-klagomål mail.docx", "A 5291-2024")</f>
        <v/>
      </c>
      <c r="AC54">
        <f>HYPERLINK("https://klasma.github.io/Logging_0680/tillsyn/A 5291-2024 tillsynsbegäran.docx", "A 5291-2024")</f>
        <v/>
      </c>
      <c r="AD54">
        <f>HYPERLINK("https://klasma.github.io/Logging_0680/tillsynsmail/A 5291-2024 tillsynsbegäran mail.docx", "A 5291-2024")</f>
        <v/>
      </c>
    </row>
    <row r="55" ht="15" customHeight="1">
      <c r="A55" t="inlineStr">
        <is>
          <t>A 3361-2025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46299</v>
      </c>
      <c r="F55" t="inlineStr">
        <is>
          <t>JÖNKÖPINGS LÄN</t>
        </is>
      </c>
      <c r="G55" t="inlineStr">
        <is>
          <t>JÖNKÖPING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Vårärt
Blåsippa</t>
        </is>
      </c>
      <c r="W55">
        <f>HYPERLINK("https://klasma.github.io/Logging_0680/artfynd/A 3361-2025 artfynd.xlsx", "A 3361-2025")</f>
        <v/>
      </c>
      <c r="X55">
        <f>HYPERLINK("https://klasma.github.io/Logging_0680/kartor/A 3361-2025 karta.png", "A 3361-2025")</f>
        <v/>
      </c>
      <c r="Y55">
        <f>HYPERLINK("https://klasma.github.io/Logging_0680/kartor_geotiff/A 3361-2025 georefererad karta.tif", "A 3361-2025")</f>
        <v/>
      </c>
      <c r="AA55">
        <f>HYPERLINK("https://klasma.github.io/Logging_0680/klagomål/A 3361-2025 FSC-klagomål.docx", "A 3361-2025")</f>
        <v/>
      </c>
      <c r="AB55">
        <f>HYPERLINK("https://klasma.github.io/Logging_0680/klagomålsmail/A 3361-2025 FSC-klagomål mail.docx", "A 3361-2025")</f>
        <v/>
      </c>
      <c r="AC55">
        <f>HYPERLINK("https://klasma.github.io/Logging_0680/tillsyn/A 3361-2025 tillsynsbegäran.docx", "A 3361-2025")</f>
        <v/>
      </c>
      <c r="AD55">
        <f>HYPERLINK("https://klasma.github.io/Logging_0680/tillsynsmail/A 3361-2025 tillsynsbegäran mail.docx", "A 3361-2025")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46299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46299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46299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46299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46299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46299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Solvända
Fällmossa</t>
        </is>
      </c>
      <c r="W61">
        <f>HYPERLINK("https://klasma.github.io/Logging_0680/artfynd/A 2486-2023 artfynd.xlsx", "A 2486-2023")</f>
        <v/>
      </c>
      <c r="X61">
        <f>HYPERLINK("https://klasma.github.io/Logging_0680/kartor/A 2486-2023 karta.png", "A 2486-2023")</f>
        <v/>
      </c>
      <c r="Y61">
        <f>HYPERLINK("https://klasma.github.io/Logging_0680/kartor_geotiff/A 2486-2023 georefererad karta.tif", "A 2486-2023")</f>
        <v/>
      </c>
      <c r="AA61">
        <f>HYPERLINK("https://klasma.github.io/Logging_0680/klagomål/A 2486-2023 FSC-klagomål.docx", "A 2486-2023")</f>
        <v/>
      </c>
      <c r="AB61">
        <f>HYPERLINK("https://klasma.github.io/Logging_0680/klagomålsmail/A 2486-2023 FSC-klagomål mail.docx", "A 2486-2023")</f>
        <v/>
      </c>
      <c r="AC61">
        <f>HYPERLINK("https://klasma.github.io/Logging_0680/tillsyn/A 2486-2023 tillsynsbegäran.docx", "A 2486-2023")</f>
        <v/>
      </c>
      <c r="AD61">
        <f>HYPERLINK("https://klasma.github.io/Logging_0680/tillsynsmail/A 2486-2023 tillsynsbegäran mail.docx", "A 2486-2023")</f>
        <v/>
      </c>
    </row>
    <row r="62" ht="15" customHeight="1">
      <c r="A62" t="inlineStr">
        <is>
          <t>A 51183-2024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46299</v>
      </c>
      <c r="F62" t="inlineStr">
        <is>
          <t>JÖNKÖPINGS LÄN</t>
        </is>
      </c>
      <c r="G62" t="inlineStr">
        <is>
          <t>JÖNKÖPING</t>
        </is>
      </c>
      <c r="I62" t="n">
        <v>5.9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Sångsvan
Trana</t>
        </is>
      </c>
      <c r="W62">
        <f>HYPERLINK("https://klasma.github.io/Logging_0680/artfynd/A 51183-2024 artfynd.xlsx", "A 51183-2024")</f>
        <v/>
      </c>
      <c r="X62">
        <f>HYPERLINK("https://klasma.github.io/Logging_0680/kartor/A 51183-2024 karta.png", "A 51183-2024")</f>
        <v/>
      </c>
      <c r="Y62">
        <f>HYPERLINK("https://klasma.github.io/Logging_0680/kartor_geotiff/A 51183-2024 georefererad karta.tif", "A 51183-2024")</f>
        <v/>
      </c>
      <c r="AA62">
        <f>HYPERLINK("https://klasma.github.io/Logging_0680/klagomål/A 51183-2024 FSC-klagomål.docx", "A 51183-2024")</f>
        <v/>
      </c>
      <c r="AB62">
        <f>HYPERLINK("https://klasma.github.io/Logging_0680/klagomålsmail/A 51183-2024 FSC-klagomål mail.docx", "A 51183-2024")</f>
        <v/>
      </c>
      <c r="AC62">
        <f>HYPERLINK("https://klasma.github.io/Logging_0680/tillsyn/A 51183-2024 tillsynsbegäran.docx", "A 51183-2024")</f>
        <v/>
      </c>
      <c r="AD62">
        <f>HYPERLINK("https://klasma.github.io/Logging_0680/tillsynsmail/A 51183-2024 tillsynsbegäran mail.docx", "A 51183-2024")</f>
        <v/>
      </c>
      <c r="AE62">
        <f>HYPERLINK("https://klasma.github.io/Logging_0680/fåglar/A 51183-2024 prioriterade fågelarter.docx", "A 51183-2024")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46299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46299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46299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46299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46299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46299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10991-2023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46299</v>
      </c>
      <c r="F69" t="inlineStr">
        <is>
          <t>JÖNKÖPINGS LÄN</t>
        </is>
      </c>
      <c r="G69" t="inlineStr">
        <is>
          <t>JÖNKÖPING</t>
        </is>
      </c>
      <c r="I69" t="n">
        <v>0.7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Gulnål
Kornig nållav</t>
        </is>
      </c>
      <c r="W69">
        <f>HYPERLINK("https://klasma.github.io/Logging_0680/artfynd/A 10991-2023 artfynd.xlsx", "A 10991-2023")</f>
        <v/>
      </c>
      <c r="X69">
        <f>HYPERLINK("https://klasma.github.io/Logging_0680/kartor/A 10991-2023 karta.png", "A 10991-2023")</f>
        <v/>
      </c>
      <c r="Y69">
        <f>HYPERLINK("https://klasma.github.io/Logging_0680/kartor_geotiff/A 10991-2023 georefererad karta.tif", "A 10991-2023")</f>
        <v/>
      </c>
      <c r="AA69">
        <f>HYPERLINK("https://klasma.github.io/Logging_0680/klagomål/A 10991-2023 FSC-klagomål.docx", "A 10991-2023")</f>
        <v/>
      </c>
      <c r="AB69">
        <f>HYPERLINK("https://klasma.github.io/Logging_0680/klagomålsmail/A 10991-2023 FSC-klagomål mail.docx", "A 10991-2023")</f>
        <v/>
      </c>
      <c r="AC69">
        <f>HYPERLINK("https://klasma.github.io/Logging_0680/tillsyn/A 10991-2023 tillsynsbegäran.docx", "A 10991-2023")</f>
        <v/>
      </c>
      <c r="AD69">
        <f>HYPERLINK("https://klasma.github.io/Logging_0680/tillsynsmail/A 10991-2023 tillsynsbegäran mail.docx", "A 10991-2023")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46299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58082-2025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45982</v>
      </c>
      <c r="E71" s="1" t="n">
        <v>46299</v>
      </c>
      <c r="F71" t="inlineStr">
        <is>
          <t>JÖNKÖPINGS LÄN</t>
        </is>
      </c>
      <c r="G71" t="inlineStr">
        <is>
          <t>JÖNKÖPING</t>
        </is>
      </c>
      <c r="I71" t="n">
        <v>2.9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Storgröe
Springkorn</t>
        </is>
      </c>
      <c r="W71">
        <f>HYPERLINK("https://klasma.github.io/Logging_0680/artfynd/A 58082-2025 artfynd.xlsx", "A 58082-2025")</f>
        <v/>
      </c>
      <c r="X71">
        <f>HYPERLINK("https://klasma.github.io/Logging_0680/kartor/A 58082-2025 karta.png", "A 58082-2025")</f>
        <v/>
      </c>
      <c r="Y71">
        <f>HYPERLINK("https://klasma.github.io/Logging_0680/kartor_geotiff/A 58082-2025 georefererad karta.tif", "A 58082-2025")</f>
        <v/>
      </c>
      <c r="AA71">
        <f>HYPERLINK("https://klasma.github.io/Logging_0680/klagomål/A 58082-2025 FSC-klagomål.docx", "A 58082-2025")</f>
        <v/>
      </c>
      <c r="AB71">
        <f>HYPERLINK("https://klasma.github.io/Logging_0680/klagomålsmail/A 58082-2025 FSC-klagomål mail.docx", "A 58082-2025")</f>
        <v/>
      </c>
      <c r="AC71">
        <f>HYPERLINK("https://klasma.github.io/Logging_0680/tillsyn/A 58082-2025 tillsynsbegäran.docx", "A 58082-2025")</f>
        <v/>
      </c>
      <c r="AD71">
        <f>HYPERLINK("https://klasma.github.io/Logging_0680/tillsynsmail/A 58082-2025 tillsynsbegäran mail.docx", "A 58082-2025")</f>
        <v/>
      </c>
    </row>
    <row r="72" ht="15" customHeight="1">
      <c r="A72" t="inlineStr">
        <is>
          <t>A 9221-2024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45358</v>
      </c>
      <c r="E72" s="1" t="n">
        <v>46299</v>
      </c>
      <c r="F72" t="inlineStr">
        <is>
          <t>JÖNKÖPINGS LÄN</t>
        </is>
      </c>
      <c r="G72" t="inlineStr">
        <is>
          <t>JÖNKÖPING</t>
        </is>
      </c>
      <c r="I72" t="n">
        <v>4.7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Blomkålssvamp</t>
        </is>
      </c>
      <c r="W72">
        <f>HYPERLINK("https://klasma.github.io/Logging_0680/artfynd/A 9221-2024 artfynd.xlsx", "A 9221-2024")</f>
        <v/>
      </c>
      <c r="X72">
        <f>HYPERLINK("https://klasma.github.io/Logging_0680/kartor/A 9221-2024 karta.png", "A 9221-2024")</f>
        <v/>
      </c>
      <c r="Y72">
        <f>HYPERLINK("https://klasma.github.io/Logging_0680/kartor_geotiff/A 9221-2024 georefererad karta.tif", "A 9221-2024")</f>
        <v/>
      </c>
      <c r="AA72">
        <f>HYPERLINK("https://klasma.github.io/Logging_0680/klagomål/A 9221-2024 FSC-klagomål.docx", "A 9221-2024")</f>
        <v/>
      </c>
      <c r="AB72">
        <f>HYPERLINK("https://klasma.github.io/Logging_0680/klagomålsmail/A 9221-2024 FSC-klagomål mail.docx", "A 9221-2024")</f>
        <v/>
      </c>
      <c r="AC72">
        <f>HYPERLINK("https://klasma.github.io/Logging_0680/tillsyn/A 9221-2024 tillsynsbegäran.docx", "A 9221-2024")</f>
        <v/>
      </c>
      <c r="AD72">
        <f>HYPERLINK("https://klasma.github.io/Logging_0680/tillsynsmail/A 9221-2024 tillsynsbegäran mail.docx", "A 9221-2024")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46299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46299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46299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46299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46299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46299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46299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46299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46299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46299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46299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46299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46299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46299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63550-2025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46299</v>
      </c>
      <c r="F87" t="inlineStr">
        <is>
          <t>JÖNKÖPINGS LÄN</t>
        </is>
      </c>
      <c r="G87" t="inlineStr">
        <is>
          <t>JÖNKÖPING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HYPERLINK("https://klasma.github.io/Logging_0680/artfynd/A 63550-2025 artfynd.xlsx", "A 63550-2025")</f>
        <v/>
      </c>
      <c r="X87">
        <f>HYPERLINK("https://klasma.github.io/Logging_0680/kartor/A 63550-2025 karta.png", "A 63550-2025")</f>
        <v/>
      </c>
      <c r="Y87">
        <f>HYPERLINK("https://klasma.github.io/Logging_0680/kartor_geotiff/A 63550-2025 georefererad karta.tif", "A 63550-2025")</f>
        <v/>
      </c>
      <c r="AA87">
        <f>HYPERLINK("https://klasma.github.io/Logging_0680/klagomål/A 63550-2025 FSC-klagomål.docx", "A 63550-2025")</f>
        <v/>
      </c>
      <c r="AB87">
        <f>HYPERLINK("https://klasma.github.io/Logging_0680/klagomålsmail/A 63550-2025 FSC-klagomål mail.docx", "A 63550-2025")</f>
        <v/>
      </c>
      <c r="AC87">
        <f>HYPERLINK("https://klasma.github.io/Logging_0680/tillsyn/A 63550-2025 tillsynsbegäran.docx", "A 63550-2025")</f>
        <v/>
      </c>
      <c r="AD87">
        <f>HYPERLINK("https://klasma.github.io/Logging_0680/tillsynsmail/A 63550-2025 tillsynsbegäran mail.docx", "A 63550-2025")</f>
        <v/>
      </c>
    </row>
    <row r="88" ht="15" customHeight="1">
      <c r="A88" t="inlineStr">
        <is>
          <t>A 2037-2026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46299</v>
      </c>
      <c r="F88" t="inlineStr">
        <is>
          <t>JÖNKÖPINGS LÄN</t>
        </is>
      </c>
      <c r="G88" t="inlineStr">
        <is>
          <t>JÖNKÖPING</t>
        </is>
      </c>
      <c r="I88" t="n">
        <v>11.8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HYPERLINK("https://klasma.github.io/Logging_0680/artfynd/A 2037-2026 artfynd.xlsx", "A 2037-2026")</f>
        <v/>
      </c>
      <c r="X88">
        <f>HYPERLINK("https://klasma.github.io/Logging_0680/kartor/A 2037-2026 karta.png", "A 2037-2026")</f>
        <v/>
      </c>
      <c r="Y88">
        <f>HYPERLINK("https://klasma.github.io/Logging_0680/kartor_geotiff/A 2037-2026 georefererad karta.tif", "A 2037-2026")</f>
        <v/>
      </c>
      <c r="AA88">
        <f>HYPERLINK("https://klasma.github.io/Logging_0680/klagomål/A 2037-2026 FSC-klagomål.docx", "A 2037-2026")</f>
        <v/>
      </c>
      <c r="AB88">
        <f>HYPERLINK("https://klasma.github.io/Logging_0680/klagomålsmail/A 2037-2026 FSC-klagomål mail.docx", "A 2037-2026")</f>
        <v/>
      </c>
      <c r="AC88">
        <f>HYPERLINK("https://klasma.github.io/Logging_0680/tillsyn/A 2037-2026 tillsynsbegäran.docx", "A 2037-2026")</f>
        <v/>
      </c>
      <c r="AD88">
        <f>HYPERLINK("https://klasma.github.io/Logging_0680/tillsynsmail/A 2037-2026 tillsynsbegäran mail.docx", "A 2037-2026")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46299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62844-2023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46299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Ask</t>
        </is>
      </c>
      <c r="W90">
        <f>HYPERLINK("https://klasma.github.io/Logging_0680/artfynd/A 62844-2023 artfynd.xlsx", "A 62844-2023")</f>
        <v/>
      </c>
      <c r="X90">
        <f>HYPERLINK("https://klasma.github.io/Logging_0680/kartor/A 62844-2023 karta.png", "A 62844-2023")</f>
        <v/>
      </c>
      <c r="Y90">
        <f>HYPERLINK("https://klasma.github.io/Logging_0680/kartor_geotiff/A 62844-2023 georefererad karta.tif", "A 62844-2023")</f>
        <v/>
      </c>
      <c r="AA90">
        <f>HYPERLINK("https://klasma.github.io/Logging_0680/klagomål/A 62844-2023 FSC-klagomål.docx", "A 62844-2023")</f>
        <v/>
      </c>
      <c r="AB90">
        <f>HYPERLINK("https://klasma.github.io/Logging_0680/klagomålsmail/A 62844-2023 FSC-klagomål mail.docx", "A 62844-2023")</f>
        <v/>
      </c>
      <c r="AC90">
        <f>HYPERLINK("https://klasma.github.io/Logging_0680/tillsyn/A 62844-2023 tillsynsbegäran.docx", "A 62844-2023")</f>
        <v/>
      </c>
      <c r="AD90">
        <f>HYPERLINK("https://klasma.github.io/Logging_0680/tillsynsmail/A 62844-2023 tillsynsbegäran mail.docx", "A 62844-2023")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46299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48371-2023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45205</v>
      </c>
      <c r="E92" s="1" t="n">
        <v>46299</v>
      </c>
      <c r="F92" t="inlineStr">
        <is>
          <t>JÖNKÖPINGS LÄN</t>
        </is>
      </c>
      <c r="G92" t="inlineStr">
        <is>
          <t>JÖNKÖPING</t>
        </is>
      </c>
      <c r="I92" t="n">
        <v>4.9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HYPERLINK("https://klasma.github.io/Logging_0680/artfynd/A 48371-2023 artfynd.xlsx", "A 48371-2023")</f>
        <v/>
      </c>
      <c r="X92">
        <f>HYPERLINK("https://klasma.github.io/Logging_0680/kartor/A 48371-2023 karta.png", "A 48371-2023")</f>
        <v/>
      </c>
      <c r="Y92">
        <f>HYPERLINK("https://klasma.github.io/Logging_0680/kartor_geotiff/A 48371-2023 georefererad karta.tif", "A 48371-2023")</f>
        <v/>
      </c>
      <c r="AA92">
        <f>HYPERLINK("https://klasma.github.io/Logging_0680/klagomål/A 48371-2023 FSC-klagomål.docx", "A 48371-2023")</f>
        <v/>
      </c>
      <c r="AB92">
        <f>HYPERLINK("https://klasma.github.io/Logging_0680/klagomålsmail/A 48371-2023 FSC-klagomål mail.docx", "A 48371-2023")</f>
        <v/>
      </c>
      <c r="AC92">
        <f>HYPERLINK("https://klasma.github.io/Logging_0680/tillsyn/A 48371-2023 tillsynsbegäran.docx", "A 48371-2023")</f>
        <v/>
      </c>
      <c r="AD92">
        <f>HYPERLINK("https://klasma.github.io/Logging_0680/tillsynsmail/A 48371-2023 tillsynsbegäran mail.docx", "A 48371-2023")</f>
        <v/>
      </c>
    </row>
    <row r="93" ht="15" customHeight="1">
      <c r="A93" t="inlineStr">
        <is>
          <t>A 14221-2025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46299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Gaffelglim</t>
        </is>
      </c>
      <c r="W93">
        <f>HYPERLINK("https://klasma.github.io/Logging_0680/artfynd/A 14221-2025 artfynd.xlsx", "A 14221-2025")</f>
        <v/>
      </c>
      <c r="X93">
        <f>HYPERLINK("https://klasma.github.io/Logging_0680/kartor/A 14221-2025 karta.png", "A 14221-2025")</f>
        <v/>
      </c>
      <c r="Y93">
        <f>HYPERLINK("https://klasma.github.io/Logging_0680/kartor_geotiff/A 14221-2025 georefererad karta.tif", "A 14221-2025")</f>
        <v/>
      </c>
      <c r="AA93">
        <f>HYPERLINK("https://klasma.github.io/Logging_0680/klagomål/A 14221-2025 FSC-klagomål.docx", "A 14221-2025")</f>
        <v/>
      </c>
      <c r="AB93">
        <f>HYPERLINK("https://klasma.github.io/Logging_0680/klagomålsmail/A 14221-2025 FSC-klagomål mail.docx", "A 14221-2025")</f>
        <v/>
      </c>
      <c r="AC93">
        <f>HYPERLINK("https://klasma.github.io/Logging_0680/tillsyn/A 14221-2025 tillsynsbegäran.docx", "A 14221-2025")</f>
        <v/>
      </c>
      <c r="AD93">
        <f>HYPERLINK("https://klasma.github.io/Logging_0680/tillsynsmail/A 14221-2025 tillsynsbegäran mail.docx", "A 14221-2025")</f>
        <v/>
      </c>
    </row>
    <row r="94" ht="15" customHeight="1">
      <c r="A94" t="inlineStr">
        <is>
          <t>A 47492-2024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45587</v>
      </c>
      <c r="E94" s="1" t="n">
        <v>46299</v>
      </c>
      <c r="F94" t="inlineStr">
        <is>
          <t>JÖNKÖPINGS LÄN</t>
        </is>
      </c>
      <c r="G94" t="inlineStr">
        <is>
          <t>JÖNKÖPING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Ask</t>
        </is>
      </c>
      <c r="W94">
        <f>HYPERLINK("https://klasma.github.io/Logging_0680/artfynd/A 47492-2024 artfynd.xlsx", "A 47492-2024")</f>
        <v/>
      </c>
      <c r="X94">
        <f>HYPERLINK("https://klasma.github.io/Logging_0680/kartor/A 47492-2024 karta.png", "A 47492-2024")</f>
        <v/>
      </c>
      <c r="Y94">
        <f>HYPERLINK("https://klasma.github.io/Logging_0680/kartor_geotiff/A 47492-2024 georefererad karta.tif", "A 47492-2024")</f>
        <v/>
      </c>
      <c r="AA94">
        <f>HYPERLINK("https://klasma.github.io/Logging_0680/klagomål/A 47492-2024 FSC-klagomål.docx", "A 47492-2024")</f>
        <v/>
      </c>
      <c r="AB94">
        <f>HYPERLINK("https://klasma.github.io/Logging_0680/klagomålsmail/A 47492-2024 FSC-klagomål mail.docx", "A 47492-2024")</f>
        <v/>
      </c>
      <c r="AC94">
        <f>HYPERLINK("https://klasma.github.io/Logging_0680/tillsyn/A 47492-2024 tillsynsbegäran.docx", "A 47492-2024")</f>
        <v/>
      </c>
      <c r="AD94">
        <f>HYPERLINK("https://klasma.github.io/Logging_0680/tillsynsmail/A 47492-2024 tillsynsbegäran mail.docx", "A 47492-2024")</f>
        <v/>
      </c>
    </row>
    <row r="95" ht="15" customHeight="1">
      <c r="A95" t="inlineStr">
        <is>
          <t>A 6168-2026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46299</v>
      </c>
      <c r="F95" t="inlineStr">
        <is>
          <t>JÖNKÖPINGS LÄN</t>
        </is>
      </c>
      <c r="G95" t="inlineStr">
        <is>
          <t>JÖNKÖPING</t>
        </is>
      </c>
      <c r="I95" t="n">
        <v>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aspticka</t>
        </is>
      </c>
      <c r="W95">
        <f>HYPERLINK("https://klasma.github.io/Logging_0680/artfynd/A 6168-2026 artfynd.xlsx", "A 6168-2026")</f>
        <v/>
      </c>
      <c r="X95">
        <f>HYPERLINK("https://klasma.github.io/Logging_0680/kartor/A 6168-2026 karta.png", "A 6168-2026")</f>
        <v/>
      </c>
      <c r="Y95">
        <f>HYPERLINK("https://klasma.github.io/Logging_0680/kartor_geotiff/A 6168-2026 georefererad karta.tif", "A 6168-2026")</f>
        <v/>
      </c>
      <c r="AA95">
        <f>HYPERLINK("https://klasma.github.io/Logging_0680/klagomål/A 6168-2026 FSC-klagomål.docx", "A 6168-2026")</f>
        <v/>
      </c>
      <c r="AB95">
        <f>HYPERLINK("https://klasma.github.io/Logging_0680/klagomålsmail/A 6168-2026 FSC-klagomål mail.docx", "A 6168-2026")</f>
        <v/>
      </c>
      <c r="AC95">
        <f>HYPERLINK("https://klasma.github.io/Logging_0680/tillsyn/A 6168-2026 tillsynsbegäran.docx", "A 6168-2026")</f>
        <v/>
      </c>
      <c r="AD95">
        <f>HYPERLINK("https://klasma.github.io/Logging_0680/tillsynsmail/A 6168-2026 tillsynsbegäran mail.docx", "A 6168-2026")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46299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46299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15516-2026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46299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Revlummer</t>
        </is>
      </c>
      <c r="W98">
        <f>HYPERLINK("https://klasma.github.io/Logging_0680/artfynd/A 15516-2026 artfynd.xlsx", "A 15516-2026")</f>
        <v/>
      </c>
      <c r="X98">
        <f>HYPERLINK("https://klasma.github.io/Logging_0680/kartor/A 15516-2026 karta.png", "A 15516-2026")</f>
        <v/>
      </c>
      <c r="Y98">
        <f>HYPERLINK("https://klasma.github.io/Logging_0680/kartor_geotiff/A 15516-2026 georefererad karta.tif", "A 15516-2026")</f>
        <v/>
      </c>
      <c r="AA98">
        <f>HYPERLINK("https://klasma.github.io/Logging_0680/klagomål/A 15516-2026 FSC-klagomål.docx", "A 15516-2026")</f>
        <v/>
      </c>
      <c r="AB98">
        <f>HYPERLINK("https://klasma.github.io/Logging_0680/klagomålsmail/A 15516-2026 FSC-klagomål mail.docx", "A 15516-2026")</f>
        <v/>
      </c>
      <c r="AC98">
        <f>HYPERLINK("https://klasma.github.io/Logging_0680/tillsyn/A 15516-2026 tillsynsbegäran.docx", "A 15516-2026")</f>
        <v/>
      </c>
      <c r="AD98">
        <f>HYPERLINK("https://klasma.github.io/Logging_0680/tillsynsmail/A 15516-2026 tillsynsbegäran mail.docx", "A 15516-2026")</f>
        <v/>
      </c>
    </row>
    <row r="99" ht="15" customHeight="1">
      <c r="A99" t="inlineStr">
        <is>
          <t>A 6456-2024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46299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Slåttergubbe</t>
        </is>
      </c>
      <c r="W99">
        <f>HYPERLINK("https://klasma.github.io/Logging_0680/artfynd/A 6456-2024 artfynd.xlsx", "A 6456-2024")</f>
        <v/>
      </c>
      <c r="X99">
        <f>HYPERLINK("https://klasma.github.io/Logging_0680/kartor/A 6456-2024 karta.png", "A 6456-2024")</f>
        <v/>
      </c>
      <c r="Y99">
        <f>HYPERLINK("https://klasma.github.io/Logging_0680/kartor_geotiff/A 6456-2024 georefererad karta.tif", "A 6456-2024")</f>
        <v/>
      </c>
      <c r="AA99">
        <f>HYPERLINK("https://klasma.github.io/Logging_0680/klagomål/A 6456-2024 FSC-klagomål.docx", "A 6456-2024")</f>
        <v/>
      </c>
      <c r="AB99">
        <f>HYPERLINK("https://klasma.github.io/Logging_0680/klagomålsmail/A 6456-2024 FSC-klagomål mail.docx", "A 6456-2024")</f>
        <v/>
      </c>
      <c r="AC99">
        <f>HYPERLINK("https://klasma.github.io/Logging_0680/tillsyn/A 6456-2024 tillsynsbegäran.docx", "A 6456-2024")</f>
        <v/>
      </c>
      <c r="AD99">
        <f>HYPERLINK("https://klasma.github.io/Logging_0680/tillsynsmail/A 6456-2024 tillsynsbegäran mail.docx", "A 6456-2024")</f>
        <v/>
      </c>
    </row>
    <row r="100" ht="15" customHeight="1">
      <c r="A100" t="inlineStr">
        <is>
          <t>A 33405-2025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46299</v>
      </c>
      <c r="F100" t="inlineStr">
        <is>
          <t>JÖNKÖPINGS LÄN</t>
        </is>
      </c>
      <c r="G100" t="inlineStr">
        <is>
          <t>JÖNKÖPING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Läkeögontröst</t>
        </is>
      </c>
      <c r="W100">
        <f>HYPERLINK("https://klasma.github.io/Logging_0680/artfynd/A 33405-2025 artfynd.xlsx", "A 33405-2025")</f>
        <v/>
      </c>
      <c r="X100">
        <f>HYPERLINK("https://klasma.github.io/Logging_0680/kartor/A 33405-2025 karta.png", "A 33405-2025")</f>
        <v/>
      </c>
      <c r="Y100">
        <f>HYPERLINK("https://klasma.github.io/Logging_0680/kartor_geotiff/A 33405-2025 georefererad karta.tif", "A 33405-2025")</f>
        <v/>
      </c>
      <c r="AA100">
        <f>HYPERLINK("https://klasma.github.io/Logging_0680/klagomål/A 33405-2025 FSC-klagomål.docx", "A 33405-2025")</f>
        <v/>
      </c>
      <c r="AB100">
        <f>HYPERLINK("https://klasma.github.io/Logging_0680/klagomålsmail/A 33405-2025 FSC-klagomål mail.docx", "A 33405-2025")</f>
        <v/>
      </c>
      <c r="AC100">
        <f>HYPERLINK("https://klasma.github.io/Logging_0680/tillsyn/A 33405-2025 tillsynsbegäran.docx", "A 33405-2025")</f>
        <v/>
      </c>
      <c r="AD100">
        <f>HYPERLINK("https://klasma.github.io/Logging_0680/tillsynsmail/A 33405-2025 tillsynsbegäran mail.docx", "A 33405-2025")</f>
        <v/>
      </c>
    </row>
    <row r="101" ht="15" customHeight="1">
      <c r="A101" t="inlineStr">
        <is>
          <t>A 33849-2025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45842</v>
      </c>
      <c r="E101" s="1" t="n">
        <v>46299</v>
      </c>
      <c r="F101" t="inlineStr">
        <is>
          <t>JÖNKÖPINGS LÄN</t>
        </is>
      </c>
      <c r="G101" t="inlineStr">
        <is>
          <t>JÖNKÖPING</t>
        </is>
      </c>
      <c r="I101" t="n">
        <v>1.7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Jungfrulin</t>
        </is>
      </c>
      <c r="W101">
        <f>HYPERLINK("https://klasma.github.io/Logging_0680/artfynd/A 33849-2025 artfynd.xlsx", "A 33849-2025")</f>
        <v/>
      </c>
      <c r="X101">
        <f>HYPERLINK("https://klasma.github.io/Logging_0680/kartor/A 33849-2025 karta.png", "A 33849-2025")</f>
        <v/>
      </c>
      <c r="Y101">
        <f>HYPERLINK("https://klasma.github.io/Logging_0680/kartor_geotiff/A 33849-2025 georefererad karta.tif", "A 33849-2025")</f>
        <v/>
      </c>
      <c r="AA101">
        <f>HYPERLINK("https://klasma.github.io/Logging_0680/klagomål/A 33849-2025 FSC-klagomål.docx", "A 33849-2025")</f>
        <v/>
      </c>
      <c r="AB101">
        <f>HYPERLINK("https://klasma.github.io/Logging_0680/klagomålsmail/A 33849-2025 FSC-klagomål mail.docx", "A 33849-2025")</f>
        <v/>
      </c>
      <c r="AC101">
        <f>HYPERLINK("https://klasma.github.io/Logging_0680/tillsyn/A 33849-2025 tillsynsbegäran.docx", "A 33849-2025")</f>
        <v/>
      </c>
      <c r="AD101">
        <f>HYPERLINK("https://klasma.github.io/Logging_0680/tillsynsmail/A 33849-2025 tillsynsbegäran mail.docx", "A 33849-2025")</f>
        <v/>
      </c>
    </row>
    <row r="102" ht="15" customHeight="1">
      <c r="A102" t="inlineStr">
        <is>
          <t>A 54325-2024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46299</v>
      </c>
      <c r="F102" t="inlineStr">
        <is>
          <t>JÖNKÖPINGS LÄN</t>
        </is>
      </c>
      <c r="G102" t="inlineStr">
        <is>
          <t>JÖNKÖPING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HYPERLINK("https://klasma.github.io/Logging_0680/artfynd/A 54325-2024 artfynd.xlsx", "A 54325-2024")</f>
        <v/>
      </c>
      <c r="X102">
        <f>HYPERLINK("https://klasma.github.io/Logging_0680/kartor/A 54325-2024 karta.png", "A 54325-2024")</f>
        <v/>
      </c>
      <c r="Y102">
        <f>HYPERLINK("https://klasma.github.io/Logging_0680/kartor_geotiff/A 54325-2024 georefererad karta.tif", "A 54325-2024")</f>
        <v/>
      </c>
      <c r="AA102">
        <f>HYPERLINK("https://klasma.github.io/Logging_0680/klagomål/A 54325-2024 FSC-klagomål.docx", "A 54325-2024")</f>
        <v/>
      </c>
      <c r="AB102">
        <f>HYPERLINK("https://klasma.github.io/Logging_0680/klagomålsmail/A 54325-2024 FSC-klagomål mail.docx", "A 54325-2024")</f>
        <v/>
      </c>
      <c r="AC102">
        <f>HYPERLINK("https://klasma.github.io/Logging_0680/tillsyn/A 54325-2024 tillsynsbegäran.docx", "A 54325-2024")</f>
        <v/>
      </c>
      <c r="AD102">
        <f>HYPERLINK("https://klasma.github.io/Logging_0680/tillsynsmail/A 54325-2024 tillsynsbegäran mail.docx", "A 54325-2024")</f>
        <v/>
      </c>
      <c r="AE102">
        <f>HYPERLINK("https://klasma.github.io/Logging_0680/fåglar/A 54325-2024 prioriterade fågelarter.docx", "A 54325-2024")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46299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46299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34597-2025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46299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Kyrkan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34597-2025 artfynd.xlsx", "A 34597-2025")</f>
        <v/>
      </c>
      <c r="X105">
        <f>HYPERLINK("https://klasma.github.io/Logging_0680/kartor/A 34597-2025 karta.png", "A 34597-2025")</f>
        <v/>
      </c>
      <c r="Y105">
        <f>HYPERLINK("https://klasma.github.io/Logging_0680/kartor_geotiff/A 34597-2025 georefererad karta.tif", "A 34597-2025")</f>
        <v/>
      </c>
      <c r="Z105">
        <f>HYPERLINK("https://klasma.github.io/Logging_0680/knärot/A 34597-2025 karta knärot.png", "A 34597-2025")</f>
        <v/>
      </c>
      <c r="AA105">
        <f>HYPERLINK("https://klasma.github.io/Logging_0680/klagomål/A 34597-2025 FSC-klagomål.docx", "A 34597-2025")</f>
        <v/>
      </c>
      <c r="AB105">
        <f>HYPERLINK("https://klasma.github.io/Logging_0680/klagomålsmail/A 34597-2025 FSC-klagomål mail.docx", "A 34597-2025")</f>
        <v/>
      </c>
      <c r="AC105">
        <f>HYPERLINK("https://klasma.github.io/Logging_0680/tillsyn/A 34597-2025 tillsynsbegäran.docx", "A 34597-2025")</f>
        <v/>
      </c>
      <c r="AD105">
        <f>HYPERLINK("https://klasma.github.io/Logging_0680/tillsynsmail/A 34597-2025 tillsynsbegäran mail.docx", "A 34597-2025")</f>
        <v/>
      </c>
    </row>
    <row r="106" ht="15" customHeight="1">
      <c r="A106" t="inlineStr">
        <is>
          <t>A 43624-2023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46299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Gullpudra</t>
        </is>
      </c>
      <c r="W106">
        <f>HYPERLINK("https://klasma.github.io/Logging_0680/artfynd/A 43624-2023 artfynd.xlsx", "A 43624-2023")</f>
        <v/>
      </c>
      <c r="X106">
        <f>HYPERLINK("https://klasma.github.io/Logging_0680/kartor/A 43624-2023 karta.png", "A 43624-2023")</f>
        <v/>
      </c>
      <c r="Y106">
        <f>HYPERLINK("https://klasma.github.io/Logging_0680/kartor_geotiff/A 43624-2023 georefererad karta.tif", "A 43624-2023")</f>
        <v/>
      </c>
      <c r="AA106">
        <f>HYPERLINK("https://klasma.github.io/Logging_0680/klagomål/A 43624-2023 FSC-klagomål.docx", "A 43624-2023")</f>
        <v/>
      </c>
      <c r="AB106">
        <f>HYPERLINK("https://klasma.github.io/Logging_0680/klagomålsmail/A 43624-2023 FSC-klagomål mail.docx", "A 43624-2023")</f>
        <v/>
      </c>
      <c r="AC106">
        <f>HYPERLINK("https://klasma.github.io/Logging_0680/tillsyn/A 43624-2023 tillsynsbegäran.docx", "A 43624-2023")</f>
        <v/>
      </c>
      <c r="AD106">
        <f>HYPERLINK("https://klasma.github.io/Logging_0680/tillsynsmail/A 43624-2023 tillsynsbegäran mail.docx", "A 43624-2023")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46299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46299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74117-2021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46299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Nattskärra</t>
        </is>
      </c>
      <c r="W109">
        <f>HYPERLINK("https://klasma.github.io/Logging_0680/artfynd/A 74117-2021 artfynd.xlsx", "A 74117-2021")</f>
        <v/>
      </c>
      <c r="X109">
        <f>HYPERLINK("https://klasma.github.io/Logging_0680/kartor/A 74117-2021 karta.png", "A 74117-2021")</f>
        <v/>
      </c>
      <c r="Y109">
        <f>HYPERLINK("https://klasma.github.io/Logging_0680/kartor_geotiff/A 74117-2021 georefererad karta.tif", "A 74117-2021")</f>
        <v/>
      </c>
      <c r="AA109">
        <f>HYPERLINK("https://klasma.github.io/Logging_0680/klagomål/A 74117-2021 FSC-klagomål.docx", "A 74117-2021")</f>
        <v/>
      </c>
      <c r="AB109">
        <f>HYPERLINK("https://klasma.github.io/Logging_0680/klagomålsmail/A 74117-2021 FSC-klagomål mail.docx", "A 74117-2021")</f>
        <v/>
      </c>
      <c r="AC109">
        <f>HYPERLINK("https://klasma.github.io/Logging_0680/tillsyn/A 74117-2021 tillsynsbegäran.docx", "A 74117-2021")</f>
        <v/>
      </c>
      <c r="AD109">
        <f>HYPERLINK("https://klasma.github.io/Logging_0680/tillsynsmail/A 74117-2021 tillsynsbegäran mail.docx", "A 74117-2021")</f>
        <v/>
      </c>
      <c r="AE109">
        <f>HYPERLINK("https://klasma.github.io/Logging_0680/fåglar/A 74117-2021 prioriterade fågelarter.docx", "A 74117-2021")</f>
        <v/>
      </c>
    </row>
    <row r="110" ht="15" customHeight="1">
      <c r="A110" t="inlineStr">
        <is>
          <t>A 12518-2025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46299</v>
      </c>
      <c r="F110" t="inlineStr">
        <is>
          <t>JÖNKÖPINGS LÄN</t>
        </is>
      </c>
      <c r="G110" t="inlineStr">
        <is>
          <t>JÖNKÖPING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5</v>
      </c>
      <c r="U110" t="n">
        <v>0</v>
      </c>
      <c r="V110" s="2" t="inlineStr">
        <is>
          <t>Ask</t>
        </is>
      </c>
      <c r="W110">
        <f>HYPERLINK("https://klasma.github.io/Logging_0680/artfynd/A 12518-2025 artfynd.xlsx", "A 12518-2025")</f>
        <v/>
      </c>
      <c r="X110">
        <f>HYPERLINK("https://klasma.github.io/Logging_0680/kartor/A 12518-2025 karta.png", "A 12518-2025")</f>
        <v/>
      </c>
      <c r="Y110">
        <f>HYPERLINK("https://klasma.github.io/Logging_0680/kartor_geotiff/A 12518-2025 georefererad karta.tif", "A 12518-2025")</f>
        <v/>
      </c>
      <c r="AA110">
        <f>HYPERLINK("https://klasma.github.io/Logging_0680/klagomål/A 12518-2025 FSC-klagomål.docx", "A 12518-2025")</f>
        <v/>
      </c>
      <c r="AB110">
        <f>HYPERLINK("https://klasma.github.io/Logging_0680/klagomålsmail/A 12518-2025 FSC-klagomål mail.docx", "A 12518-2025")</f>
        <v/>
      </c>
      <c r="AC110">
        <f>HYPERLINK("https://klasma.github.io/Logging_0680/tillsyn/A 12518-2025 tillsynsbegäran.docx", "A 12518-2025")</f>
        <v/>
      </c>
      <c r="AD110">
        <f>HYPERLINK("https://klasma.github.io/Logging_0680/tillsynsmail/A 12518-2025 tillsynsbegäran mail.docx", "A 12518-2025")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46299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46299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46299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30718-2026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46211</v>
      </c>
      <c r="E114" s="1" t="n">
        <v>46299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11.4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Spindelblomster</t>
        </is>
      </c>
      <c r="W114">
        <f>HYPERLINK("https://klasma.github.io/Logging_0680/artfynd/A 30718-2026 artfynd.xlsx", "A 30718-2026")</f>
        <v/>
      </c>
      <c r="X114">
        <f>HYPERLINK("https://klasma.github.io/Logging_0680/kartor/A 30718-2026 karta.png", "A 30718-2026")</f>
        <v/>
      </c>
      <c r="Y114">
        <f>HYPERLINK("https://klasma.github.io/Logging_0680/kartor_geotiff/A 30718-2026 georefererad karta.tif", "A 30718-2026")</f>
        <v/>
      </c>
      <c r="AA114">
        <f>HYPERLINK("https://klasma.github.io/Logging_0680/klagomål/A 30718-2026 FSC-klagomål.docx", "A 30718-2026")</f>
        <v/>
      </c>
      <c r="AB114">
        <f>HYPERLINK("https://klasma.github.io/Logging_0680/klagomålsmail/A 30718-2026 FSC-klagomål mail.docx", "A 30718-2026")</f>
        <v/>
      </c>
      <c r="AC114">
        <f>HYPERLINK("https://klasma.github.io/Logging_0680/tillsyn/A 30718-2026 tillsynsbegäran.docx", "A 30718-2026")</f>
        <v/>
      </c>
      <c r="AD114">
        <f>HYPERLINK("https://klasma.github.io/Logging_0680/tillsynsmail/A 30718-2026 tillsynsbegäran mail.docx", "A 30718-2026")</f>
        <v/>
      </c>
    </row>
    <row r="115" ht="15" customHeight="1">
      <c r="A115" t="inlineStr">
        <is>
          <t>A 16455-2025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45751</v>
      </c>
      <c r="E115" s="1" t="n">
        <v>46299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HYPERLINK("https://klasma.github.io/Logging_0680/artfynd/A 16455-2025 artfynd.xlsx", "A 16455-2025")</f>
        <v/>
      </c>
      <c r="X115">
        <f>HYPERLINK("https://klasma.github.io/Logging_0680/kartor/A 16455-2025 karta.png", "A 16455-2025")</f>
        <v/>
      </c>
      <c r="Y115">
        <f>HYPERLINK("https://klasma.github.io/Logging_0680/kartor_geotiff/A 16455-2025 georefererad karta.tif", "A 16455-2025")</f>
        <v/>
      </c>
      <c r="AA115">
        <f>HYPERLINK("https://klasma.github.io/Logging_0680/klagomål/A 16455-2025 FSC-klagomål.docx", "A 16455-2025")</f>
        <v/>
      </c>
      <c r="AB115">
        <f>HYPERLINK("https://klasma.github.io/Logging_0680/klagomålsmail/A 16455-2025 FSC-klagomål mail.docx", "A 16455-2025")</f>
        <v/>
      </c>
      <c r="AC115">
        <f>HYPERLINK("https://klasma.github.io/Logging_0680/tillsyn/A 16455-2025 tillsynsbegäran.docx", "A 16455-2025")</f>
        <v/>
      </c>
      <c r="AD115">
        <f>HYPERLINK("https://klasma.github.io/Logging_0680/tillsynsmail/A 16455-2025 tillsynsbegäran mail.docx", "A 16455-2025")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46299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11260-2023 artfynd.xlsx", "A 11260-2023")</f>
        <v/>
      </c>
      <c r="X116">
        <f>HYPERLINK("https://klasma.github.io/Logging_0680/kartor/A 11260-2023 karta.png", "A 11260-2023")</f>
        <v/>
      </c>
      <c r="Y116">
        <f>HYPERLINK("https://klasma.github.io/Logging_0680/kartor_geotiff/A 11260-2023 georefererad karta.tif", "A 11260-2023")</f>
        <v/>
      </c>
      <c r="Z116">
        <f>HYPERLINK("https://klasma.github.io/Logging_0680/knärot/A 11260-2023 karta knärot.png", "A 11260-2023")</f>
        <v/>
      </c>
      <c r="AA116">
        <f>HYPERLINK("https://klasma.github.io/Logging_0680/klagomål/A 11260-2023 FSC-klagomål.docx", "A 11260-2023")</f>
        <v/>
      </c>
      <c r="AB116">
        <f>HYPERLINK("https://klasma.github.io/Logging_0680/klagomålsmail/A 11260-2023 FSC-klagomål mail.docx", "A 11260-2023")</f>
        <v/>
      </c>
      <c r="AC116">
        <f>HYPERLINK("https://klasma.github.io/Logging_0680/tillsyn/A 11260-2023 tillsynsbegäran.docx", "A 11260-2023")</f>
        <v/>
      </c>
      <c r="AD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46299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38900-2026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46299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38900-2026 artfynd.xlsx", "A 38900-2026")</f>
        <v/>
      </c>
      <c r="X118">
        <f>HYPERLINK("https://klasma.github.io/Logging_0680/kartor/A 38900-2026 karta.png", "A 38900-2026")</f>
        <v/>
      </c>
      <c r="Y118">
        <f>HYPERLINK("https://klasma.github.io/Logging_0680/kartor_geotiff/A 38900-2026 georefererad karta.tif", "A 38900-2026")</f>
        <v/>
      </c>
      <c r="AA118">
        <f>HYPERLINK("https://klasma.github.io/Logging_0680/klagomål/A 38900-2026 FSC-klagomål.docx", "A 38900-2026")</f>
        <v/>
      </c>
      <c r="AB118">
        <f>HYPERLINK("https://klasma.github.io/Logging_0680/klagomålsmail/A 38900-2026 FSC-klagomål mail.docx", "A 38900-2026")</f>
        <v/>
      </c>
      <c r="AC118">
        <f>HYPERLINK("https://klasma.github.io/Logging_0680/tillsyn/A 38900-2026 tillsynsbegäran.docx", "A 38900-2026")</f>
        <v/>
      </c>
      <c r="AD118">
        <f>HYPERLINK("https://klasma.github.io/Logging_0680/tillsynsmail/A 38900-2026 tillsynsbegäran mail.docx", "A 38900-2026")</f>
        <v/>
      </c>
    </row>
    <row r="119" ht="15" customHeight="1">
      <c r="A119" t="inlineStr">
        <is>
          <t>A 37885-2026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46279</v>
      </c>
      <c r="E119" s="1" t="n">
        <v>46299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Jungfrulin</t>
        </is>
      </c>
      <c r="W119">
        <f>HYPERLINK("https://klasma.github.io/Logging_0680/artfynd/A 37885-2026 artfynd.xlsx", "A 37885-2026")</f>
        <v/>
      </c>
      <c r="X119">
        <f>HYPERLINK("https://klasma.github.io/Logging_0680/kartor/A 37885-2026 karta.png", "A 37885-2026")</f>
        <v/>
      </c>
      <c r="Y119">
        <f>HYPERLINK("https://klasma.github.io/Logging_0680/kartor_geotiff/A 37885-2026 georefererad karta.tif", "A 37885-2026")</f>
        <v/>
      </c>
      <c r="AA119">
        <f>HYPERLINK("https://klasma.github.io/Logging_0680/klagomål/A 37885-2026 FSC-klagomål.docx", "A 37885-2026")</f>
        <v/>
      </c>
      <c r="AB119">
        <f>HYPERLINK("https://klasma.github.io/Logging_0680/klagomålsmail/A 37885-2026 FSC-klagomål mail.docx", "A 37885-2026")</f>
        <v/>
      </c>
      <c r="AC119">
        <f>HYPERLINK("https://klasma.github.io/Logging_0680/tillsyn/A 37885-2026 tillsynsbegäran.docx", "A 37885-2026")</f>
        <v/>
      </c>
      <c r="AD119">
        <f>HYPERLINK("https://klasma.github.io/Logging_0680/tillsynsmail/A 37885-2026 tillsynsbegäran mail.docx", "A 37885-2026")</f>
        <v/>
      </c>
    </row>
    <row r="120" ht="15" customHeight="1">
      <c r="A120" t="inlineStr">
        <is>
          <t>A 7092-2024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46299</v>
      </c>
      <c r="F120" t="inlineStr">
        <is>
          <t>JÖNKÖPINGS LÄN</t>
        </is>
      </c>
      <c r="G120" t="inlineStr">
        <is>
          <t>JÖNKÖPING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HYPERLINK("https://klasma.github.io/Logging_0680/artfynd/A 7092-2024 artfynd.xlsx", "A 7092-2024")</f>
        <v/>
      </c>
      <c r="X120">
        <f>HYPERLINK("https://klasma.github.io/Logging_0680/kartor/A 7092-2024 karta.png", "A 7092-2024")</f>
        <v/>
      </c>
      <c r="Y120">
        <f>HYPERLINK("https://klasma.github.io/Logging_0680/kartor_geotiff/A 7092-2024 georefererad karta.tif", "A 7092-2024")</f>
        <v/>
      </c>
      <c r="AA120">
        <f>HYPERLINK("https://klasma.github.io/Logging_0680/klagomål/A 7092-2024 FSC-klagomål.docx", "A 7092-2024")</f>
        <v/>
      </c>
      <c r="AB120">
        <f>HYPERLINK("https://klasma.github.io/Logging_0680/klagomålsmail/A 7092-2024 FSC-klagomål mail.docx", "A 7092-2024")</f>
        <v/>
      </c>
      <c r="AC120">
        <f>HYPERLINK("https://klasma.github.io/Logging_0680/tillsyn/A 7092-2024 tillsynsbegäran.docx", "A 7092-2024")</f>
        <v/>
      </c>
      <c r="AD120">
        <f>HYPERLINK("https://klasma.github.io/Logging_0680/tillsynsmail/A 7092-2024 tillsynsbegäran mail.docx", "A 7092-2024")</f>
        <v/>
      </c>
    </row>
    <row r="121" ht="15" customHeight="1">
      <c r="A121" t="inlineStr">
        <is>
          <t>A 40549-2026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46294</v>
      </c>
      <c r="E121" s="1" t="n">
        <v>46299</v>
      </c>
      <c r="F121" t="inlineStr">
        <is>
          <t>JÖNKÖPINGS LÄN</t>
        </is>
      </c>
      <c r="G121" t="inlineStr">
        <is>
          <t>JÖNKÖPING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40549-2026 artfynd.xlsx", "A 40549-2026")</f>
        <v/>
      </c>
      <c r="X121">
        <f>HYPERLINK("https://klasma.github.io/Logging_0680/kartor/A 40549-2026 karta.png", "A 40549-2026")</f>
        <v/>
      </c>
      <c r="Y121">
        <f>HYPERLINK("https://klasma.github.io/Logging_0680/kartor_geotiff/A 40549-2026 georefererad karta.tif", "A 40549-2026")</f>
        <v/>
      </c>
      <c r="AA121">
        <f>HYPERLINK("https://klasma.github.io/Logging_0680/klagomål/A 40549-2026 FSC-klagomål.docx", "A 40549-2026")</f>
        <v/>
      </c>
      <c r="AB121">
        <f>HYPERLINK("https://klasma.github.io/Logging_0680/klagomålsmail/A 40549-2026 FSC-klagomål mail.docx", "A 40549-2026")</f>
        <v/>
      </c>
      <c r="AC121">
        <f>HYPERLINK("https://klasma.github.io/Logging_0680/tillsyn/A 40549-2026 tillsynsbegäran.docx", "A 40549-2026")</f>
        <v/>
      </c>
      <c r="AD121">
        <f>HYPERLINK("https://klasma.github.io/Logging_0680/tillsynsmail/A 40549-2026 tillsynsbegäran mail.docx", "A 40549-2026")</f>
        <v/>
      </c>
    </row>
    <row r="122" ht="15" customHeight="1">
      <c r="A122" t="inlineStr">
        <is>
          <t>A 58346-2022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46299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Övriga statliga verk och myndigheter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Gyllensopp</t>
        </is>
      </c>
      <c r="W122">
        <f>HYPERLINK("https://klasma.github.io/Logging_0680/artfynd/A 58346-2022 artfynd.xlsx", "A 58346-2022")</f>
        <v/>
      </c>
      <c r="X122">
        <f>HYPERLINK("https://klasma.github.io/Logging_0680/kartor/A 58346-2022 karta.png", "A 58346-2022")</f>
        <v/>
      </c>
      <c r="Y122">
        <f>HYPERLINK("https://klasma.github.io/Logging_0680/kartor_geotiff/A 58346-2022 georefererad karta.tif", "A 58346-2022")</f>
        <v/>
      </c>
      <c r="AA122">
        <f>HYPERLINK("https://klasma.github.io/Logging_0680/klagomål/A 58346-2022 FSC-klagomål.docx", "A 58346-2022")</f>
        <v/>
      </c>
      <c r="AB122">
        <f>HYPERLINK("https://klasma.github.io/Logging_0680/klagomålsmail/A 58346-2022 FSC-klagomål mail.docx", "A 58346-2022")</f>
        <v/>
      </c>
      <c r="AC122">
        <f>HYPERLINK("https://klasma.github.io/Logging_0680/tillsyn/A 58346-2022 tillsynsbegäran.docx", "A 58346-2022")</f>
        <v/>
      </c>
      <c r="AD122">
        <f>HYPERLINK("https://klasma.github.io/Logging_0680/tillsynsmail/A 58346-2022 tillsynsbegäran mail.docx", "A 58346-2022")</f>
        <v/>
      </c>
    </row>
    <row r="123" ht="15" customHeight="1">
      <c r="A123" t="inlineStr">
        <is>
          <t>A 34046-2026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46252</v>
      </c>
      <c r="E123" s="1" t="n">
        <v>46299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HYPERLINK("https://klasma.github.io/Logging_0680/artfynd/A 34046-2026 artfynd.xlsx", "A 34046-2026")</f>
        <v/>
      </c>
      <c r="X123">
        <f>HYPERLINK("https://klasma.github.io/Logging_0680/kartor/A 34046-2026 karta.png", "A 34046-2026")</f>
        <v/>
      </c>
      <c r="Y123">
        <f>HYPERLINK("https://klasma.github.io/Logging_0680/kartor_geotiff/A 34046-2026 georefererad karta.tif", "A 34046-2026")</f>
        <v/>
      </c>
      <c r="AA123">
        <f>HYPERLINK("https://klasma.github.io/Logging_0680/klagomål/A 34046-2026 FSC-klagomål.docx", "A 34046-2026")</f>
        <v/>
      </c>
      <c r="AB123">
        <f>HYPERLINK("https://klasma.github.io/Logging_0680/klagomålsmail/A 34046-2026 FSC-klagomål mail.docx", "A 34046-2026")</f>
        <v/>
      </c>
      <c r="AC123">
        <f>HYPERLINK("https://klasma.github.io/Logging_0680/tillsyn/A 34046-2026 tillsynsbegäran.docx", "A 34046-2026")</f>
        <v/>
      </c>
      <c r="AD123">
        <f>HYPERLINK("https://klasma.github.io/Logging_0680/tillsynsmail/A 34046-2026 tillsynsbegäran mail.docx", "A 34046-2026")</f>
        <v/>
      </c>
    </row>
    <row r="124" ht="15" customHeight="1">
      <c r="A124" t="inlineStr">
        <is>
          <t>A 40795-2024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46299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Kattfotslav</t>
        </is>
      </c>
      <c r="W124">
        <f>HYPERLINK("https://klasma.github.io/Logging_0680/artfynd/A 40795-2024 artfynd.xlsx", "A 40795-2024")</f>
        <v/>
      </c>
      <c r="X124">
        <f>HYPERLINK("https://klasma.github.io/Logging_0680/kartor/A 40795-2024 karta.png", "A 40795-2024")</f>
        <v/>
      </c>
      <c r="Y124">
        <f>HYPERLINK("https://klasma.github.io/Logging_0680/kartor_geotiff/A 40795-2024 georefererad karta.tif", "A 40795-2024")</f>
        <v/>
      </c>
      <c r="AA124">
        <f>HYPERLINK("https://klasma.github.io/Logging_0680/klagomål/A 40795-2024 FSC-klagomål.docx", "A 40795-2024")</f>
        <v/>
      </c>
      <c r="AB124">
        <f>HYPERLINK("https://klasma.github.io/Logging_0680/klagomålsmail/A 40795-2024 FSC-klagomål mail.docx", "A 40795-2024")</f>
        <v/>
      </c>
      <c r="AC124">
        <f>HYPERLINK("https://klasma.github.io/Logging_0680/tillsyn/A 40795-2024 tillsynsbegäran.docx", "A 40795-2024")</f>
        <v/>
      </c>
      <c r="AD124">
        <f>HYPERLINK("https://klasma.github.io/Logging_0680/tillsynsmail/A 40795-2024 tillsynsbegäran mail.docx", "A 40795-2024")</f>
        <v/>
      </c>
    </row>
    <row r="125" ht="15" customHeight="1">
      <c r="A125" t="inlineStr">
        <is>
          <t>A 50190-2024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45600</v>
      </c>
      <c r="E125" s="1" t="n">
        <v>46299</v>
      </c>
      <c r="F125" t="inlineStr">
        <is>
          <t>JÖNKÖPINGS LÄN</t>
        </is>
      </c>
      <c r="G125" t="inlineStr">
        <is>
          <t>JÖNKÖPING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Skogsalm</t>
        </is>
      </c>
      <c r="W125">
        <f>HYPERLINK("https://klasma.github.io/Logging_0680/artfynd/A 50190-2024 artfynd.xlsx", "A 50190-2024")</f>
        <v/>
      </c>
      <c r="X125">
        <f>HYPERLINK("https://klasma.github.io/Logging_0680/kartor/A 50190-2024 karta.png", "A 50190-2024")</f>
        <v/>
      </c>
      <c r="Y125">
        <f>HYPERLINK("https://klasma.github.io/Logging_0680/kartor_geotiff/A 50190-2024 georefererad karta.tif", "A 50190-2024")</f>
        <v/>
      </c>
      <c r="AA125">
        <f>HYPERLINK("https://klasma.github.io/Logging_0680/klagomål/A 50190-2024 FSC-klagomål.docx", "A 50190-2024")</f>
        <v/>
      </c>
      <c r="AB125">
        <f>HYPERLINK("https://klasma.github.io/Logging_0680/klagomålsmail/A 50190-2024 FSC-klagomål mail.docx", "A 50190-2024")</f>
        <v/>
      </c>
      <c r="AC125">
        <f>HYPERLINK("https://klasma.github.io/Logging_0680/tillsyn/A 50190-2024 tillsynsbegäran.docx", "A 50190-2024")</f>
        <v/>
      </c>
      <c r="AD125">
        <f>HYPERLINK("https://klasma.github.io/Logging_0680/tillsynsmail/A 50190-2024 tillsynsbegäran mail.docx", "A 50190-2024")</f>
        <v/>
      </c>
    </row>
    <row r="126" ht="15" customHeight="1">
      <c r="A126" t="inlineStr">
        <is>
          <t>A 54424-2024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46299</v>
      </c>
      <c r="F126" t="inlineStr">
        <is>
          <t>JÖNKÖPINGS LÄN</t>
        </is>
      </c>
      <c r="G126" t="inlineStr">
        <is>
          <t>JÖNKÖPING</t>
        </is>
      </c>
      <c r="I126" t="n">
        <v>6.2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HYPERLINK("https://klasma.github.io/Logging_0680/artfynd/A 54424-2024 artfynd.xlsx", "A 54424-2024")</f>
        <v/>
      </c>
      <c r="X126">
        <f>HYPERLINK("https://klasma.github.io/Logging_0680/kartor/A 54424-2024 karta.png", "A 54424-2024")</f>
        <v/>
      </c>
      <c r="Y126">
        <f>HYPERLINK("https://klasma.github.io/Logging_0680/kartor_geotiff/A 54424-2024 georefererad karta.tif", "A 54424-2024")</f>
        <v/>
      </c>
      <c r="AA126">
        <f>HYPERLINK("https://klasma.github.io/Logging_0680/klagomål/A 54424-2024 FSC-klagomål.docx", "A 54424-2024")</f>
        <v/>
      </c>
      <c r="AB126">
        <f>HYPERLINK("https://klasma.github.io/Logging_0680/klagomålsmail/A 54424-2024 FSC-klagomål mail.docx", "A 54424-2024")</f>
        <v/>
      </c>
      <c r="AC126">
        <f>HYPERLINK("https://klasma.github.io/Logging_0680/tillsyn/A 54424-2024 tillsynsbegäran.docx", "A 54424-2024")</f>
        <v/>
      </c>
      <c r="AD126">
        <f>HYPERLINK("https://klasma.github.io/Logging_0680/tillsynsmail/A 54424-2024 tillsynsbegäran mail.docx", "A 54424-2024")</f>
        <v/>
      </c>
    </row>
    <row r="127" ht="15" customHeight="1">
      <c r="A127" t="inlineStr">
        <is>
          <t>A 47040-2023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46299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Nordfladdermus</t>
        </is>
      </c>
      <c r="W127">
        <f>HYPERLINK("https://klasma.github.io/Logging_0680/artfynd/A 47040-2023 artfynd.xlsx", "A 47040-2023")</f>
        <v/>
      </c>
      <c r="X127">
        <f>HYPERLINK("https://klasma.github.io/Logging_0680/kartor/A 47040-2023 karta.png", "A 47040-2023")</f>
        <v/>
      </c>
      <c r="Y127">
        <f>HYPERLINK("https://klasma.github.io/Logging_0680/kartor_geotiff/A 47040-2023 georefererad karta.tif", "A 47040-2023")</f>
        <v/>
      </c>
      <c r="AA127">
        <f>HYPERLINK("https://klasma.github.io/Logging_0680/klagomål/A 47040-2023 FSC-klagomål.docx", "A 47040-2023")</f>
        <v/>
      </c>
      <c r="AB127">
        <f>HYPERLINK("https://klasma.github.io/Logging_0680/klagomålsmail/A 47040-2023 FSC-klagomål mail.docx", "A 47040-2023")</f>
        <v/>
      </c>
      <c r="AC127">
        <f>HYPERLINK("https://klasma.github.io/Logging_0680/tillsyn/A 47040-2023 tillsynsbegäran.docx", "A 47040-2023")</f>
        <v/>
      </c>
      <c r="AD127">
        <f>HYPERLINK("https://klasma.github.io/Logging_0680/tillsynsmail/A 47040-2023 tillsynsbegäran mail.docx", "A 47040-2023")</f>
        <v/>
      </c>
    </row>
    <row r="128" ht="15" customHeight="1">
      <c r="A128" t="inlineStr">
        <is>
          <t>A 71504-2021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46299</v>
      </c>
      <c r="F128" t="inlineStr">
        <is>
          <t>JÖNKÖPINGS LÄN</t>
        </is>
      </c>
      <c r="G128" t="inlineStr">
        <is>
          <t>JÖNKÖPING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HYPERLINK("https://klasma.github.io/Logging_0680/artfynd/A 71504-2021 artfynd.xlsx", "A 71504-2021")</f>
        <v/>
      </c>
      <c r="X128">
        <f>HYPERLINK("https://klasma.github.io/Logging_0680/kartor/A 71504-2021 karta.png", "A 71504-2021")</f>
        <v/>
      </c>
      <c r="Y128">
        <f>HYPERLINK("https://klasma.github.io/Logging_0680/kartor_geotiff/A 71504-2021 georefererad karta.tif", "A 71504-2021")</f>
        <v/>
      </c>
      <c r="AA128">
        <f>HYPERLINK("https://klasma.github.io/Logging_0680/klagomål/A 71504-2021 FSC-klagomål.docx", "A 71504-2021")</f>
        <v/>
      </c>
      <c r="AB128">
        <f>HYPERLINK("https://klasma.github.io/Logging_0680/klagomålsmail/A 71504-2021 FSC-klagomål mail.docx", "A 71504-2021")</f>
        <v/>
      </c>
      <c r="AC128">
        <f>HYPERLINK("https://klasma.github.io/Logging_0680/tillsyn/A 71504-2021 tillsynsbegäran.docx", "A 71504-2021")</f>
        <v/>
      </c>
      <c r="AD128">
        <f>HYPERLINK("https://klasma.github.io/Logging_0680/tillsynsmail/A 71504-2021 tillsynsbegäran mail.docx", "A 71504-2021")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46299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46299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46299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46299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46299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46299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46299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46299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46299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46299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46299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46299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46299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46299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46299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46299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46299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46299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46299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46299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46299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46299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46299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46299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46299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46299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46299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46299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46299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46299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46299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46299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46299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46299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46299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46299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46299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46299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46299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46299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46299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46299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46299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46299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46299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46299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46299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46299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46299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46299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46299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46299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46299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46299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46299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46299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46299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46299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46299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46299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46299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46299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46299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46299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46299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46299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44853</v>
      </c>
      <c r="E195" s="1" t="n">
        <v>46299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45435</v>
      </c>
      <c r="E196" s="1" t="n">
        <v>46299</v>
      </c>
      <c r="F196" t="inlineStr">
        <is>
          <t>JÖNKÖPINGS LÄN</t>
        </is>
      </c>
      <c r="G196" t="inlineStr">
        <is>
          <t>JÖNKÖPING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46299</v>
      </c>
      <c r="F197" t="inlineStr">
        <is>
          <t>JÖNKÖPINGS LÄN</t>
        </is>
      </c>
      <c r="G197" t="inlineStr">
        <is>
          <t>JÖNKÖPING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46299</v>
      </c>
      <c r="F198" t="inlineStr">
        <is>
          <t>JÖNKÖPINGS LÄN</t>
        </is>
      </c>
      <c r="G198" t="inlineStr">
        <is>
          <t>JÖNKÖPING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46299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46299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46299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46299</v>
      </c>
      <c r="F202" t="inlineStr">
        <is>
          <t>JÖNKÖPINGS LÄN</t>
        </is>
      </c>
      <c r="G202" t="inlineStr">
        <is>
          <t>JÖNKÖPING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46299</v>
      </c>
      <c r="F203" t="inlineStr">
        <is>
          <t>JÖNKÖPINGS LÄN</t>
        </is>
      </c>
      <c r="G203" t="inlineStr">
        <is>
          <t>JÖNKÖPING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46299</v>
      </c>
      <c r="F204" t="inlineStr">
        <is>
          <t>JÖNKÖPINGS LÄN</t>
        </is>
      </c>
      <c r="G204" t="inlineStr">
        <is>
          <t>JÖNKÖPING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46299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46299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46299</v>
      </c>
      <c r="F207" t="inlineStr">
        <is>
          <t>JÖNKÖPINGS LÄN</t>
        </is>
      </c>
      <c r="G207" t="inlineStr">
        <is>
          <t>JÖNKÖPING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45048</v>
      </c>
      <c r="E208" s="1" t="n">
        <v>46299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45605</v>
      </c>
      <c r="E209" s="1" t="n">
        <v>46299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46299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46299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46299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46299</v>
      </c>
      <c r="F213" t="inlineStr">
        <is>
          <t>JÖNKÖPINGS LÄN</t>
        </is>
      </c>
      <c r="G213" t="inlineStr">
        <is>
          <t>JÖNKÖPING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46299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46299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46299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46299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46299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46299</v>
      </c>
      <c r="F219" t="inlineStr">
        <is>
          <t>JÖNKÖPINGS LÄN</t>
        </is>
      </c>
      <c r="G219" t="inlineStr">
        <is>
          <t>JÖNKÖPING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46299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46299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46299</v>
      </c>
      <c r="F222" t="inlineStr">
        <is>
          <t>JÖNKÖPINGS LÄN</t>
        </is>
      </c>
      <c r="G222" t="inlineStr">
        <is>
          <t>JÖNKÖPING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46299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46299</v>
      </c>
      <c r="F224" t="inlineStr">
        <is>
          <t>JÖNKÖPINGS LÄN</t>
        </is>
      </c>
      <c r="G224" t="inlineStr">
        <is>
          <t>JÖNKÖPING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46299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46299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46299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46299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45887</v>
      </c>
      <c r="E229" s="1" t="n">
        <v>46299</v>
      </c>
      <c r="F229" t="inlineStr">
        <is>
          <t>JÖNKÖPINGS LÄN</t>
        </is>
      </c>
      <c r="G229" t="inlineStr">
        <is>
          <t>JÖNKÖPING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45456</v>
      </c>
      <c r="E230" s="1" t="n">
        <v>46299</v>
      </c>
      <c r="F230" t="inlineStr">
        <is>
          <t>JÖNKÖPINGS LÄN</t>
        </is>
      </c>
      <c r="G230" t="inlineStr">
        <is>
          <t>JÖNKÖPING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46299</v>
      </c>
      <c r="F231" t="inlineStr">
        <is>
          <t>JÖNKÖPINGS LÄN</t>
        </is>
      </c>
      <c r="G231" t="inlineStr">
        <is>
          <t>JÖNKÖPING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46299</v>
      </c>
      <c r="F232" t="inlineStr">
        <is>
          <t>JÖNKÖPINGS LÄN</t>
        </is>
      </c>
      <c r="G232" t="inlineStr">
        <is>
          <t>JÖNKÖPING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46299</v>
      </c>
      <c r="F233" t="inlineStr">
        <is>
          <t>JÖNKÖPINGS LÄN</t>
        </is>
      </c>
      <c r="G233" t="inlineStr">
        <is>
          <t>JÖNKÖPING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46299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46008</v>
      </c>
      <c r="E235" s="1" t="n">
        <v>46299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46299</v>
      </c>
      <c r="F236" t="inlineStr">
        <is>
          <t>JÖNKÖPINGS LÄN</t>
        </is>
      </c>
      <c r="G236" t="inlineStr">
        <is>
          <t>JÖNKÖPING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46299</v>
      </c>
      <c r="F237" t="inlineStr">
        <is>
          <t>JÖNKÖPINGS LÄN</t>
        </is>
      </c>
      <c r="G237" t="inlineStr">
        <is>
          <t>JÖNKÖPING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46299</v>
      </c>
      <c r="F238" t="inlineStr">
        <is>
          <t>JÖNKÖPINGS LÄN</t>
        </is>
      </c>
      <c r="G238" t="inlineStr">
        <is>
          <t>JÖNKÖPING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46299</v>
      </c>
      <c r="F239" t="inlineStr">
        <is>
          <t>JÖNKÖPINGS LÄN</t>
        </is>
      </c>
      <c r="G239" t="inlineStr">
        <is>
          <t>JÖNKÖPING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46299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46299</v>
      </c>
      <c r="F241" t="inlineStr">
        <is>
          <t>JÖNKÖPINGS LÄN</t>
        </is>
      </c>
      <c r="G241" t="inlineStr">
        <is>
          <t>JÖNKÖPING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46299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46299</v>
      </c>
      <c r="F243" t="inlineStr">
        <is>
          <t>JÖNKÖPINGS LÄN</t>
        </is>
      </c>
      <c r="G243" t="inlineStr">
        <is>
          <t>JÖNKÖPING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46299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46299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46299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46299</v>
      </c>
      <c r="F247" t="inlineStr">
        <is>
          <t>JÖNKÖPINGS LÄN</t>
        </is>
      </c>
      <c r="G247" t="inlineStr">
        <is>
          <t>JÖNKÖPING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46299</v>
      </c>
      <c r="F248" t="inlineStr">
        <is>
          <t>JÖNKÖPINGS LÄN</t>
        </is>
      </c>
      <c r="G248" t="inlineStr">
        <is>
          <t>JÖNKÖPING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46299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46299</v>
      </c>
      <c r="F250" t="inlineStr">
        <is>
          <t>JÖNKÖPINGS LÄN</t>
        </is>
      </c>
      <c r="G250" t="inlineStr">
        <is>
          <t>JÖNKÖPING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46299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46299</v>
      </c>
      <c r="F252" t="inlineStr">
        <is>
          <t>JÖNKÖPINGS LÄN</t>
        </is>
      </c>
      <c r="G252" t="inlineStr">
        <is>
          <t>JÖNKÖPING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46299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45184</v>
      </c>
      <c r="E254" s="1" t="n">
        <v>46299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46299</v>
      </c>
      <c r="F255" t="inlineStr">
        <is>
          <t>JÖNKÖPINGS LÄN</t>
        </is>
      </c>
      <c r="G255" t="inlineStr">
        <is>
          <t>JÖNKÖPING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46299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46299</v>
      </c>
      <c r="F257" t="inlineStr">
        <is>
          <t>JÖNKÖPINGS LÄN</t>
        </is>
      </c>
      <c r="G257" t="inlineStr">
        <is>
          <t>JÖNKÖPING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45892</v>
      </c>
      <c r="E258" s="1" t="n">
        <v>46299</v>
      </c>
      <c r="F258" t="inlineStr">
        <is>
          <t>JÖNKÖPINGS LÄN</t>
        </is>
      </c>
      <c r="G258" t="inlineStr">
        <is>
          <t>JÖNKÖPING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45892</v>
      </c>
      <c r="E259" s="1" t="n">
        <v>46299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46299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40248-2025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46299</v>
      </c>
      <c r="F261" t="inlineStr">
        <is>
          <t>JÖNKÖPINGS LÄN</t>
        </is>
      </c>
      <c r="G261" t="inlineStr">
        <is>
          <t>JÖNKÖPING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46299</v>
      </c>
      <c r="F262" t="inlineStr">
        <is>
          <t>JÖNKÖPINGS LÄN</t>
        </is>
      </c>
      <c r="G262" t="inlineStr">
        <is>
          <t>JÖNKÖPING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46299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46299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46299</v>
      </c>
      <c r="F265" t="inlineStr">
        <is>
          <t>JÖNKÖPINGS LÄN</t>
        </is>
      </c>
      <c r="G265" t="inlineStr">
        <is>
          <t>JÖNKÖPING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45116</v>
      </c>
      <c r="E266" s="1" t="n">
        <v>46299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46299</v>
      </c>
      <c r="F267" t="inlineStr">
        <is>
          <t>JÖNKÖPINGS LÄN</t>
        </is>
      </c>
      <c r="G267" t="inlineStr">
        <is>
          <t>JÖNKÖPING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46299</v>
      </c>
      <c r="F268" t="inlineStr">
        <is>
          <t>JÖNKÖPINGS LÄN</t>
        </is>
      </c>
      <c r="G268" t="inlineStr">
        <is>
          <t>JÖNKÖPING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46299</v>
      </c>
      <c r="F269" t="inlineStr">
        <is>
          <t>JÖNKÖPINGS LÄN</t>
        </is>
      </c>
      <c r="G269" t="inlineStr">
        <is>
          <t>JÖNKÖPING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46299</v>
      </c>
      <c r="F270" t="inlineStr">
        <is>
          <t>JÖNKÖPINGS LÄN</t>
        </is>
      </c>
      <c r="G270" t="inlineStr">
        <is>
          <t>JÖNKÖPING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46299</v>
      </c>
      <c r="F271" t="inlineStr">
        <is>
          <t>JÖNKÖPINGS LÄN</t>
        </is>
      </c>
      <c r="G271" t="inlineStr">
        <is>
          <t>JÖNKÖPING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46299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46299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44482</v>
      </c>
      <c r="E274" s="1" t="n">
        <v>46299</v>
      </c>
      <c r="F274" t="inlineStr">
        <is>
          <t>JÖNKÖPINGS LÄN</t>
        </is>
      </c>
      <c r="G274" t="inlineStr">
        <is>
          <t>JÖNKÖPING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44662</v>
      </c>
      <c r="E275" s="1" t="n">
        <v>46299</v>
      </c>
      <c r="F275" t="inlineStr">
        <is>
          <t>JÖNKÖPINGS LÄN</t>
        </is>
      </c>
      <c r="G275" t="inlineStr">
        <is>
          <t>JÖNKÖPING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46299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46299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46299</v>
      </c>
      <c r="F278" t="inlineStr">
        <is>
          <t>JÖNKÖPINGS LÄN</t>
        </is>
      </c>
      <c r="G278" t="inlineStr">
        <is>
          <t>JÖNKÖPING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46299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Sveaskog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46299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46299</v>
      </c>
      <c r="F281" t="inlineStr">
        <is>
          <t>JÖNKÖPINGS LÄN</t>
        </is>
      </c>
      <c r="G281" t="inlineStr">
        <is>
          <t>JÖNKÖPING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42925-2025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46299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46299</v>
      </c>
      <c r="F283" t="inlineStr">
        <is>
          <t>JÖNKÖPINGS LÄN</t>
        </is>
      </c>
      <c r="G283" t="inlineStr">
        <is>
          <t>JÖNKÖPING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46299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46299</v>
      </c>
      <c r="F285" t="inlineStr">
        <is>
          <t>JÖNKÖPINGS LÄN</t>
        </is>
      </c>
      <c r="G285" t="inlineStr">
        <is>
          <t>JÖNKÖPING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44904</v>
      </c>
      <c r="E286" s="1" t="n">
        <v>46299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Kommuner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46043</v>
      </c>
      <c r="E287" s="1" t="n">
        <v>46299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7425-2026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46059</v>
      </c>
      <c r="E288" s="1" t="n">
        <v>46299</v>
      </c>
      <c r="F288" t="inlineStr">
        <is>
          <t>JÖNKÖPINGS LÄN</t>
        </is>
      </c>
      <c r="G288" t="inlineStr">
        <is>
          <t>JÖNKÖPING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46041</v>
      </c>
      <c r="E289" s="1" t="n">
        <v>46299</v>
      </c>
      <c r="F289" t="inlineStr">
        <is>
          <t>JÖNKÖPINGS LÄN</t>
        </is>
      </c>
      <c r="G289" t="inlineStr">
        <is>
          <t>JÖNKÖPING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46299</v>
      </c>
      <c r="F290" t="inlineStr">
        <is>
          <t>JÖNKÖPINGS LÄN</t>
        </is>
      </c>
      <c r="G290" t="inlineStr">
        <is>
          <t>JÖNKÖPING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46299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44861</v>
      </c>
      <c r="E292" s="1" t="n">
        <v>46299</v>
      </c>
      <c r="F292" t="inlineStr">
        <is>
          <t>JÖNKÖPINGS LÄN</t>
        </is>
      </c>
      <c r="G292" t="inlineStr">
        <is>
          <t>JÖNKÖPING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45570</v>
      </c>
      <c r="E293" s="1" t="n">
        <v>46299</v>
      </c>
      <c r="F293" t="inlineStr">
        <is>
          <t>JÖNKÖPINGS LÄN</t>
        </is>
      </c>
      <c r="G293" t="inlineStr">
        <is>
          <t>JÖNKÖPING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46299</v>
      </c>
      <c r="F294" t="inlineStr">
        <is>
          <t>JÖNKÖPINGS LÄN</t>
        </is>
      </c>
      <c r="G294" t="inlineStr">
        <is>
          <t>JÖNKÖPING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46299</v>
      </c>
      <c r="F295" t="inlineStr">
        <is>
          <t>JÖNKÖPINGS LÄN</t>
        </is>
      </c>
      <c r="G295" t="inlineStr">
        <is>
          <t>JÖNKÖPING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46299</v>
      </c>
      <c r="F296" t="inlineStr">
        <is>
          <t>JÖNKÖPINGS LÄN</t>
        </is>
      </c>
      <c r="G296" t="inlineStr">
        <is>
          <t>JÖNKÖPING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44735</v>
      </c>
      <c r="E297" s="1" t="n">
        <v>46299</v>
      </c>
      <c r="F297" t="inlineStr">
        <is>
          <t>JÖNKÖPINGS LÄN</t>
        </is>
      </c>
      <c r="G297" t="inlineStr">
        <is>
          <t>JÖNKÖPING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46299</v>
      </c>
      <c r="F298" t="inlineStr">
        <is>
          <t>JÖNKÖPINGS LÄN</t>
        </is>
      </c>
      <c r="G298" t="inlineStr">
        <is>
          <t>JÖNKÖPING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46299</v>
      </c>
      <c r="F299" t="inlineStr">
        <is>
          <t>JÖNKÖPINGS LÄN</t>
        </is>
      </c>
      <c r="G299" t="inlineStr">
        <is>
          <t>JÖNKÖPING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46299</v>
      </c>
      <c r="F300" t="inlineStr">
        <is>
          <t>JÖNKÖPINGS LÄN</t>
        </is>
      </c>
      <c r="G300" t="inlineStr">
        <is>
          <t>JÖNKÖPING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46299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46299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46299</v>
      </c>
      <c r="F303" t="inlineStr">
        <is>
          <t>JÖNKÖPINGS LÄN</t>
        </is>
      </c>
      <c r="G303" t="inlineStr">
        <is>
          <t>JÖNKÖPING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46048</v>
      </c>
      <c r="E304" s="1" t="n">
        <v>46299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46299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46299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46299</v>
      </c>
      <c r="F307" t="inlineStr">
        <is>
          <t>JÖNKÖPINGS LÄN</t>
        </is>
      </c>
      <c r="G307" t="inlineStr">
        <is>
          <t>JÖNKÖPING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46299</v>
      </c>
      <c r="F308" t="inlineStr">
        <is>
          <t>JÖNKÖPINGS LÄN</t>
        </is>
      </c>
      <c r="G308" t="inlineStr">
        <is>
          <t>JÖNKÖPING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46299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46299</v>
      </c>
      <c r="F310" t="inlineStr">
        <is>
          <t>JÖNKÖPINGS LÄN</t>
        </is>
      </c>
      <c r="G310" t="inlineStr">
        <is>
          <t>JÖNKÖPING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46050</v>
      </c>
      <c r="E311" s="1" t="n">
        <v>46299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46299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46299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45806</v>
      </c>
      <c r="E314" s="1" t="n">
        <v>46299</v>
      </c>
      <c r="F314" t="inlineStr">
        <is>
          <t>JÖNKÖPINGS LÄN</t>
        </is>
      </c>
      <c r="G314" t="inlineStr">
        <is>
          <t>JÖNKÖPING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46299</v>
      </c>
      <c r="F315" t="inlineStr">
        <is>
          <t>JÖNKÖPINGS LÄN</t>
        </is>
      </c>
      <c r="G315" t="inlineStr">
        <is>
          <t>JÖNKÖPING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46299</v>
      </c>
      <c r="F316" t="inlineStr">
        <is>
          <t>JÖNKÖPINGS LÄN</t>
        </is>
      </c>
      <c r="G316" t="inlineStr">
        <is>
          <t>JÖNKÖPING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46299</v>
      </c>
      <c r="F317" t="inlineStr">
        <is>
          <t>JÖNKÖPINGS LÄN</t>
        </is>
      </c>
      <c r="G317" t="inlineStr">
        <is>
          <t>JÖNKÖPING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46299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46299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46299</v>
      </c>
      <c r="F320" t="inlineStr">
        <is>
          <t>JÖNKÖPINGS LÄN</t>
        </is>
      </c>
      <c r="G320" t="inlineStr">
        <is>
          <t>JÖNKÖPING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46299</v>
      </c>
      <c r="F321" t="inlineStr">
        <is>
          <t>JÖNKÖPINGS LÄN</t>
        </is>
      </c>
      <c r="G321" t="inlineStr">
        <is>
          <t>JÖNKÖPING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46299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45539</v>
      </c>
      <c r="E323" s="1" t="n">
        <v>46299</v>
      </c>
      <c r="F323" t="inlineStr">
        <is>
          <t>JÖNKÖPINGS LÄN</t>
        </is>
      </c>
      <c r="G323" t="inlineStr">
        <is>
          <t>JÖNKÖPING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44592</v>
      </c>
      <c r="E324" s="1" t="n">
        <v>46299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46299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46299</v>
      </c>
      <c r="F326" t="inlineStr">
        <is>
          <t>JÖNKÖPINGS LÄN</t>
        </is>
      </c>
      <c r="G326" t="inlineStr">
        <is>
          <t>JÖNKÖPING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46299</v>
      </c>
      <c r="F327" t="inlineStr">
        <is>
          <t>JÖNKÖPINGS LÄN</t>
        </is>
      </c>
      <c r="G327" t="inlineStr">
        <is>
          <t>JÖNKÖPING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46299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46299</v>
      </c>
      <c r="F329" t="inlineStr">
        <is>
          <t>JÖNKÖPINGS LÄN</t>
        </is>
      </c>
      <c r="G329" t="inlineStr">
        <is>
          <t>JÖNKÖPING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46299</v>
      </c>
      <c r="F330" t="inlineStr">
        <is>
          <t>JÖNKÖPINGS LÄN</t>
        </is>
      </c>
      <c r="G330" t="inlineStr">
        <is>
          <t>JÖNKÖPING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46299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46299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46299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46299</v>
      </c>
      <c r="F334" t="inlineStr">
        <is>
          <t>JÖNKÖPINGS LÄN</t>
        </is>
      </c>
      <c r="G334" t="inlineStr">
        <is>
          <t>JÖNKÖPING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46299</v>
      </c>
      <c r="F335" t="inlineStr">
        <is>
          <t>JÖNKÖPINGS LÄN</t>
        </is>
      </c>
      <c r="G335" t="inlineStr">
        <is>
          <t>JÖNKÖPING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46299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46299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46299</v>
      </c>
      <c r="F338" t="inlineStr">
        <is>
          <t>JÖNKÖPINGS LÄN</t>
        </is>
      </c>
      <c r="G338" t="inlineStr">
        <is>
          <t>JÖNKÖPING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46299</v>
      </c>
      <c r="F339" t="inlineStr">
        <is>
          <t>JÖNKÖPINGS LÄN</t>
        </is>
      </c>
      <c r="G339" t="inlineStr">
        <is>
          <t>JÖNKÖPING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46299</v>
      </c>
      <c r="F340" t="inlineStr">
        <is>
          <t>JÖNKÖPINGS LÄN</t>
        </is>
      </c>
      <c r="G340" t="inlineStr">
        <is>
          <t>JÖNKÖPING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46299</v>
      </c>
      <c r="F341" t="inlineStr">
        <is>
          <t>JÖNKÖPINGS LÄN</t>
        </is>
      </c>
      <c r="G341" t="inlineStr">
        <is>
          <t>JÖNKÖPING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46299</v>
      </c>
      <c r="F342" t="inlineStr">
        <is>
          <t>JÖNKÖPINGS LÄN</t>
        </is>
      </c>
      <c r="G342" t="inlineStr">
        <is>
          <t>JÖNKÖPING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9067-2026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46069</v>
      </c>
      <c r="E343" s="1" t="n">
        <v>46299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46069</v>
      </c>
      <c r="E344" s="1" t="n">
        <v>46299</v>
      </c>
      <c r="F344" t="inlineStr">
        <is>
          <t>JÖNKÖPINGS LÄN</t>
        </is>
      </c>
      <c r="G344" t="inlineStr">
        <is>
          <t>JÖNKÖPING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9020-2026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46069</v>
      </c>
      <c r="E345" s="1" t="n">
        <v>46299</v>
      </c>
      <c r="F345" t="inlineStr">
        <is>
          <t>JÖNKÖPINGS LÄN</t>
        </is>
      </c>
      <c r="G345" t="inlineStr">
        <is>
          <t>JÖNKÖPING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46299</v>
      </c>
      <c r="F346" t="inlineStr">
        <is>
          <t>JÖNKÖPINGS LÄN</t>
        </is>
      </c>
      <c r="G346" t="inlineStr">
        <is>
          <t>JÖNKÖPING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44622</v>
      </c>
      <c r="E347" s="1" t="n">
        <v>46299</v>
      </c>
      <c r="F347" t="inlineStr">
        <is>
          <t>JÖNKÖPINGS LÄN</t>
        </is>
      </c>
      <c r="G347" t="inlineStr">
        <is>
          <t>JÖNKÖPING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46299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Övriga statliga verk och myndigheter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45037</v>
      </c>
      <c r="E349" s="1" t="n">
        <v>46299</v>
      </c>
      <c r="F349" t="inlineStr">
        <is>
          <t>JÖNKÖPINGS LÄN</t>
        </is>
      </c>
      <c r="G349" t="inlineStr">
        <is>
          <t>JÖNKÖPING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45934</v>
      </c>
      <c r="E350" s="1" t="n">
        <v>46299</v>
      </c>
      <c r="F350" t="inlineStr">
        <is>
          <t>JÖNKÖPINGS LÄN</t>
        </is>
      </c>
      <c r="G350" t="inlineStr">
        <is>
          <t>JÖNKÖPING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50192-2024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46299</v>
      </c>
      <c r="F351" t="inlineStr">
        <is>
          <t>JÖNKÖPINGS LÄN</t>
        </is>
      </c>
      <c r="G351" t="inlineStr">
        <is>
          <t>JÖNKÖPING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45600</v>
      </c>
      <c r="E352" s="1" t="n">
        <v>46299</v>
      </c>
      <c r="F352" t="inlineStr">
        <is>
          <t>JÖNKÖPINGS LÄN</t>
        </is>
      </c>
      <c r="G352" t="inlineStr">
        <is>
          <t>JÖNKÖPING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46299</v>
      </c>
      <c r="F353" t="inlineStr">
        <is>
          <t>JÖNKÖPINGS LÄN</t>
        </is>
      </c>
      <c r="G353" t="inlineStr">
        <is>
          <t>JÖNKÖPING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46299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46299</v>
      </c>
      <c r="F355" t="inlineStr">
        <is>
          <t>JÖNKÖPINGS LÄN</t>
        </is>
      </c>
      <c r="G355" t="inlineStr">
        <is>
          <t>JÖNKÖPING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46299</v>
      </c>
      <c r="F356" t="inlineStr">
        <is>
          <t>JÖNKÖPINGS LÄN</t>
        </is>
      </c>
      <c r="G356" t="inlineStr">
        <is>
          <t>JÖNKÖPING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46299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46299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9926-2026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46073</v>
      </c>
      <c r="E359" s="1" t="n">
        <v>46299</v>
      </c>
      <c r="F359" t="inlineStr">
        <is>
          <t>JÖNKÖPINGS LÄN</t>
        </is>
      </c>
      <c r="G359" t="inlineStr">
        <is>
          <t>JÖNKÖPING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46299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11236-2024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45371</v>
      </c>
      <c r="E361" s="1" t="n">
        <v>46299</v>
      </c>
      <c r="F361" t="inlineStr">
        <is>
          <t>JÖNKÖPINGS LÄN</t>
        </is>
      </c>
      <c r="G361" t="inlineStr">
        <is>
          <t>JÖNKÖPING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46299</v>
      </c>
      <c r="F362" t="inlineStr">
        <is>
          <t>JÖNKÖPINGS LÄN</t>
        </is>
      </c>
      <c r="G362" t="inlineStr">
        <is>
          <t>JÖNKÖPING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45682</v>
      </c>
      <c r="E363" s="1" t="n">
        <v>46299</v>
      </c>
      <c r="F363" t="inlineStr">
        <is>
          <t>JÖNKÖPINGS LÄN</t>
        </is>
      </c>
      <c r="G363" t="inlineStr">
        <is>
          <t>JÖNKÖPING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46299</v>
      </c>
      <c r="F364" t="inlineStr">
        <is>
          <t>JÖNKÖPINGS LÄN</t>
        </is>
      </c>
      <c r="G364" t="inlineStr">
        <is>
          <t>JÖNKÖPING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46299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46299</v>
      </c>
      <c r="F366" t="inlineStr">
        <is>
          <t>JÖNKÖPINGS LÄN</t>
        </is>
      </c>
      <c r="G366" t="inlineStr">
        <is>
          <t>JÖNKÖPING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45617</v>
      </c>
      <c r="E367" s="1" t="n">
        <v>46299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46299</v>
      </c>
      <c r="F368" t="inlineStr">
        <is>
          <t>JÖNKÖPINGS LÄN</t>
        </is>
      </c>
      <c r="G368" t="inlineStr">
        <is>
          <t>JÖNKÖPING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44585</v>
      </c>
      <c r="E369" s="1" t="n">
        <v>46299</v>
      </c>
      <c r="F369" t="inlineStr">
        <is>
          <t>JÖNKÖPINGS LÄN</t>
        </is>
      </c>
      <c r="G369" t="inlineStr">
        <is>
          <t>JÖNKÖPING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45152</v>
      </c>
      <c r="E370" s="1" t="n">
        <v>46299</v>
      </c>
      <c r="F370" t="inlineStr">
        <is>
          <t>JÖNKÖPINGS LÄN</t>
        </is>
      </c>
      <c r="G370" t="inlineStr">
        <is>
          <t>JÖNKÖPING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45351</v>
      </c>
      <c r="E371" s="1" t="n">
        <v>46299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46299</v>
      </c>
      <c r="F372" t="inlineStr">
        <is>
          <t>JÖNKÖPINGS LÄN</t>
        </is>
      </c>
      <c r="G372" t="inlineStr">
        <is>
          <t>JÖNKÖPING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46299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46299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46299</v>
      </c>
      <c r="F375" t="inlineStr">
        <is>
          <t>JÖNKÖPINGS LÄN</t>
        </is>
      </c>
      <c r="G375" t="inlineStr">
        <is>
          <t>JÖNKÖPING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46299</v>
      </c>
      <c r="F376" t="inlineStr">
        <is>
          <t>JÖNKÖPINGS LÄN</t>
        </is>
      </c>
      <c r="G376" t="inlineStr">
        <is>
          <t>JÖNKÖPING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45643</v>
      </c>
      <c r="E377" s="1" t="n">
        <v>46299</v>
      </c>
      <c r="F377" t="inlineStr">
        <is>
          <t>JÖNKÖPINGS LÄN</t>
        </is>
      </c>
      <c r="G377" t="inlineStr">
        <is>
          <t>JÖNKÖPING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46299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46299</v>
      </c>
      <c r="F379" t="inlineStr">
        <is>
          <t>JÖNKÖPINGS LÄN</t>
        </is>
      </c>
      <c r="G379" t="inlineStr">
        <is>
          <t>JÖNKÖPING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44904</v>
      </c>
      <c r="E380" s="1" t="n">
        <v>46299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46299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46299</v>
      </c>
      <c r="F382" t="inlineStr">
        <is>
          <t>JÖNKÖPINGS LÄN</t>
        </is>
      </c>
      <c r="G382" t="inlineStr">
        <is>
          <t>JÖNKÖPING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46299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46299</v>
      </c>
      <c r="F384" t="inlineStr">
        <is>
          <t>JÖNKÖPINGS LÄN</t>
        </is>
      </c>
      <c r="G384" t="inlineStr">
        <is>
          <t>JÖNKÖPING</t>
        </is>
      </c>
      <c r="I384" t="n">
        <v>9.699999999999999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46299</v>
      </c>
      <c r="F385" t="inlineStr">
        <is>
          <t>JÖNKÖPINGS LÄN</t>
        </is>
      </c>
      <c r="G385" t="inlineStr">
        <is>
          <t>JÖNKÖPING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46299</v>
      </c>
      <c r="F386" t="inlineStr">
        <is>
          <t>JÖNKÖPINGS LÄN</t>
        </is>
      </c>
      <c r="G386" t="inlineStr">
        <is>
          <t>JÖNKÖPING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44507</v>
      </c>
      <c r="E387" s="1" t="n">
        <v>46299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46299</v>
      </c>
      <c r="F388" t="inlineStr">
        <is>
          <t>JÖNKÖPINGS LÄN</t>
        </is>
      </c>
      <c r="G388" t="inlineStr">
        <is>
          <t>JÖNKÖPING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46299</v>
      </c>
      <c r="F389" t="inlineStr">
        <is>
          <t>JÖNKÖPINGS LÄN</t>
        </is>
      </c>
      <c r="G389" t="inlineStr">
        <is>
          <t>JÖNKÖPING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46299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46299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46299</v>
      </c>
      <c r="F392" t="inlineStr">
        <is>
          <t>JÖNKÖPINGS LÄN</t>
        </is>
      </c>
      <c r="G392" t="inlineStr">
        <is>
          <t>JÖNKÖPING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45079</v>
      </c>
      <c r="E393" s="1" t="n">
        <v>46299</v>
      </c>
      <c r="F393" t="inlineStr">
        <is>
          <t>JÖNKÖPINGS LÄN</t>
        </is>
      </c>
      <c r="G393" t="inlineStr">
        <is>
          <t>JÖNKÖPING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46299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46299</v>
      </c>
      <c r="F395" t="inlineStr">
        <is>
          <t>JÖNKÖPINGS LÄN</t>
        </is>
      </c>
      <c r="G395" t="inlineStr">
        <is>
          <t>JÖNKÖPING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46299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46299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46299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46299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46299</v>
      </c>
      <c r="F400" t="inlineStr">
        <is>
          <t>JÖNKÖPINGS LÄN</t>
        </is>
      </c>
      <c r="G400" t="inlineStr">
        <is>
          <t>JÖNKÖPING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46299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45240</v>
      </c>
      <c r="E402" s="1" t="n">
        <v>46299</v>
      </c>
      <c r="F402" t="inlineStr">
        <is>
          <t>JÖNKÖPINGS LÄN</t>
        </is>
      </c>
      <c r="G402" t="inlineStr">
        <is>
          <t>JÖNKÖPING</t>
        </is>
      </c>
      <c r="I402" t="n">
        <v>13.6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46299</v>
      </c>
      <c r="F403" t="inlineStr">
        <is>
          <t>JÖNKÖPINGS LÄN</t>
        </is>
      </c>
      <c r="G403" t="inlineStr">
        <is>
          <t>JÖNKÖPING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44626</v>
      </c>
      <c r="E404" s="1" t="n">
        <v>46299</v>
      </c>
      <c r="F404" t="inlineStr">
        <is>
          <t>JÖNKÖPINGS LÄN</t>
        </is>
      </c>
      <c r="G404" t="inlineStr">
        <is>
          <t>JÖNKÖPING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46299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46299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46299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46299</v>
      </c>
      <c r="F408" t="inlineStr">
        <is>
          <t>JÖNKÖPINGS LÄN</t>
        </is>
      </c>
      <c r="G408" t="inlineStr">
        <is>
          <t>JÖNKÖPING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46299</v>
      </c>
      <c r="F409" t="inlineStr">
        <is>
          <t>JÖNKÖPINGS LÄN</t>
        </is>
      </c>
      <c r="G409" t="inlineStr">
        <is>
          <t>JÖNKÖPING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57567-2023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46299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45058</v>
      </c>
      <c r="E411" s="1" t="n">
        <v>46299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46299</v>
      </c>
      <c r="F412" t="inlineStr">
        <is>
          <t>JÖNKÖPINGS LÄN</t>
        </is>
      </c>
      <c r="G412" t="inlineStr">
        <is>
          <t>JÖNKÖPING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46299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46299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46299</v>
      </c>
      <c r="F415" t="inlineStr">
        <is>
          <t>JÖNKÖPINGS LÄN</t>
        </is>
      </c>
      <c r="G415" t="inlineStr">
        <is>
          <t>JÖNKÖPING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45502</v>
      </c>
      <c r="E416" s="1" t="n">
        <v>46299</v>
      </c>
      <c r="F416" t="inlineStr">
        <is>
          <t>JÖNKÖPINGS LÄN</t>
        </is>
      </c>
      <c r="G416" t="inlineStr">
        <is>
          <t>JÖNKÖPING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43668-2022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44837</v>
      </c>
      <c r="E417" s="1" t="n">
        <v>46299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46299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44614</v>
      </c>
      <c r="E419" s="1" t="n">
        <v>46299</v>
      </c>
      <c r="F419" t="inlineStr">
        <is>
          <t>JÖNKÖPINGS LÄN</t>
        </is>
      </c>
      <c r="G419" t="inlineStr">
        <is>
          <t>JÖNKÖPING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46299</v>
      </c>
      <c r="F420" t="inlineStr">
        <is>
          <t>JÖNKÖPINGS LÄN</t>
        </is>
      </c>
      <c r="G420" t="inlineStr">
        <is>
          <t>JÖNKÖPING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46299</v>
      </c>
      <c r="F421" t="inlineStr">
        <is>
          <t>JÖNKÖPINGS LÄN</t>
        </is>
      </c>
      <c r="G421" t="inlineStr">
        <is>
          <t>JÖNKÖPING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46299</v>
      </c>
      <c r="F422" t="inlineStr">
        <is>
          <t>JÖNKÖPINGS LÄN</t>
        </is>
      </c>
      <c r="G422" t="inlineStr">
        <is>
          <t>JÖNKÖPING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46299</v>
      </c>
      <c r="F423" t="inlineStr">
        <is>
          <t>JÖNKÖPINGS LÄN</t>
        </is>
      </c>
      <c r="G423" t="inlineStr">
        <is>
          <t>JÖNKÖPING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46299</v>
      </c>
      <c r="F424" t="inlineStr">
        <is>
          <t>JÖNKÖPINGS LÄN</t>
        </is>
      </c>
      <c r="G424" t="inlineStr">
        <is>
          <t>JÖNKÖPING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46299</v>
      </c>
      <c r="F425" t="inlineStr">
        <is>
          <t>JÖNKÖPINGS LÄN</t>
        </is>
      </c>
      <c r="G425" t="inlineStr">
        <is>
          <t>JÖNKÖPING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46299</v>
      </c>
      <c r="F426" t="inlineStr">
        <is>
          <t>JÖNKÖPINGS LÄN</t>
        </is>
      </c>
      <c r="G426" t="inlineStr">
        <is>
          <t>JÖNKÖPING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46299</v>
      </c>
      <c r="F427" t="inlineStr">
        <is>
          <t>JÖNKÖPINGS LÄN</t>
        </is>
      </c>
      <c r="G427" t="inlineStr">
        <is>
          <t>JÖNKÖPING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46299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44935</v>
      </c>
      <c r="E429" s="1" t="n">
        <v>46299</v>
      </c>
      <c r="F429" t="inlineStr">
        <is>
          <t>JÖNKÖPINGS LÄN</t>
        </is>
      </c>
      <c r="G429" t="inlineStr">
        <is>
          <t>JÖNKÖPING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51876-2022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46299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46299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46299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44575</v>
      </c>
      <c r="E433" s="1" t="n">
        <v>46299</v>
      </c>
      <c r="F433" t="inlineStr">
        <is>
          <t>JÖNKÖPINGS LÄN</t>
        </is>
      </c>
      <c r="G433" t="inlineStr">
        <is>
          <t>JÖNKÖPING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46299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46299</v>
      </c>
      <c r="F435" t="inlineStr">
        <is>
          <t>JÖNKÖPINGS LÄN</t>
        </is>
      </c>
      <c r="G435" t="inlineStr">
        <is>
          <t>JÖNKÖPING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46299</v>
      </c>
      <c r="F436" t="inlineStr">
        <is>
          <t>JÖNKÖPINGS LÄN</t>
        </is>
      </c>
      <c r="G436" t="inlineStr">
        <is>
          <t>JÖNKÖPING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45008</v>
      </c>
      <c r="E437" s="1" t="n">
        <v>46299</v>
      </c>
      <c r="F437" t="inlineStr">
        <is>
          <t>JÖNKÖPINGS LÄN</t>
        </is>
      </c>
      <c r="G437" t="inlineStr">
        <is>
          <t>JÖNKÖPING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45105</v>
      </c>
      <c r="E438" s="1" t="n">
        <v>46299</v>
      </c>
      <c r="F438" t="inlineStr">
        <is>
          <t>JÖNKÖPINGS LÄN</t>
        </is>
      </c>
      <c r="G438" t="inlineStr">
        <is>
          <t>JÖNKÖPING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46299</v>
      </c>
      <c r="F439" t="inlineStr">
        <is>
          <t>JÖNKÖPINGS LÄN</t>
        </is>
      </c>
      <c r="G439" t="inlineStr">
        <is>
          <t>JÖNKÖPING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46299</v>
      </c>
      <c r="F440" t="inlineStr">
        <is>
          <t>JÖNKÖPINGS LÄN</t>
        </is>
      </c>
      <c r="G440" t="inlineStr">
        <is>
          <t>JÖNKÖPING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45759</v>
      </c>
      <c r="E441" s="1" t="n">
        <v>46299</v>
      </c>
      <c r="F441" t="inlineStr">
        <is>
          <t>JÖNKÖPINGS LÄN</t>
        </is>
      </c>
      <c r="G441" t="inlineStr">
        <is>
          <t>JÖNKÖPING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46299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57930-2021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44487</v>
      </c>
      <c r="E443" s="1" t="n">
        <v>46299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46299</v>
      </c>
      <c r="F444" t="inlineStr">
        <is>
          <t>JÖNKÖPINGS LÄN</t>
        </is>
      </c>
      <c r="G444" t="inlineStr">
        <is>
          <t>JÖNKÖPING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44631</v>
      </c>
      <c r="E445" s="1" t="n">
        <v>46299</v>
      </c>
      <c r="F445" t="inlineStr">
        <is>
          <t>JÖNKÖPINGS LÄN</t>
        </is>
      </c>
      <c r="G445" t="inlineStr">
        <is>
          <t>JÖNKÖPING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45552</v>
      </c>
      <c r="E446" s="1" t="n">
        <v>46299</v>
      </c>
      <c r="F446" t="inlineStr">
        <is>
          <t>JÖNKÖPINGS LÄN</t>
        </is>
      </c>
      <c r="G446" t="inlineStr">
        <is>
          <t>JÖNKÖPING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46299</v>
      </c>
      <c r="F447" t="inlineStr">
        <is>
          <t>JÖNKÖPINGS LÄN</t>
        </is>
      </c>
      <c r="G447" t="inlineStr">
        <is>
          <t>JÖNKÖPING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44483</v>
      </c>
      <c r="E448" s="1" t="n">
        <v>46299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46299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46299</v>
      </c>
      <c r="F450" t="inlineStr">
        <is>
          <t>JÖNKÖPINGS LÄN</t>
        </is>
      </c>
      <c r="G450" t="inlineStr">
        <is>
          <t>JÖNKÖPING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45756</v>
      </c>
      <c r="E451" s="1" t="n">
        <v>46299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62332-2022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46299</v>
      </c>
      <c r="F452" t="inlineStr">
        <is>
          <t>JÖNKÖPINGS LÄN</t>
        </is>
      </c>
      <c r="G452" t="inlineStr">
        <is>
          <t>JÖNKÖPING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46299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46299</v>
      </c>
      <c r="F454" t="inlineStr">
        <is>
          <t>JÖNKÖPINGS LÄN</t>
        </is>
      </c>
      <c r="G454" t="inlineStr">
        <is>
          <t>JÖNKÖPING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45558</v>
      </c>
      <c r="E455" s="1" t="n">
        <v>46299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45797</v>
      </c>
      <c r="E456" s="1" t="n">
        <v>46299</v>
      </c>
      <c r="F456" t="inlineStr">
        <is>
          <t>JÖNKÖPINGS LÄN</t>
        </is>
      </c>
      <c r="G456" t="inlineStr">
        <is>
          <t>JÖNKÖPING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45587</v>
      </c>
      <c r="E457" s="1" t="n">
        <v>46299</v>
      </c>
      <c r="F457" t="inlineStr">
        <is>
          <t>JÖNKÖPINGS LÄN</t>
        </is>
      </c>
      <c r="G457" t="inlineStr">
        <is>
          <t>JÖNKÖPING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46299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18774-2025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46299</v>
      </c>
      <c r="F459" t="inlineStr">
        <is>
          <t>JÖNKÖPINGS LÄN</t>
        </is>
      </c>
      <c r="G459" t="inlineStr">
        <is>
          <t>JÖNKÖPING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45846</v>
      </c>
      <c r="E460" s="1" t="n">
        <v>46299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Kyrkan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46299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Kyrkan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45300</v>
      </c>
      <c r="E462" s="1" t="n">
        <v>46299</v>
      </c>
      <c r="F462" t="inlineStr">
        <is>
          <t>JÖNKÖPINGS LÄN</t>
        </is>
      </c>
      <c r="G462" t="inlineStr">
        <is>
          <t>JÖNKÖPING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46299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45681</v>
      </c>
      <c r="E464" s="1" t="n">
        <v>46299</v>
      </c>
      <c r="F464" t="inlineStr">
        <is>
          <t>JÖNKÖPINGS LÄN</t>
        </is>
      </c>
      <c r="G464" t="inlineStr">
        <is>
          <t>JÖNKÖPING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46299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Kyrkan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44659</v>
      </c>
      <c r="E466" s="1" t="n">
        <v>46299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45730</v>
      </c>
      <c r="E467" s="1" t="n">
        <v>46299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46299</v>
      </c>
      <c r="F468" t="inlineStr">
        <is>
          <t>JÖNKÖPINGS LÄN</t>
        </is>
      </c>
      <c r="G468" t="inlineStr">
        <is>
          <t>JÖNKÖPING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45455</v>
      </c>
      <c r="E469" s="1" t="n">
        <v>46299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46299</v>
      </c>
      <c r="F470" t="inlineStr">
        <is>
          <t>JÖNKÖPINGS LÄN</t>
        </is>
      </c>
      <c r="G470" t="inlineStr">
        <is>
          <t>JÖNKÖPING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56131-2022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44889</v>
      </c>
      <c r="E471" s="1" t="n">
        <v>46299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48308-2022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46299</v>
      </c>
      <c r="F472" t="inlineStr">
        <is>
          <t>JÖNKÖPINGS LÄN</t>
        </is>
      </c>
      <c r="G472" t="inlineStr">
        <is>
          <t>JÖNKÖPING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46299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46299</v>
      </c>
      <c r="F474" t="inlineStr">
        <is>
          <t>JÖNKÖPINGS LÄN</t>
        </is>
      </c>
      <c r="G474" t="inlineStr">
        <is>
          <t>JÖNKÖPING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45471</v>
      </c>
      <c r="E475" s="1" t="n">
        <v>46299</v>
      </c>
      <c r="F475" t="inlineStr">
        <is>
          <t>JÖNKÖPINGS LÄN</t>
        </is>
      </c>
      <c r="G475" t="inlineStr">
        <is>
          <t>JÖNKÖPING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45198</v>
      </c>
      <c r="E476" s="1" t="n">
        <v>46299</v>
      </c>
      <c r="F476" t="inlineStr">
        <is>
          <t>JÖNKÖPINGS LÄN</t>
        </is>
      </c>
      <c r="G476" t="inlineStr">
        <is>
          <t>JÖNKÖPING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46299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46299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45701</v>
      </c>
      <c r="E479" s="1" t="n">
        <v>46299</v>
      </c>
      <c r="F479" t="inlineStr">
        <is>
          <t>JÖNKÖPINGS LÄN</t>
        </is>
      </c>
      <c r="G479" t="inlineStr">
        <is>
          <t>JÖNKÖPING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45364</v>
      </c>
      <c r="E480" s="1" t="n">
        <v>46299</v>
      </c>
      <c r="F480" t="inlineStr">
        <is>
          <t>JÖNKÖPINGS LÄN</t>
        </is>
      </c>
      <c r="G480" t="inlineStr">
        <is>
          <t>JÖNKÖPING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46299</v>
      </c>
      <c r="F481" t="inlineStr">
        <is>
          <t>JÖNKÖPINGS LÄN</t>
        </is>
      </c>
      <c r="G481" t="inlineStr">
        <is>
          <t>JÖNKÖPING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45356</v>
      </c>
      <c r="E482" s="1" t="n">
        <v>46299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46299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46299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46299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45788</v>
      </c>
      <c r="E486" s="1" t="n">
        <v>46299</v>
      </c>
      <c r="F486" t="inlineStr">
        <is>
          <t>JÖNKÖPINGS LÄN</t>
        </is>
      </c>
      <c r="G486" t="inlineStr">
        <is>
          <t>JÖNKÖPING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44965</v>
      </c>
      <c r="E487" s="1" t="n">
        <v>46299</v>
      </c>
      <c r="F487" t="inlineStr">
        <is>
          <t>JÖNKÖPINGS LÄN</t>
        </is>
      </c>
      <c r="G487" t="inlineStr">
        <is>
          <t>JÖNKÖPING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45861</v>
      </c>
      <c r="E488" s="1" t="n">
        <v>46299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46299</v>
      </c>
      <c r="F489" t="inlineStr">
        <is>
          <t>JÖNKÖPINGS LÄN</t>
        </is>
      </c>
      <c r="G489" t="inlineStr">
        <is>
          <t>JÖNKÖPING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46299</v>
      </c>
      <c r="F490" t="inlineStr">
        <is>
          <t>JÖNKÖPINGS LÄN</t>
        </is>
      </c>
      <c r="G490" t="inlineStr">
        <is>
          <t>JÖNKÖPING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46299</v>
      </c>
      <c r="F491" t="inlineStr">
        <is>
          <t>JÖNKÖPINGS LÄN</t>
        </is>
      </c>
      <c r="G491" t="inlineStr">
        <is>
          <t>JÖNKÖPING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45194</v>
      </c>
      <c r="E492" s="1" t="n">
        <v>46299</v>
      </c>
      <c r="F492" t="inlineStr">
        <is>
          <t>JÖNKÖPINGS LÄN</t>
        </is>
      </c>
      <c r="G492" t="inlineStr">
        <is>
          <t>JÖNKÖPING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46299</v>
      </c>
      <c r="F493" t="inlineStr">
        <is>
          <t>JÖNKÖPINGS LÄN</t>
        </is>
      </c>
      <c r="G493" t="inlineStr">
        <is>
          <t>JÖNKÖPING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46299</v>
      </c>
      <c r="F494" t="inlineStr">
        <is>
          <t>JÖNKÖPINGS LÄN</t>
        </is>
      </c>
      <c r="G494" t="inlineStr">
        <is>
          <t>JÖNKÖPING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46299</v>
      </c>
      <c r="F495" t="inlineStr">
        <is>
          <t>JÖNKÖPINGS LÄN</t>
        </is>
      </c>
      <c r="G495" t="inlineStr">
        <is>
          <t>JÖNKÖPING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46299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46299</v>
      </c>
      <c r="F497" t="inlineStr">
        <is>
          <t>JÖNKÖPINGS LÄN</t>
        </is>
      </c>
      <c r="G497" t="inlineStr">
        <is>
          <t>JÖNKÖPING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46299</v>
      </c>
      <c r="F498" t="inlineStr">
        <is>
          <t>JÖNKÖPINGS LÄN</t>
        </is>
      </c>
      <c r="G498" t="inlineStr">
        <is>
          <t>JÖNKÖPING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46299</v>
      </c>
      <c r="F499" t="inlineStr">
        <is>
          <t>JÖNKÖPINGS LÄN</t>
        </is>
      </c>
      <c r="G499" t="inlineStr">
        <is>
          <t>JÖNKÖPING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46299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46299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45788</v>
      </c>
      <c r="E502" s="1" t="n">
        <v>46299</v>
      </c>
      <c r="F502" t="inlineStr">
        <is>
          <t>JÖNKÖPINGS LÄN</t>
        </is>
      </c>
      <c r="G502" t="inlineStr">
        <is>
          <t>JÖNKÖPING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45870</v>
      </c>
      <c r="E503" s="1" t="n">
        <v>46299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45392</v>
      </c>
      <c r="E504" s="1" t="n">
        <v>46299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45271</v>
      </c>
      <c r="E505" s="1" t="n">
        <v>46299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46299</v>
      </c>
      <c r="F506" t="inlineStr">
        <is>
          <t>JÖNKÖPINGS LÄN</t>
        </is>
      </c>
      <c r="G506" t="inlineStr">
        <is>
          <t>JÖNKÖPING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46299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46299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46299</v>
      </c>
      <c r="F509" t="inlineStr">
        <is>
          <t>JÖNKÖPINGS LÄN</t>
        </is>
      </c>
      <c r="G509" t="inlineStr">
        <is>
          <t>JÖNKÖPING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46299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45030</v>
      </c>
      <c r="E511" s="1" t="n">
        <v>46299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44977</v>
      </c>
      <c r="E512" s="1" t="n">
        <v>46299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45034</v>
      </c>
      <c r="E513" s="1" t="n">
        <v>46299</v>
      </c>
      <c r="F513" t="inlineStr">
        <is>
          <t>JÖNKÖPINGS LÄN</t>
        </is>
      </c>
      <c r="G513" t="inlineStr">
        <is>
          <t>JÖNKÖPING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46299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46299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46299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46299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46299</v>
      </c>
      <c r="F518" t="inlineStr">
        <is>
          <t>JÖNKÖPINGS LÄN</t>
        </is>
      </c>
      <c r="G518" t="inlineStr">
        <is>
          <t>JÖNKÖPING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46299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45646</v>
      </c>
      <c r="E520" s="1" t="n">
        <v>46299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46299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46299</v>
      </c>
      <c r="F522" t="inlineStr">
        <is>
          <t>JÖNKÖPINGS LÄN</t>
        </is>
      </c>
      <c r="G522" t="inlineStr">
        <is>
          <t>JÖNKÖPING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46299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44704</v>
      </c>
      <c r="E524" s="1" t="n">
        <v>46299</v>
      </c>
      <c r="F524" t="inlineStr">
        <is>
          <t>JÖNKÖPINGS LÄN</t>
        </is>
      </c>
      <c r="G524" t="inlineStr">
        <is>
          <t>JÖNKÖPING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46299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46299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46299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46299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46299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46299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46299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46299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Kyrkan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46299</v>
      </c>
      <c r="F533" t="inlineStr">
        <is>
          <t>JÖNKÖPINGS LÄN</t>
        </is>
      </c>
      <c r="G533" t="inlineStr">
        <is>
          <t>JÖNKÖPING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46299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46299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46299</v>
      </c>
      <c r="F536" t="inlineStr">
        <is>
          <t>JÖNKÖPINGS LÄN</t>
        </is>
      </c>
      <c r="G536" t="inlineStr">
        <is>
          <t>JÖNKÖPING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46299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46299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45198</v>
      </c>
      <c r="E539" s="1" t="n">
        <v>46299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24422-2026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46168</v>
      </c>
      <c r="E540" s="1" t="n">
        <v>46299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44886</v>
      </c>
      <c r="E541" s="1" t="n">
        <v>46299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44658</v>
      </c>
      <c r="E542" s="1" t="n">
        <v>46299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46299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46299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46299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73003-2021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44550</v>
      </c>
      <c r="E546" s="1" t="n">
        <v>46299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46299</v>
      </c>
      <c r="F547" t="inlineStr">
        <is>
          <t>JÖNKÖPINGS LÄN</t>
        </is>
      </c>
      <c r="G547" t="inlineStr">
        <is>
          <t>JÖNKÖPING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46299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46299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46299</v>
      </c>
      <c r="F550" t="inlineStr">
        <is>
          <t>JÖNKÖPINGS LÄN</t>
        </is>
      </c>
      <c r="G550" t="inlineStr">
        <is>
          <t>JÖNKÖPING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45130</v>
      </c>
      <c r="E551" s="1" t="n">
        <v>46299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45477</v>
      </c>
      <c r="E552" s="1" t="n">
        <v>46299</v>
      </c>
      <c r="F552" t="inlineStr">
        <is>
          <t>JÖNKÖPINGS LÄN</t>
        </is>
      </c>
      <c r="G552" t="inlineStr">
        <is>
          <t>JÖNKÖPING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46299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46299</v>
      </c>
      <c r="F554" t="inlineStr">
        <is>
          <t>JÖNKÖPINGS LÄN</t>
        </is>
      </c>
      <c r="G554" t="inlineStr">
        <is>
          <t>JÖNKÖPING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46299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46299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46299</v>
      </c>
      <c r="F557" t="inlineStr">
        <is>
          <t>JÖNKÖPINGS LÄN</t>
        </is>
      </c>
      <c r="G557" t="inlineStr">
        <is>
          <t>JÖNKÖPING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11039-2022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44628</v>
      </c>
      <c r="E558" s="1" t="n">
        <v>46299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46299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46299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45557</v>
      </c>
      <c r="E561" s="1" t="n">
        <v>46299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46299</v>
      </c>
      <c r="F562" t="inlineStr">
        <is>
          <t>JÖNKÖPINGS LÄN</t>
        </is>
      </c>
      <c r="G562" t="inlineStr">
        <is>
          <t>JÖNKÖPING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38407-2025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46299</v>
      </c>
      <c r="F563" t="inlineStr">
        <is>
          <t>JÖNKÖPINGS LÄN</t>
        </is>
      </c>
      <c r="G563" t="inlineStr">
        <is>
          <t>JÖNKÖPING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46299</v>
      </c>
      <c r="F564" t="inlineStr">
        <is>
          <t>JÖNKÖPINGS LÄN</t>
        </is>
      </c>
      <c r="G564" t="inlineStr">
        <is>
          <t>JÖNKÖPING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8752-2022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46299</v>
      </c>
      <c r="F565" t="inlineStr">
        <is>
          <t>JÖNKÖPINGS LÄN</t>
        </is>
      </c>
      <c r="G565" t="inlineStr">
        <is>
          <t>JÖNKÖPING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46299</v>
      </c>
      <c r="F566" t="inlineStr">
        <is>
          <t>JÖNKÖPINGS LÄN</t>
        </is>
      </c>
      <c r="G566" t="inlineStr">
        <is>
          <t>JÖNKÖPING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45462</v>
      </c>
      <c r="E567" s="1" t="n">
        <v>46299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49392-2022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44861</v>
      </c>
      <c r="E568" s="1" t="n">
        <v>46299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47009-2025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45929</v>
      </c>
      <c r="E569" s="1" t="n">
        <v>46299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45887</v>
      </c>
      <c r="E570" s="1" t="n">
        <v>46299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46299</v>
      </c>
      <c r="F571" t="inlineStr">
        <is>
          <t>JÖNKÖPINGS LÄN</t>
        </is>
      </c>
      <c r="G571" t="inlineStr">
        <is>
          <t>JÖNKÖPING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46299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45270</v>
      </c>
      <c r="E573" s="1" t="n">
        <v>46299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45179</v>
      </c>
      <c r="E574" s="1" t="n">
        <v>46299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63176-2021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44507</v>
      </c>
      <c r="E575" s="1" t="n">
        <v>46299</v>
      </c>
      <c r="F575" t="inlineStr">
        <is>
          <t>JÖNKÖPINGS LÄN</t>
        </is>
      </c>
      <c r="G575" t="inlineStr">
        <is>
          <t>JÖNKÖPING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46299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45618</v>
      </c>
      <c r="E577" s="1" t="n">
        <v>46299</v>
      </c>
      <c r="F577" t="inlineStr">
        <is>
          <t>JÖNKÖPINGS LÄN</t>
        </is>
      </c>
      <c r="G577" t="inlineStr">
        <is>
          <t>JÖNKÖPING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63551-2023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46299</v>
      </c>
      <c r="F578" t="inlineStr">
        <is>
          <t>JÖNKÖPINGS LÄN</t>
        </is>
      </c>
      <c r="G578" t="inlineStr">
        <is>
          <t>JÖNKÖPING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46299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46299</v>
      </c>
      <c r="F580" t="inlineStr">
        <is>
          <t>JÖNKÖPINGS LÄN</t>
        </is>
      </c>
      <c r="G580" t="inlineStr">
        <is>
          <t>JÖNKÖPING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44936</v>
      </c>
      <c r="E581" s="1" t="n">
        <v>46299</v>
      </c>
      <c r="F581" t="inlineStr">
        <is>
          <t>JÖNKÖPINGS LÄN</t>
        </is>
      </c>
      <c r="G581" t="inlineStr">
        <is>
          <t>JÖNKÖPING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36944-2024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45538</v>
      </c>
      <c r="E582" s="1" t="n">
        <v>46299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46299</v>
      </c>
      <c r="F583" t="inlineStr">
        <is>
          <t>JÖNKÖPINGS LÄN</t>
        </is>
      </c>
      <c r="G583" t="inlineStr">
        <is>
          <t>JÖNKÖPING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45302</v>
      </c>
      <c r="E584" s="1" t="n">
        <v>46299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45300</v>
      </c>
      <c r="E585" s="1" t="n">
        <v>46299</v>
      </c>
      <c r="F585" t="inlineStr">
        <is>
          <t>JÖNKÖPINGS LÄN</t>
        </is>
      </c>
      <c r="G585" t="inlineStr">
        <is>
          <t>JÖNKÖPING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17019-2024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45412</v>
      </c>
      <c r="E586" s="1" t="n">
        <v>46299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45182</v>
      </c>
      <c r="E587" s="1" t="n">
        <v>46299</v>
      </c>
      <c r="F587" t="inlineStr">
        <is>
          <t>JÖNKÖPINGS LÄN</t>
        </is>
      </c>
      <c r="G587" t="inlineStr">
        <is>
          <t>JÖNKÖPING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46299</v>
      </c>
      <c r="F588" t="inlineStr">
        <is>
          <t>JÖNKÖPINGS LÄN</t>
        </is>
      </c>
      <c r="G588" t="inlineStr">
        <is>
          <t>JÖNKÖPING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46299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46299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46299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45615</v>
      </c>
      <c r="E592" s="1" t="n">
        <v>46299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45523</v>
      </c>
      <c r="E593" s="1" t="n">
        <v>46299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29292-2026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46197</v>
      </c>
      <c r="E594" s="1" t="n">
        <v>46299</v>
      </c>
      <c r="F594" t="inlineStr">
        <is>
          <t>JÖNKÖPINGS LÄN</t>
        </is>
      </c>
      <c r="G594" t="inlineStr">
        <is>
          <t>JÖNKÖPING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46299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46299</v>
      </c>
      <c r="F596" t="inlineStr">
        <is>
          <t>JÖNKÖPINGS LÄN</t>
        </is>
      </c>
      <c r="G596" t="inlineStr">
        <is>
          <t>JÖNKÖPING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44944</v>
      </c>
      <c r="E597" s="1" t="n">
        <v>46299</v>
      </c>
      <c r="F597" t="inlineStr">
        <is>
          <t>JÖNKÖPINGS LÄN</t>
        </is>
      </c>
      <c r="G597" t="inlineStr">
        <is>
          <t>JÖNKÖPING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46299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44729</v>
      </c>
      <c r="E599" s="1" t="n">
        <v>46299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46299</v>
      </c>
      <c r="F600" t="inlineStr">
        <is>
          <t>JÖNKÖPINGS LÄN</t>
        </is>
      </c>
      <c r="G600" t="inlineStr">
        <is>
          <t>JÖNKÖPING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46299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46201</v>
      </c>
      <c r="E602" s="1" t="n">
        <v>46299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46201</v>
      </c>
      <c r="E603" s="1" t="n">
        <v>46299</v>
      </c>
      <c r="F603" t="inlineStr">
        <is>
          <t>JÖNKÖPINGS LÄN</t>
        </is>
      </c>
      <c r="G603" t="inlineStr">
        <is>
          <t>JÖNKÖPING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46201</v>
      </c>
      <c r="E604" s="1" t="n">
        <v>46299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46299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Kyrkan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46299</v>
      </c>
      <c r="F606" t="inlineStr">
        <is>
          <t>JÖNKÖPINGS LÄN</t>
        </is>
      </c>
      <c r="G606" t="inlineStr">
        <is>
          <t>JÖNKÖPING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46299</v>
      </c>
      <c r="F607" t="inlineStr">
        <is>
          <t>JÖNKÖPINGS LÄN</t>
        </is>
      </c>
      <c r="G607" t="inlineStr">
        <is>
          <t>JÖNKÖPING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46299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46299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46299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46299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44106-2022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46299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46299</v>
      </c>
      <c r="F613" t="inlineStr">
        <is>
          <t>JÖNKÖPINGS LÄN</t>
        </is>
      </c>
      <c r="G613" t="inlineStr">
        <is>
          <t>JÖNKÖPING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46299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46299</v>
      </c>
      <c r="F615" t="inlineStr">
        <is>
          <t>JÖNKÖPINGS LÄN</t>
        </is>
      </c>
      <c r="G615" t="inlineStr">
        <is>
          <t>JÖNKÖPING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45363</v>
      </c>
      <c r="E616" s="1" t="n">
        <v>46299</v>
      </c>
      <c r="F616" t="inlineStr">
        <is>
          <t>JÖNKÖPINGS LÄN</t>
        </is>
      </c>
      <c r="G616" t="inlineStr">
        <is>
          <t>JÖNKÖPING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46299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46299</v>
      </c>
      <c r="F618" t="inlineStr">
        <is>
          <t>JÖNKÖPINGS LÄN</t>
        </is>
      </c>
      <c r="G618" t="inlineStr">
        <is>
          <t>JÖNKÖPING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46299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46299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46299</v>
      </c>
      <c r="F621" t="inlineStr">
        <is>
          <t>JÖNKÖPINGS LÄN</t>
        </is>
      </c>
      <c r="G621" t="inlineStr">
        <is>
          <t>JÖNKÖPING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46299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46299</v>
      </c>
      <c r="F623" t="inlineStr">
        <is>
          <t>JÖNKÖPINGS LÄN</t>
        </is>
      </c>
      <c r="G623" t="inlineStr">
        <is>
          <t>JÖNKÖPING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46299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46299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46299</v>
      </c>
      <c r="F626" t="inlineStr">
        <is>
          <t>JÖNKÖPINGS LÄN</t>
        </is>
      </c>
      <c r="G626" t="inlineStr">
        <is>
          <t>JÖNKÖPING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46299</v>
      </c>
      <c r="F627" t="inlineStr">
        <is>
          <t>JÖNKÖPINGS LÄN</t>
        </is>
      </c>
      <c r="G627" t="inlineStr">
        <is>
          <t>JÖNKÖPING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46299</v>
      </c>
      <c r="F628" t="inlineStr">
        <is>
          <t>JÖNKÖPINGS LÄN</t>
        </is>
      </c>
      <c r="G628" t="inlineStr">
        <is>
          <t>JÖNKÖPING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46299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46299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57719-2021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44484</v>
      </c>
      <c r="E631" s="1" t="n">
        <v>46299</v>
      </c>
      <c r="F631" t="inlineStr">
        <is>
          <t>JÖNKÖPINGS LÄN</t>
        </is>
      </c>
      <c r="G631" t="inlineStr">
        <is>
          <t>JÖNKÖPING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46299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14.5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45226</v>
      </c>
      <c r="E633" s="1" t="n">
        <v>46299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4505-2022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44589</v>
      </c>
      <c r="E634" s="1" t="n">
        <v>46299</v>
      </c>
      <c r="F634" t="inlineStr">
        <is>
          <t>JÖNKÖPINGS LÄN</t>
        </is>
      </c>
      <c r="G634" t="inlineStr">
        <is>
          <t>JÖNKÖPING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44578</v>
      </c>
      <c r="E635" s="1" t="n">
        <v>46299</v>
      </c>
      <c r="F635" t="inlineStr">
        <is>
          <t>JÖNKÖPINGS LÄN</t>
        </is>
      </c>
      <c r="G635" t="inlineStr">
        <is>
          <t>JÖNKÖPING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50896-2025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45946</v>
      </c>
      <c r="E636" s="1" t="n">
        <v>46299</v>
      </c>
      <c r="F636" t="inlineStr">
        <is>
          <t>JÖNKÖPINGS LÄN</t>
        </is>
      </c>
      <c r="G636" t="inlineStr">
        <is>
          <t>JÖNKÖPING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47569-2024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45587</v>
      </c>
      <c r="E637" s="1" t="n">
        <v>46299</v>
      </c>
      <c r="F637" t="inlineStr">
        <is>
          <t>JÖNKÖPINGS LÄN</t>
        </is>
      </c>
      <c r="G637" t="inlineStr">
        <is>
          <t>JÖNKÖPING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36619-2022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44804</v>
      </c>
      <c r="E638" s="1" t="n">
        <v>46299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46299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46299</v>
      </c>
      <c r="F640" t="inlineStr">
        <is>
          <t>JÖNKÖPINGS LÄN</t>
        </is>
      </c>
      <c r="G640" t="inlineStr">
        <is>
          <t>JÖNKÖPING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46299</v>
      </c>
      <c r="F641" t="inlineStr">
        <is>
          <t>JÖNKÖPINGS LÄN</t>
        </is>
      </c>
      <c r="G641" t="inlineStr">
        <is>
          <t>JÖNKÖPING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33850-2025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45842</v>
      </c>
      <c r="E642" s="1" t="n">
        <v>46299</v>
      </c>
      <c r="F642" t="inlineStr">
        <is>
          <t>JÖNKÖPINGS LÄN</t>
        </is>
      </c>
      <c r="G642" t="inlineStr">
        <is>
          <t>JÖNKÖPING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6897-2025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45701</v>
      </c>
      <c r="E643" s="1" t="n">
        <v>46299</v>
      </c>
      <c r="F643" t="inlineStr">
        <is>
          <t>JÖNKÖPINGS LÄN</t>
        </is>
      </c>
      <c r="G643" t="inlineStr">
        <is>
          <t>JÖNKÖPING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46220</v>
      </c>
      <c r="E644" s="1" t="n">
        <v>46299</v>
      </c>
      <c r="F644" t="inlineStr">
        <is>
          <t>JÖNKÖPINGS LÄN</t>
        </is>
      </c>
      <c r="G644" t="inlineStr">
        <is>
          <t>JÖNKÖPING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60822-2024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46299</v>
      </c>
      <c r="F645" t="inlineStr">
        <is>
          <t>JÖNKÖPINGS LÄN</t>
        </is>
      </c>
      <c r="G645" t="inlineStr">
        <is>
          <t>JÖNKÖPING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46299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46299</v>
      </c>
      <c r="F647" t="inlineStr">
        <is>
          <t>JÖNKÖPINGS LÄN</t>
        </is>
      </c>
      <c r="G647" t="inlineStr">
        <is>
          <t>JÖNKÖPING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7865-2022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44608</v>
      </c>
      <c r="E648" s="1" t="n">
        <v>46299</v>
      </c>
      <c r="F648" t="inlineStr">
        <is>
          <t>JÖNKÖPINGS LÄN</t>
        </is>
      </c>
      <c r="G648" t="inlineStr">
        <is>
          <t>JÖNKÖPING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44734</v>
      </c>
      <c r="E649" s="1" t="n">
        <v>46299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Kyrkan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46299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59318-2022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46299</v>
      </c>
      <c r="F651" t="inlineStr">
        <is>
          <t>JÖNKÖPINGS LÄN</t>
        </is>
      </c>
      <c r="G651" t="inlineStr">
        <is>
          <t>JÖNKÖPING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35776-2026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46265</v>
      </c>
      <c r="E652" s="1" t="n">
        <v>46299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46321-2023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46299</v>
      </c>
      <c r="F653" t="inlineStr">
        <is>
          <t>JÖNKÖPINGS LÄN</t>
        </is>
      </c>
      <c r="G653" t="inlineStr">
        <is>
          <t>JÖNKÖPING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45321</v>
      </c>
      <c r="E654" s="1" t="n">
        <v>46299</v>
      </c>
      <c r="F654" t="inlineStr">
        <is>
          <t>JÖNKÖPINGS LÄN</t>
        </is>
      </c>
      <c r="G654" t="inlineStr">
        <is>
          <t>JÖNKÖPING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46299</v>
      </c>
      <c r="F655" t="inlineStr">
        <is>
          <t>JÖNKÖPINGS LÄN</t>
        </is>
      </c>
      <c r="G655" t="inlineStr">
        <is>
          <t>JÖNKÖPING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46267</v>
      </c>
      <c r="E656" s="1" t="n">
        <v>46299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36341-2026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46299</v>
      </c>
      <c r="F657" t="inlineStr">
        <is>
          <t>JÖNKÖPINGS LÄN</t>
        </is>
      </c>
      <c r="G657" t="inlineStr">
        <is>
          <t>JÖNKÖPING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46230</v>
      </c>
      <c r="E658" s="1" t="n">
        <v>46299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31772-2026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46230</v>
      </c>
      <c r="E659" s="1" t="n">
        <v>46299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46272</v>
      </c>
      <c r="E660" s="1" t="n">
        <v>46299</v>
      </c>
      <c r="F660" t="inlineStr">
        <is>
          <t>JÖNKÖPINGS LÄN</t>
        </is>
      </c>
      <c r="G660" t="inlineStr">
        <is>
          <t>JÖNKÖPING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46273</v>
      </c>
      <c r="E661" s="1" t="n">
        <v>46299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46270</v>
      </c>
      <c r="E662" s="1" t="n">
        <v>46299</v>
      </c>
      <c r="F662" t="inlineStr">
        <is>
          <t>JÖNKÖPINGS LÄN</t>
        </is>
      </c>
      <c r="G662" t="inlineStr">
        <is>
          <t>JÖNKÖPING</t>
        </is>
      </c>
      <c r="I662" t="n">
        <v>7.8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38258-2024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45545</v>
      </c>
      <c r="E663" s="1" t="n">
        <v>46299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46272</v>
      </c>
      <c r="E664" s="1" t="n">
        <v>46299</v>
      </c>
      <c r="F664" t="inlineStr">
        <is>
          <t>JÖNKÖPINGS LÄN</t>
        </is>
      </c>
      <c r="G664" t="inlineStr">
        <is>
          <t>JÖNKÖPING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46272</v>
      </c>
      <c r="E665" s="1" t="n">
        <v>46299</v>
      </c>
      <c r="F665" t="inlineStr">
        <is>
          <t>JÖNKÖPINGS LÄN</t>
        </is>
      </c>
      <c r="G665" t="inlineStr">
        <is>
          <t>JÖNKÖPING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46299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36774-2026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46272</v>
      </c>
      <c r="E667" s="1" t="n">
        <v>46299</v>
      </c>
      <c r="F667" t="inlineStr">
        <is>
          <t>JÖNKÖPINGS LÄN</t>
        </is>
      </c>
      <c r="G667" t="inlineStr">
        <is>
          <t>JÖNKÖPING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44711</v>
      </c>
      <c r="E668" s="1" t="n">
        <v>46299</v>
      </c>
      <c r="F668" t="inlineStr">
        <is>
          <t>JÖNKÖPINGS LÄN</t>
        </is>
      </c>
      <c r="G668" t="inlineStr">
        <is>
          <t>JÖNKÖPING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45477</v>
      </c>
      <c r="E669" s="1" t="n">
        <v>46299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28307-2024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46299</v>
      </c>
      <c r="F670" t="inlineStr">
        <is>
          <t>JÖNKÖPINGS LÄN</t>
        </is>
      </c>
      <c r="G670" t="inlineStr">
        <is>
          <t>JÖNKÖPING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45299</v>
      </c>
      <c r="E671" s="1" t="n">
        <v>46299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46299</v>
      </c>
      <c r="F672" t="inlineStr">
        <is>
          <t>JÖNKÖPINGS LÄN</t>
        </is>
      </c>
      <c r="G672" t="inlineStr">
        <is>
          <t>JÖNKÖPING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41481-2023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45175</v>
      </c>
      <c r="E673" s="1" t="n">
        <v>46299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37316-2026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46274</v>
      </c>
      <c r="E674" s="1" t="n">
        <v>46299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45118</v>
      </c>
      <c r="E675" s="1" t="n">
        <v>46299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46299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46299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46299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46299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46234</v>
      </c>
      <c r="E680" s="1" t="n">
        <v>46299</v>
      </c>
      <c r="F680" t="inlineStr">
        <is>
          <t>JÖNKÖPINGS LÄN</t>
        </is>
      </c>
      <c r="G680" t="inlineStr">
        <is>
          <t>JÖNKÖPING</t>
        </is>
      </c>
      <c r="I680" t="n">
        <v>7.7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46234</v>
      </c>
      <c r="E681" s="1" t="n">
        <v>46299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32147-2026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46234</v>
      </c>
      <c r="E682" s="1" t="n">
        <v>46299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37883-2026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46279</v>
      </c>
      <c r="E683" s="1" t="n">
        <v>46299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46299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46276</v>
      </c>
      <c r="E685" s="1" t="n">
        <v>46299</v>
      </c>
      <c r="F685" t="inlineStr">
        <is>
          <t>JÖNKÖPINGS LÄN</t>
        </is>
      </c>
      <c r="G685" t="inlineStr">
        <is>
          <t>JÖNKÖPING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46276</v>
      </c>
      <c r="E686" s="1" t="n">
        <v>46299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46299</v>
      </c>
      <c r="F687" t="inlineStr">
        <is>
          <t>JÖNKÖPINGS LÄN</t>
        </is>
      </c>
      <c r="G687" t="inlineStr">
        <is>
          <t>JÖNKÖPING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44591</v>
      </c>
      <c r="E688" s="1" t="n">
        <v>46299</v>
      </c>
      <c r="F688" t="inlineStr">
        <is>
          <t>JÖNKÖPINGS LÄN</t>
        </is>
      </c>
      <c r="G688" t="inlineStr">
        <is>
          <t>JÖNKÖPING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45708</v>
      </c>
      <c r="E689" s="1" t="n">
        <v>46299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46299</v>
      </c>
      <c r="F690" t="inlineStr">
        <is>
          <t>JÖNKÖPINGS LÄN</t>
        </is>
      </c>
      <c r="G690" t="inlineStr">
        <is>
          <t>JÖNKÖPING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45112</v>
      </c>
      <c r="E691" s="1" t="n">
        <v>46299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11801-2024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45375</v>
      </c>
      <c r="E692" s="1" t="n">
        <v>46299</v>
      </c>
      <c r="F692" t="inlineStr">
        <is>
          <t>JÖNKÖPINGS LÄN</t>
        </is>
      </c>
      <c r="G692" t="inlineStr">
        <is>
          <t>JÖNKÖPING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38337-2026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46282</v>
      </c>
      <c r="E693" s="1" t="n">
        <v>46299</v>
      </c>
      <c r="F693" t="inlineStr">
        <is>
          <t>JÖNKÖPINGS LÄN</t>
        </is>
      </c>
      <c r="G693" t="inlineStr">
        <is>
          <t>JÖNKÖPING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37498-2024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46299</v>
      </c>
      <c r="F694" t="inlineStr">
        <is>
          <t>JÖNKÖPINGS LÄN</t>
        </is>
      </c>
      <c r="G694" t="inlineStr">
        <is>
          <t>JÖNKÖPING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44853</v>
      </c>
      <c r="E695" s="1" t="n">
        <v>46299</v>
      </c>
      <c r="F695" t="inlineStr">
        <is>
          <t>JÖNKÖPINGS LÄN</t>
        </is>
      </c>
      <c r="G695" t="inlineStr">
        <is>
          <t>JÖNKÖPING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45492</v>
      </c>
      <c r="E696" s="1" t="n">
        <v>46299</v>
      </c>
      <c r="F696" t="inlineStr">
        <is>
          <t>JÖNKÖPINGS LÄN</t>
        </is>
      </c>
      <c r="G696" t="inlineStr">
        <is>
          <t>JÖNKÖPING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46239</v>
      </c>
      <c r="E697" s="1" t="n">
        <v>46299</v>
      </c>
      <c r="F697" t="inlineStr">
        <is>
          <t>JÖNKÖPINGS LÄN</t>
        </is>
      </c>
      <c r="G697" t="inlineStr">
        <is>
          <t>JÖNKÖPING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46299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46299</v>
      </c>
      <c r="F699" t="inlineStr">
        <is>
          <t>JÖNKÖPINGS LÄN</t>
        </is>
      </c>
      <c r="G699" t="inlineStr">
        <is>
          <t>JÖNKÖPING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45477</v>
      </c>
      <c r="E700" s="1" t="n">
        <v>46299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28234-2024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45477</v>
      </c>
      <c r="E701" s="1" t="n">
        <v>46299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9462-2024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46299</v>
      </c>
      <c r="F702" t="inlineStr">
        <is>
          <t>JÖNKÖPINGS LÄN</t>
        </is>
      </c>
      <c r="G702" t="inlineStr">
        <is>
          <t>JÖNKÖPING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46239</v>
      </c>
      <c r="E703" s="1" t="n">
        <v>46299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46281</v>
      </c>
      <c r="E704" s="1" t="n">
        <v>46299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37707-2026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46279</v>
      </c>
      <c r="E705" s="1" t="n">
        <v>46299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9.1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45243</v>
      </c>
      <c r="E706" s="1" t="n">
        <v>46299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46299</v>
      </c>
      <c r="F707" t="inlineStr">
        <is>
          <t>JÖNKÖPINGS LÄN</t>
        </is>
      </c>
      <c r="G707" t="inlineStr">
        <is>
          <t>JÖNKÖPING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46299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38904-2026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46299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46299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46299</v>
      </c>
      <c r="F711" t="inlineStr">
        <is>
          <t>JÖNKÖPINGS LÄN</t>
        </is>
      </c>
      <c r="G711" t="inlineStr">
        <is>
          <t>JÖNKÖPING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38883-2026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46299</v>
      </c>
      <c r="F712" t="inlineStr">
        <is>
          <t>JÖNKÖPINGS LÄN</t>
        </is>
      </c>
      <c r="G712" t="inlineStr">
        <is>
          <t>JÖNKÖPING</t>
        </is>
      </c>
      <c r="I712" t="n">
        <v>5.9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44950</v>
      </c>
      <c r="E713" s="1" t="n">
        <v>46299</v>
      </c>
      <c r="F713" t="inlineStr">
        <is>
          <t>JÖNKÖPINGS LÄN</t>
        </is>
      </c>
      <c r="G713" t="inlineStr">
        <is>
          <t>JÖNKÖPING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46299</v>
      </c>
      <c r="F714" t="inlineStr">
        <is>
          <t>JÖNKÖPINGS LÄN</t>
        </is>
      </c>
      <c r="G714" t="inlineStr">
        <is>
          <t>JÖNKÖPING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46244</v>
      </c>
      <c r="E715" s="1" t="n">
        <v>46299</v>
      </c>
      <c r="F715" t="inlineStr">
        <is>
          <t>JÖNKÖPINGS LÄN</t>
        </is>
      </c>
      <c r="G715" t="inlineStr">
        <is>
          <t>JÖNKÖPING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46286</v>
      </c>
      <c r="E716" s="1" t="n">
        <v>46299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32836-2026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46299</v>
      </c>
      <c r="F717" t="inlineStr">
        <is>
          <t>JÖNKÖPINGS LÄN</t>
        </is>
      </c>
      <c r="G717" t="inlineStr">
        <is>
          <t>JÖNKÖPING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38862-2026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46299</v>
      </c>
      <c r="F718" t="inlineStr">
        <is>
          <t>JÖNKÖPINGS LÄN</t>
        </is>
      </c>
      <c r="G718" t="inlineStr">
        <is>
          <t>JÖNKÖPING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44930</v>
      </c>
      <c r="E719" s="1" t="n">
        <v>46299</v>
      </c>
      <c r="F719" t="inlineStr">
        <is>
          <t>JÖNKÖPINGS LÄN</t>
        </is>
      </c>
      <c r="G719" t="inlineStr">
        <is>
          <t>JÖNKÖPING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35451-2024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45531</v>
      </c>
      <c r="E720" s="1" t="n">
        <v>46299</v>
      </c>
      <c r="F720" t="inlineStr">
        <is>
          <t>JÖNKÖPINGS LÄN</t>
        </is>
      </c>
      <c r="G720" t="inlineStr">
        <is>
          <t>JÖNKÖPING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17384-2025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45757</v>
      </c>
      <c r="E721" s="1" t="n">
        <v>46299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25076-2024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45462</v>
      </c>
      <c r="E722" s="1" t="n">
        <v>46299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47070-2023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45201</v>
      </c>
      <c r="E723" s="1" t="n">
        <v>46299</v>
      </c>
      <c r="F723" t="inlineStr">
        <is>
          <t>JÖNKÖPINGS LÄN</t>
        </is>
      </c>
      <c r="G723" t="inlineStr">
        <is>
          <t>JÖNKÖPING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46971-2023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45201</v>
      </c>
      <c r="E724" s="1" t="n">
        <v>46299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23055-2022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44719</v>
      </c>
      <c r="E725" s="1" t="n">
        <v>46299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45335</v>
      </c>
      <c r="E726" s="1" t="n">
        <v>46299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26512-2023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46299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45099</v>
      </c>
      <c r="E728" s="1" t="n">
        <v>46299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46299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37889-2026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46299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46246</v>
      </c>
      <c r="E731" s="1" t="n">
        <v>46299</v>
      </c>
      <c r="F731" t="inlineStr">
        <is>
          <t>JÖNKÖPINGS LÄN</t>
        </is>
      </c>
      <c r="G731" t="inlineStr">
        <is>
          <t>JÖNKÖPING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46299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44943</v>
      </c>
      <c r="E733" s="1" t="n">
        <v>46299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46299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9924-2023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44985</v>
      </c>
      <c r="E735" s="1" t="n">
        <v>46299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39844-2026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46299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57180-2023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45245</v>
      </c>
      <c r="E737" s="1" t="n">
        <v>46299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46299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46248</v>
      </c>
      <c r="E739" s="1" t="n">
        <v>46299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2779-2024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45314</v>
      </c>
      <c r="E740" s="1" t="n">
        <v>46299</v>
      </c>
      <c r="F740" t="inlineStr">
        <is>
          <t>JÖNKÖPINGS LÄN</t>
        </is>
      </c>
      <c r="G740" t="inlineStr">
        <is>
          <t>JÖNKÖPING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45295</v>
      </c>
      <c r="E741" s="1" t="n">
        <v>46299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46299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39979-2026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46293</v>
      </c>
      <c r="E743" s="1" t="n">
        <v>46299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46299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39847-2026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46299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36147-2024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45534</v>
      </c>
      <c r="E746" s="1" t="n">
        <v>46299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46247</v>
      </c>
      <c r="E747" s="1" t="n">
        <v>46299</v>
      </c>
      <c r="F747" t="inlineStr">
        <is>
          <t>JÖNKÖPINGS LÄN</t>
        </is>
      </c>
      <c r="G747" t="inlineStr">
        <is>
          <t>JÖNKÖPING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45617</v>
      </c>
      <c r="E748" s="1" t="n">
        <v>46299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44564</v>
      </c>
      <c r="E749" s="1" t="n">
        <v>46299</v>
      </c>
      <c r="F749" t="inlineStr">
        <is>
          <t>JÖNKÖPINGS LÄN</t>
        </is>
      </c>
      <c r="G749" t="inlineStr">
        <is>
          <t>JÖNKÖPING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12042-2024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46299</v>
      </c>
      <c r="F750" t="inlineStr">
        <is>
          <t>JÖNKÖPINGS LÄN</t>
        </is>
      </c>
      <c r="G750" t="inlineStr">
        <is>
          <t>JÖNKÖPING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45219</v>
      </c>
      <c r="E751" s="1" t="n">
        <v>46299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46299</v>
      </c>
      <c r="F752" t="inlineStr">
        <is>
          <t>JÖNKÖPINGS LÄN</t>
        </is>
      </c>
      <c r="G752" t="inlineStr">
        <is>
          <t>JÖNKÖPING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9883-2024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45363</v>
      </c>
      <c r="E753" s="1" t="n">
        <v>46299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56051-2023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45240</v>
      </c>
      <c r="E754" s="1" t="n">
        <v>46299</v>
      </c>
      <c r="F754" t="inlineStr">
        <is>
          <t>JÖNKÖPINGS LÄN</t>
        </is>
      </c>
      <c r="G754" t="inlineStr">
        <is>
          <t>JÖNKÖPING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44966</v>
      </c>
      <c r="E755" s="1" t="n">
        <v>46299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45408-2023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45194</v>
      </c>
      <c r="E756" s="1" t="n">
        <v>46299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45412-2023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45194</v>
      </c>
      <c r="E757" s="1" t="n">
        <v>46299</v>
      </c>
      <c r="F757" t="inlineStr">
        <is>
          <t>JÖNKÖPINGS LÄN</t>
        </is>
      </c>
      <c r="G757" t="inlineStr">
        <is>
          <t>JÖNKÖPING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30583-2023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46299</v>
      </c>
      <c r="F758" t="inlineStr">
        <is>
          <t>JÖNKÖPINGS LÄN</t>
        </is>
      </c>
      <c r="G758" t="inlineStr">
        <is>
          <t>JÖNKÖPING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45107</v>
      </c>
      <c r="E759" s="1" t="n">
        <v>46299</v>
      </c>
      <c r="F759" t="inlineStr">
        <is>
          <t>JÖNKÖPINGS LÄN</t>
        </is>
      </c>
      <c r="G759" t="inlineStr">
        <is>
          <t>JÖNKÖPING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46299</v>
      </c>
      <c r="F760" t="inlineStr">
        <is>
          <t>JÖNKÖPINGS LÄN</t>
        </is>
      </c>
      <c r="G760" t="inlineStr">
        <is>
          <t>JÖNKÖPING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45015</v>
      </c>
      <c r="E761" s="1" t="n">
        <v>46299</v>
      </c>
      <c r="F761" t="inlineStr">
        <is>
          <t>JÖNKÖPINGS LÄN</t>
        </is>
      </c>
      <c r="G761" t="inlineStr">
        <is>
          <t>JÖNKÖPING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46299</v>
      </c>
      <c r="F762" t="inlineStr">
        <is>
          <t>JÖNKÖPINGS LÄN</t>
        </is>
      </c>
      <c r="G762" t="inlineStr">
        <is>
          <t>JÖNKÖPING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46299</v>
      </c>
      <c r="F763" t="inlineStr">
        <is>
          <t>JÖNKÖPINGS LÄN</t>
        </is>
      </c>
      <c r="G763" t="inlineStr">
        <is>
          <t>JÖNKÖPING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19356-2023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45049</v>
      </c>
      <c r="E764" s="1" t="n">
        <v>46299</v>
      </c>
      <c r="F764" t="inlineStr">
        <is>
          <t>JÖNKÖPINGS LÄN</t>
        </is>
      </c>
      <c r="G764" t="inlineStr">
        <is>
          <t>JÖNKÖPING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45338</v>
      </c>
      <c r="E765" s="1" t="n">
        <v>46299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46299</v>
      </c>
      <c r="F766" t="inlineStr">
        <is>
          <t>JÖNKÖPINGS LÄN</t>
        </is>
      </c>
      <c r="G766" t="inlineStr">
        <is>
          <t>JÖNKÖPING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40548-2026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46299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40477-2026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46295</v>
      </c>
      <c r="E768" s="1" t="n">
        <v>46299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46299</v>
      </c>
      <c r="F769" t="inlineStr">
        <is>
          <t>JÖNKÖPINGS LÄN</t>
        </is>
      </c>
      <c r="G769" t="inlineStr">
        <is>
          <t>JÖNKÖPING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56747-2022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44894</v>
      </c>
      <c r="E770" s="1" t="n">
        <v>46299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56569-2022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44893</v>
      </c>
      <c r="E771" s="1" t="n">
        <v>46299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7177-2022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44605</v>
      </c>
      <c r="E772" s="1" t="n">
        <v>46299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34622-2026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46299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40826-2026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46295</v>
      </c>
      <c r="E774" s="1" t="n">
        <v>46299</v>
      </c>
      <c r="F774" t="inlineStr">
        <is>
          <t>JÖNKÖPINGS LÄN</t>
        </is>
      </c>
      <c r="G774" t="inlineStr">
        <is>
          <t>JÖNKÖPING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46460-2023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45197</v>
      </c>
      <c r="E775" s="1" t="n">
        <v>46299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16214-2024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45406</v>
      </c>
      <c r="E776" s="1" t="n">
        <v>46299</v>
      </c>
      <c r="F776" t="inlineStr">
        <is>
          <t>JÖNKÖPINGS LÄN</t>
        </is>
      </c>
      <c r="G776" t="inlineStr">
        <is>
          <t>JÖNKÖPING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9897-2023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44985</v>
      </c>
      <c r="E777" s="1" t="n">
        <v>46299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19665-2023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45051</v>
      </c>
      <c r="E778" s="1" t="n">
        <v>46299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57715-2021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44484</v>
      </c>
      <c r="E779" s="1" t="n">
        <v>46299</v>
      </c>
      <c r="F779" t="inlineStr">
        <is>
          <t>JÖNKÖPINGS LÄN</t>
        </is>
      </c>
      <c r="G779" t="inlineStr">
        <is>
          <t>JÖNKÖPING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7847-2025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46299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45671</v>
      </c>
      <c r="E781" s="1" t="n">
        <v>46299</v>
      </c>
      <c r="F781" t="inlineStr">
        <is>
          <t>JÖNKÖPINGS LÄN</t>
        </is>
      </c>
      <c r="G781" t="inlineStr">
        <is>
          <t>JÖNKÖPING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7401-2025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45705</v>
      </c>
      <c r="E782" s="1" t="n">
        <v>46299</v>
      </c>
      <c r="F782" t="inlineStr">
        <is>
          <t>JÖNKÖPINGS LÄN</t>
        </is>
      </c>
      <c r="G782" t="inlineStr">
        <is>
          <t>JÖNKÖPING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46299</v>
      </c>
      <c r="F783" t="inlineStr">
        <is>
          <t>JÖNKÖPINGS LÄN</t>
        </is>
      </c>
      <c r="G783" t="inlineStr">
        <is>
          <t>JÖNKÖPING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45740</v>
      </c>
      <c r="E784" s="1" t="n">
        <v>46299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5661-2025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45693</v>
      </c>
      <c r="E785" s="1" t="n">
        <v>46299</v>
      </c>
      <c r="F785" t="inlineStr">
        <is>
          <t>JÖNKÖPINGS LÄN</t>
        </is>
      </c>
      <c r="G785" t="inlineStr">
        <is>
          <t>JÖNKÖPING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45009</v>
      </c>
      <c r="E786" s="1" t="n">
        <v>46299</v>
      </c>
      <c r="F786" t="inlineStr">
        <is>
          <t>JÖNKÖPINGS LÄN</t>
        </is>
      </c>
      <c r="G786" t="inlineStr">
        <is>
          <t>JÖNKÖPING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45127</v>
      </c>
      <c r="E787" s="1" t="n">
        <v>46299</v>
      </c>
      <c r="F787" t="inlineStr">
        <is>
          <t>JÖNKÖPINGS LÄN</t>
        </is>
      </c>
      <c r="G787" t="inlineStr">
        <is>
          <t>JÖNKÖPING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17203-2022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44677</v>
      </c>
      <c r="E788" s="1" t="n">
        <v>46299</v>
      </c>
      <c r="F788" t="inlineStr">
        <is>
          <t>JÖNKÖPINGS LÄN</t>
        </is>
      </c>
      <c r="G788" t="inlineStr">
        <is>
          <t>JÖNKÖPING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17362-2025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46299</v>
      </c>
      <c r="F789" t="inlineStr">
        <is>
          <t>JÖNKÖPINGS LÄN</t>
        </is>
      </c>
      <c r="G789" t="inlineStr">
        <is>
          <t>JÖNKÖPING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45324</v>
      </c>
      <c r="E790" s="1" t="n">
        <v>46299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45324</v>
      </c>
      <c r="E791" s="1" t="n">
        <v>46299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Kyrkan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45671</v>
      </c>
      <c r="E792" s="1" t="n">
        <v>46299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17299-2024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45414</v>
      </c>
      <c r="E793" s="1" t="n">
        <v>46299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18069-2025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45761</v>
      </c>
      <c r="E794" s="1" t="n">
        <v>46299</v>
      </c>
      <c r="F794" t="inlineStr">
        <is>
          <t>JÖNKÖPINGS LÄN</t>
        </is>
      </c>
      <c r="G794" t="inlineStr">
        <is>
          <t>JÖNKÖPING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27246-2022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44741</v>
      </c>
      <c r="E795" s="1" t="n">
        <v>46299</v>
      </c>
      <c r="F795" t="inlineStr">
        <is>
          <t>JÖNKÖPINGS LÄN</t>
        </is>
      </c>
      <c r="G795" t="inlineStr">
        <is>
          <t>JÖNKÖPING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52058-2023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46299</v>
      </c>
      <c r="F796" t="inlineStr">
        <is>
          <t>JÖNKÖPINGS LÄN</t>
        </is>
      </c>
      <c r="G796" t="inlineStr">
        <is>
          <t>JÖNKÖPING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46299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20384-2024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45435</v>
      </c>
      <c r="E798" s="1" t="n">
        <v>46299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44967</v>
      </c>
      <c r="E799" s="1" t="n">
        <v>46299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26208-2022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44734</v>
      </c>
      <c r="E800" s="1" t="n">
        <v>46299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15315-2025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45747</v>
      </c>
      <c r="E801" s="1" t="n">
        <v>46299</v>
      </c>
      <c r="F801" t="inlineStr">
        <is>
          <t>JÖNKÖPINGS LÄN</t>
        </is>
      </c>
      <c r="G801" t="inlineStr">
        <is>
          <t>JÖNKÖPING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45533</v>
      </c>
      <c r="E802" s="1" t="n">
        <v>46299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46299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58437-2024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45635</v>
      </c>
      <c r="E804" s="1" t="n">
        <v>46299</v>
      </c>
      <c r="F804" t="inlineStr">
        <is>
          <t>JÖNKÖPINGS LÄN</t>
        </is>
      </c>
      <c r="G804" t="inlineStr">
        <is>
          <t>JÖNKÖPING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37510-2024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45541</v>
      </c>
      <c r="E805" s="1" t="n">
        <v>46299</v>
      </c>
      <c r="F805" t="inlineStr">
        <is>
          <t>JÖNKÖPINGS LÄN</t>
        </is>
      </c>
      <c r="G805" t="inlineStr">
        <is>
          <t>JÖNKÖPING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47067-2023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45201</v>
      </c>
      <c r="E806" s="1" t="n">
        <v>46299</v>
      </c>
      <c r="F806" t="inlineStr">
        <is>
          <t>JÖNKÖPINGS LÄN</t>
        </is>
      </c>
      <c r="G806" t="inlineStr">
        <is>
          <t>JÖNKÖPING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6663-2024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45341</v>
      </c>
      <c r="E807" s="1" t="n">
        <v>46299</v>
      </c>
      <c r="F807" t="inlineStr">
        <is>
          <t>JÖNKÖPINGS LÄN</t>
        </is>
      </c>
      <c r="G807" t="inlineStr">
        <is>
          <t>JÖNKÖPING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44950</v>
      </c>
      <c r="E808" s="1" t="n">
        <v>46299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45099</v>
      </c>
      <c r="E809" s="1" t="n">
        <v>46299</v>
      </c>
      <c r="F809" t="inlineStr">
        <is>
          <t>JÖNKÖPINGS LÄN</t>
        </is>
      </c>
      <c r="G809" t="inlineStr">
        <is>
          <t>JÖNKÖPING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45681</v>
      </c>
      <c r="E810" s="1" t="n">
        <v>46299</v>
      </c>
      <c r="F810" t="inlineStr">
        <is>
          <t>JÖNKÖPINGS LÄN</t>
        </is>
      </c>
      <c r="G810" t="inlineStr">
        <is>
          <t>JÖNKÖPING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9604-2025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45715</v>
      </c>
      <c r="E811" s="1" t="n">
        <v>46299</v>
      </c>
      <c r="F811" t="inlineStr">
        <is>
          <t>JÖNKÖPINGS LÄN</t>
        </is>
      </c>
      <c r="G811" t="inlineStr">
        <is>
          <t>JÖNKÖPING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10760-2022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44627</v>
      </c>
      <c r="E812" s="1" t="n">
        <v>46299</v>
      </c>
      <c r="F812" t="inlineStr">
        <is>
          <t>JÖNKÖPINGS LÄN</t>
        </is>
      </c>
      <c r="G812" t="inlineStr">
        <is>
          <t>JÖNKÖPING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20425-2023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45056</v>
      </c>
      <c r="E813" s="1" t="n">
        <v>46299</v>
      </c>
      <c r="F813" t="inlineStr">
        <is>
          <t>JÖNKÖPINGS LÄN</t>
        </is>
      </c>
      <c r="G813" t="inlineStr">
        <is>
          <t>JÖNKÖPING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8554-2024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45355</v>
      </c>
      <c r="E814" s="1" t="n">
        <v>46299</v>
      </c>
      <c r="F814" t="inlineStr">
        <is>
          <t>JÖNKÖPINGS LÄN</t>
        </is>
      </c>
      <c r="G814" t="inlineStr">
        <is>
          <t>JÖNKÖPING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6601-2023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44966</v>
      </c>
      <c r="E815" s="1" t="n">
        <v>46299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4154-2022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44588</v>
      </c>
      <c r="E816" s="1" t="n">
        <v>46299</v>
      </c>
      <c r="F816" t="inlineStr">
        <is>
          <t>JÖNKÖPINGS LÄN</t>
        </is>
      </c>
      <c r="G816" t="inlineStr">
        <is>
          <t>JÖNKÖPING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58559-2021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44488</v>
      </c>
      <c r="E817" s="1" t="n">
        <v>46299</v>
      </c>
      <c r="F817" t="inlineStr">
        <is>
          <t>JÖNKÖPINGS LÄN</t>
        </is>
      </c>
      <c r="G817" t="inlineStr">
        <is>
          <t>JÖNKÖPING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45197</v>
      </c>
      <c r="E818" s="1" t="n">
        <v>46299</v>
      </c>
      <c r="F818" t="inlineStr">
        <is>
          <t>JÖNKÖPINGS LÄN</t>
        </is>
      </c>
      <c r="G818" t="inlineStr">
        <is>
          <t>JÖNKÖPING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38919-2024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45547</v>
      </c>
      <c r="E819" s="1" t="n">
        <v>46299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46299</v>
      </c>
      <c r="F820" t="inlineStr">
        <is>
          <t>JÖNKÖPINGS LÄN</t>
        </is>
      </c>
      <c r="G820" t="inlineStr">
        <is>
          <t>JÖNKÖPING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57620-2022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44897</v>
      </c>
      <c r="E821" s="1" t="n">
        <v>46299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18836-2025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45764</v>
      </c>
      <c r="E822" s="1" t="n">
        <v>46299</v>
      </c>
      <c r="F822" t="inlineStr">
        <is>
          <t>JÖNKÖPINGS LÄN</t>
        </is>
      </c>
      <c r="G822" t="inlineStr">
        <is>
          <t>JÖNKÖPING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45198</v>
      </c>
      <c r="E823" s="1" t="n">
        <v>46299</v>
      </c>
      <c r="F823" t="inlineStr">
        <is>
          <t>JÖNKÖPINGS LÄN</t>
        </is>
      </c>
      <c r="G823" t="inlineStr">
        <is>
          <t>JÖNKÖPING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20410-2023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45056</v>
      </c>
      <c r="E824" s="1" t="n">
        <v>46299</v>
      </c>
      <c r="F824" t="inlineStr">
        <is>
          <t>JÖNKÖPINGS LÄN</t>
        </is>
      </c>
      <c r="G824" t="inlineStr">
        <is>
          <t>JÖNKÖPING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45406</v>
      </c>
      <c r="E825" s="1" t="n">
        <v>46299</v>
      </c>
      <c r="F825" t="inlineStr">
        <is>
          <t>JÖNKÖPINGS LÄN</t>
        </is>
      </c>
      <c r="G825" t="inlineStr">
        <is>
          <t>JÖNKÖPING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16213-2024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45406</v>
      </c>
      <c r="E826" s="1" t="n">
        <v>46299</v>
      </c>
      <c r="F826" t="inlineStr">
        <is>
          <t>JÖNKÖPINGS LÄN</t>
        </is>
      </c>
      <c r="G826" t="inlineStr">
        <is>
          <t>JÖNKÖPING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45440</v>
      </c>
      <c r="E827" s="1" t="n">
        <v>46299</v>
      </c>
      <c r="F827" t="inlineStr">
        <is>
          <t>JÖNKÖPINGS LÄN</t>
        </is>
      </c>
      <c r="G827" t="inlineStr">
        <is>
          <t>JÖNKÖPING</t>
        </is>
      </c>
      <c r="I827" t="n">
        <v>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50293-2023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45216</v>
      </c>
      <c r="E828" s="1" t="n">
        <v>46299</v>
      </c>
      <c r="F828" t="inlineStr">
        <is>
          <t>JÖNKÖPINGS LÄN</t>
        </is>
      </c>
      <c r="G828" t="inlineStr">
        <is>
          <t>JÖNKÖPING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45667</v>
      </c>
      <c r="E829" s="1" t="n">
        <v>46299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33398-2024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45519</v>
      </c>
      <c r="E830" s="1" t="n">
        <v>46299</v>
      </c>
      <c r="F830" t="inlineStr">
        <is>
          <t>JÖNKÖPINGS LÄN</t>
        </is>
      </c>
      <c r="G830" t="inlineStr">
        <is>
          <t>JÖNKÖPING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47190-2024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45586</v>
      </c>
      <c r="E831" s="1" t="n">
        <v>46299</v>
      </c>
      <c r="F831" t="inlineStr">
        <is>
          <t>JÖNKÖPINGS LÄN</t>
        </is>
      </c>
      <c r="G831" t="inlineStr">
        <is>
          <t>JÖNKÖPING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46299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1870-2022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44658</v>
      </c>
      <c r="E833" s="1" t="n">
        <v>46299</v>
      </c>
      <c r="F833" t="inlineStr">
        <is>
          <t>JÖNKÖPINGS LÄN</t>
        </is>
      </c>
      <c r="G833" t="inlineStr">
        <is>
          <t>JÖNKÖPING</t>
        </is>
      </c>
      <c r="I833" t="n">
        <v>6.6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44607</v>
      </c>
      <c r="E834" s="1" t="n">
        <v>46299</v>
      </c>
      <c r="F834" t="inlineStr">
        <is>
          <t>JÖNKÖPINGS LÄN</t>
        </is>
      </c>
      <c r="G834" t="inlineStr">
        <is>
          <t>JÖNKÖPING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46299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46299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46299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46299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46299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46299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2909-2022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44711</v>
      </c>
      <c r="E841" s="1" t="n">
        <v>46299</v>
      </c>
      <c r="F841" t="inlineStr">
        <is>
          <t>JÖNKÖPINGS LÄN</t>
        </is>
      </c>
      <c r="G841" t="inlineStr">
        <is>
          <t>JÖNKÖPING</t>
        </is>
      </c>
      <c r="I841" t="n">
        <v>11.2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3979-2022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44753</v>
      </c>
      <c r="E842" s="1" t="n">
        <v>46299</v>
      </c>
      <c r="F842" t="inlineStr">
        <is>
          <t>JÖNKÖPINGS LÄN</t>
        </is>
      </c>
      <c r="G842" t="inlineStr">
        <is>
          <t>JÖNKÖPING</t>
        </is>
      </c>
      <c r="I842" t="n">
        <v>55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44998</v>
      </c>
      <c r="E843" s="1" t="n">
        <v>46299</v>
      </c>
      <c r="F843" t="inlineStr">
        <is>
          <t>JÖNKÖPINGS LÄN</t>
        </is>
      </c>
      <c r="G843" t="inlineStr">
        <is>
          <t>JÖNKÖPING</t>
        </is>
      </c>
      <c r="I843" t="n">
        <v>129.2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1566-2025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45794</v>
      </c>
      <c r="E844" s="1" t="n">
        <v>46299</v>
      </c>
      <c r="F844" t="inlineStr">
        <is>
          <t>JÖNKÖPINGS LÄN</t>
        </is>
      </c>
      <c r="G844" t="inlineStr">
        <is>
          <t>JÖNKÖPING</t>
        </is>
      </c>
      <c r="I844" t="n">
        <v>24.3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1618-2025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46299</v>
      </c>
      <c r="F845" t="inlineStr">
        <is>
          <t>JÖNKÖPINGS LÄN</t>
        </is>
      </c>
      <c r="G845" t="inlineStr">
        <is>
          <t>JÖNKÖPING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581-2025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46299</v>
      </c>
      <c r="F846" t="inlineStr">
        <is>
          <t>JÖNKÖPINGS LÄN</t>
        </is>
      </c>
      <c r="G846" t="inlineStr">
        <is>
          <t>JÖNKÖPING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  <c r="Z846">
        <f>HYPERLINK("https://klasma.github.io/Logging_0680/knärot/S 581-2025 karta knärot.png", "S 581-2025")</f>
        <v/>
      </c>
      <c r="AA846">
        <f>HYPERLINK("https://klasma.github.io/Logging_0680/klagomål/S 581-2025 FSC-klagomål.docx", "S 581-2025")</f>
        <v/>
      </c>
      <c r="AB846">
        <f>HYPERLINK("https://klasma.github.io/Logging_0680/klagomålsmail/S 581-2025 FSC-klagomål mail.docx", "S 581-2025")</f>
        <v/>
      </c>
      <c r="AC846">
        <f>HYPERLINK("https://klasma.github.io/Logging_0680/tillsyn/S 581-2025 tillsynsbegäran.docx", "S 581-2025")</f>
        <v/>
      </c>
      <c r="AD846">
        <f>HYPERLINK("https://klasma.github.io/Logging_0680/tillsynsmail/S 581-2025 tillsynsbegäran mail.docx", "S 581-2025")</f>
        <v/>
      </c>
    </row>
    <row r="847" ht="15" customHeight="1">
      <c r="A847" t="inlineStr">
        <is>
          <t>S 1610-2025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46299</v>
      </c>
      <c r="F847" t="inlineStr">
        <is>
          <t>JÖNKÖPINGS LÄN</t>
        </is>
      </c>
      <c r="G847" t="inlineStr">
        <is>
          <t>JÖNKÖPING</t>
        </is>
      </c>
      <c r="I847" t="n">
        <v>65.3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577-2025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46299</v>
      </c>
      <c r="F848" t="inlineStr">
        <is>
          <t>JÖNKÖPINGS LÄN</t>
        </is>
      </c>
      <c r="G848" t="inlineStr">
        <is>
          <t>JÖNKÖPING</t>
        </is>
      </c>
      <c r="I848" t="n">
        <v>39.5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1803-2025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45817</v>
      </c>
      <c r="E849" s="1" t="n">
        <v>46299</v>
      </c>
      <c r="F849" t="inlineStr">
        <is>
          <t>JÖNKÖPINGS LÄN</t>
        </is>
      </c>
      <c r="G849" t="inlineStr">
        <is>
          <t>JÖNKÖPING</t>
        </is>
      </c>
      <c r="H849" t="inlineStr">
        <is>
          <t>Kommuner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2245-2025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45870</v>
      </c>
      <c r="E850" s="1" t="n">
        <v>46299</v>
      </c>
      <c r="F850" t="inlineStr">
        <is>
          <t>JÖNKÖPINGS LÄN</t>
        </is>
      </c>
      <c r="G850" t="inlineStr">
        <is>
          <t>JÖNKÖPING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3374-2025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45994</v>
      </c>
      <c r="E851" s="1" t="n">
        <v>46299</v>
      </c>
      <c r="F851" t="inlineStr">
        <is>
          <t>JÖNKÖPINGS LÄN</t>
        </is>
      </c>
      <c r="G851" t="inlineStr">
        <is>
          <t>JÖNKÖPING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180-2026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46047</v>
      </c>
      <c r="E852" s="1" t="n">
        <v>46299</v>
      </c>
      <c r="F852" t="inlineStr">
        <is>
          <t>JÖNKÖPINGS LÄN</t>
        </is>
      </c>
      <c r="G852" t="inlineStr">
        <is>
          <t>JÖNKÖPING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2026-10-04T01:56:43Z</dcterms:created>
  <dcterms:modified xmlns:dcterms="http://purl.org/dc/terms/" xmlns:xsi="http://www.w3.org/2001/XMLSchema-instance" xsi:type="dcterms:W3CDTF">2026-10-04T01:56:44Z</dcterms:modified>
</cp:coreProperties>
</file>