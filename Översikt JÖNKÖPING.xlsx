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46216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V2">
        <f>HYPERLINK("https://klasma.github.io/Logging_0680/artfynd/A 35568-2025 artfynd.xlsx", "A 35568-2025")</f>
        <v/>
      </c>
      <c r="W2">
        <f>HYPERLINK("https://klasma.github.io/Logging_0680/kartor/A 35568-2025 karta.png", "A 35568-2025")</f>
        <v/>
      </c>
      <c r="Y2">
        <f>HYPERLINK("https://klasma.github.io/Logging_0680/klagomål/A 35568-2025 FSC-klagomål.docx", "A 35568-2025")</f>
        <v/>
      </c>
      <c r="Z2">
        <f>HYPERLINK("https://klasma.github.io/Logging_0680/klagomålsmail/A 35568-2025 FSC-klagomål mail.docx", "A 35568-2025")</f>
        <v/>
      </c>
      <c r="AA2">
        <f>HYPERLINK("https://klasma.github.io/Logging_0680/tillsyn/A 35568-2025 tillsynsbegäran.docx", "A 35568-2025")</f>
        <v/>
      </c>
      <c r="AB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46216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s="2" t="inlineStr">
        <is>
          <t>Ask
Gullklöver
Jungfrulin
Slåtterfibbla
Sommarfibbla
Svinrot
Sårläka
Vippärt
Vårärt
Grönpyrola
Vätteros
Blåsippa
Grönvit nattviol
Nattviol
Lopplummer (aggregat)</t>
        </is>
      </c>
      <c r="V3">
        <f>HYPERLINK("https://klasma.github.io/Logging_0680/artfynd/A 35569-2025 artfynd.xlsx", "A 35569-2025")</f>
        <v/>
      </c>
      <c r="W3">
        <f>HYPERLINK("https://klasma.github.io/Logging_0680/kartor/A 35569-2025 karta.png", "A 35569-2025")</f>
        <v/>
      </c>
      <c r="Y3">
        <f>HYPERLINK("https://klasma.github.io/Logging_0680/klagomål/A 35569-2025 FSC-klagomål.docx", "A 35569-2025")</f>
        <v/>
      </c>
      <c r="Z3">
        <f>HYPERLINK("https://klasma.github.io/Logging_0680/klagomålsmail/A 35569-2025 FSC-klagomål mail.docx", "A 35569-2025")</f>
        <v/>
      </c>
      <c r="AA3">
        <f>HYPERLINK("https://klasma.github.io/Logging_0680/tillsyn/A 35569-2025 tillsynsbegäran.docx", "A 35569-2025")</f>
        <v/>
      </c>
      <c r="AB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46216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s="2" t="inlineStr">
        <is>
          <t>Knärot
Gullklöver
Gullpudra
Vårstarr
Blåmossa
Bronshjon
Granbarkgnagare
Thomsons trägnagare
Trådticka
Västlig hakmossa
Vågbandad barkbock
Kungsfågel
Revlummer</t>
        </is>
      </c>
      <c r="V4">
        <f>HYPERLINK("https://klasma.github.io/Logging_0680/artfynd/A 48764-2025 artfynd.xlsx", "A 48764-2025")</f>
        <v/>
      </c>
      <c r="W4">
        <f>HYPERLINK("https://klasma.github.io/Logging_0680/kartor/A 48764-2025 karta.png", "A 48764-2025")</f>
        <v/>
      </c>
      <c r="X4">
        <f>HYPERLINK("https://klasma.github.io/Logging_0680/knärot/A 48764-2025 karta knärot.png", "A 48764-2025")</f>
        <v/>
      </c>
      <c r="Y4">
        <f>HYPERLINK("https://klasma.github.io/Logging_0680/klagomål/A 48764-2025 FSC-klagomål.docx", "A 48764-2025")</f>
        <v/>
      </c>
      <c r="Z4">
        <f>HYPERLINK("https://klasma.github.io/Logging_0680/klagomålsmail/A 48764-2025 FSC-klagomål mail.docx", "A 48764-2025")</f>
        <v/>
      </c>
      <c r="AA4">
        <f>HYPERLINK("https://klasma.github.io/Logging_0680/tillsyn/A 48764-2025 tillsynsbegäran.docx", "A 48764-2025")</f>
        <v/>
      </c>
      <c r="AB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46216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s="2" t="inlineStr">
        <is>
          <t>Grönfink
Stare
Duvhök
Entita
Grönsångare
Gulsparv
Järnsparv
Ladusvala
Kråka
Kungsfågel
Skogsduva
Trana</t>
        </is>
      </c>
      <c r="V5">
        <f>HYPERLINK("https://klasma.github.io/Logging_0680/artfynd/A 63685-2023 artfynd.xlsx", "A 63685-2023")</f>
        <v/>
      </c>
      <c r="W5">
        <f>HYPERLINK("https://klasma.github.io/Logging_0680/kartor/A 63685-2023 karta.png", "A 63685-2023")</f>
        <v/>
      </c>
      <c r="Y5">
        <f>HYPERLINK("https://klasma.github.io/Logging_0680/klagomål/A 63685-2023 FSC-klagomål.docx", "A 63685-2023")</f>
        <v/>
      </c>
      <c r="Z5">
        <f>HYPERLINK("https://klasma.github.io/Logging_0680/klagomålsmail/A 63685-2023 FSC-klagomål mail.docx", "A 63685-2023")</f>
        <v/>
      </c>
      <c r="AA5">
        <f>HYPERLINK("https://klasma.github.io/Logging_0680/tillsyn/A 63685-2023 tillsynsbegäran.docx", "A 63685-2023")</f>
        <v/>
      </c>
      <c r="AB5">
        <f>HYPERLINK("https://klasma.github.io/Logging_0680/tillsynsmail/A 63685-2023 tillsynsbegäran mail.docx", "A 63685-2023")</f>
        <v/>
      </c>
      <c r="AC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46216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s="2" t="inlineStr">
        <is>
          <t>Ask
Slåttergubbe
Jungfrulin
Slåtterfibbla
Svinrot
Åkerkulla
Blåsippa
Mattlummer
Fläcknycklar
Grönvit nattviol
Gullviva</t>
        </is>
      </c>
      <c r="V6">
        <f>HYPERLINK("https://klasma.github.io/Logging_0680/artfynd/A 63437-2025 artfynd.xlsx", "A 63437-2025")</f>
        <v/>
      </c>
      <c r="W6">
        <f>HYPERLINK("https://klasma.github.io/Logging_0680/kartor/A 63437-2025 karta.png", "A 63437-2025")</f>
        <v/>
      </c>
      <c r="Y6">
        <f>HYPERLINK("https://klasma.github.io/Logging_0680/klagomål/A 63437-2025 FSC-klagomål.docx", "A 63437-2025")</f>
        <v/>
      </c>
      <c r="Z6">
        <f>HYPERLINK("https://klasma.github.io/Logging_0680/klagomålsmail/A 63437-2025 FSC-klagomål mail.docx", "A 63437-2025")</f>
        <v/>
      </c>
      <c r="AA6">
        <f>HYPERLINK("https://klasma.github.io/Logging_0680/tillsyn/A 63437-2025 tillsynsbegäran.docx", "A 63437-2025")</f>
        <v/>
      </c>
      <c r="AB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46216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s="2" t="inlineStr">
        <is>
          <t>Ask
Blek kraterlav
Grynig filtlav
Fällmossa
Guldlockmossa
Liten baronmossa
Platt fjädermossa
Vätteros
Blåsippa</t>
        </is>
      </c>
      <c r="V7">
        <f>HYPERLINK("https://klasma.github.io/Logging_0680/artfynd/A 3689-2026 artfynd.xlsx", "A 3689-2026")</f>
        <v/>
      </c>
      <c r="W7">
        <f>HYPERLINK("https://klasma.github.io/Logging_0680/kartor/A 3689-2026 karta.png", "A 3689-2026")</f>
        <v/>
      </c>
      <c r="Y7">
        <f>HYPERLINK("https://klasma.github.io/Logging_0680/klagomål/A 3689-2026 FSC-klagomål.docx", "A 3689-2026")</f>
        <v/>
      </c>
      <c r="Z7">
        <f>HYPERLINK("https://klasma.github.io/Logging_0680/klagomålsmail/A 3689-2026 FSC-klagomål mail.docx", "A 3689-2026")</f>
        <v/>
      </c>
      <c r="AA7">
        <f>HYPERLINK("https://klasma.github.io/Logging_0680/tillsyn/A 3689-2026 tillsynsbegäran.docx", "A 3689-2026")</f>
        <v/>
      </c>
      <c r="AB7">
        <f>HYPERLINK("https://klasma.github.io/Logging_0680/tillsynsmail/A 3689-2026 tillsynsbegäran mail.docx", "A 3689-2026")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46216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s="2" t="inlineStr">
        <is>
          <t>Jordtistel
Nordfladdermus
Fällmossa
Tvåblad
Dvärgpipistrell
Större brunfladdermus
Trollpipistrell
Vattenfladdermus
Ängsnycklar</t>
        </is>
      </c>
      <c r="V8">
        <f>HYPERLINK("https://klasma.github.io/Logging_0680/artfynd/S 2395-2023 artfynd.xlsx", "S 2395-2023")</f>
        <v/>
      </c>
      <c r="W8">
        <f>HYPERLINK("https://klasma.github.io/Logging_0680/kartor/S 2395-2023 karta.png", "S 2395-2023")</f>
        <v/>
      </c>
      <c r="Y8">
        <f>HYPERLINK("https://klasma.github.io/Logging_0680/klagomål/S 2395-2023 FSC-klagomål.docx", "S 2395-2023")</f>
        <v/>
      </c>
      <c r="Z8">
        <f>HYPERLINK("https://klasma.github.io/Logging_0680/klagomålsmail/S 2395-2023 FSC-klagomål mail.docx", "S 2395-2023")</f>
        <v/>
      </c>
      <c r="AA8">
        <f>HYPERLINK("https://klasma.github.io/Logging_0680/tillsyn/S 2395-2023 tillsynsbegäran.docx", "S 2395-2023")</f>
        <v/>
      </c>
      <c r="AB8">
        <f>HYPERLINK("https://klasma.github.io/Logging_0680/tillsynsmail/S 2395-2023 tillsynsbegäran mail.docx", "S 2395-2023")</f>
        <v/>
      </c>
    </row>
    <row r="9" ht="15" customHeight="1">
      <c r="A9" t="inlineStr">
        <is>
          <t>S 961-2022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46216</v>
      </c>
      <c r="F9" t="inlineStr">
        <is>
          <t>JÖNKÖPINGS LÄN</t>
        </is>
      </c>
      <c r="G9" t="inlineStr">
        <is>
          <t>JÖNKÖPING</t>
        </is>
      </c>
      <c r="H9" t="inlineStr">
        <is>
          <t>Sveaskog</t>
        </is>
      </c>
      <c r="I9" t="n">
        <v>636.1</v>
      </c>
      <c r="J9" t="n">
        <v>8</v>
      </c>
      <c r="K9" t="n">
        <v>1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9</v>
      </c>
      <c r="T9" t="n">
        <v>9</v>
      </c>
      <c r="U9" s="2" t="inlineStr">
        <is>
          <t>Pärluggla
Entita
Klofibbla
Sparvuggla
Korallrot
Tjäder
Grönsiska
Kungsfågel
Svartvit flugsnappare</t>
        </is>
      </c>
      <c r="V9">
        <f>HYPERLINK("https://klasma.github.io/Logging_0680/artfynd/S 961-2022 artfynd.xlsx", "S 961-2022")</f>
        <v/>
      </c>
      <c r="W9">
        <f>HYPERLINK("https://klasma.github.io/Logging_0680/kartor/S 961-2022 karta.png", "S 961-2022")</f>
        <v/>
      </c>
      <c r="Y9">
        <f>HYPERLINK("https://klasma.github.io/Logging_0680/klagomål/S 961-2022 FSC-klagomål.docx", "S 961-2022")</f>
        <v/>
      </c>
      <c r="Z9">
        <f>HYPERLINK("https://klasma.github.io/Logging_0680/klagomålsmail/S 961-2022 FSC-klagomål mail.docx", "S 961-2022")</f>
        <v/>
      </c>
      <c r="AA9">
        <f>HYPERLINK("https://klasma.github.io/Logging_0680/tillsyn/S 961-2022 tillsynsbegäran.docx", "S 961-2022")</f>
        <v/>
      </c>
      <c r="AB9">
        <f>HYPERLINK("https://klasma.github.io/Logging_0680/tillsynsmail/S 961-2022 tillsynsbegäran mail.docx", "S 961-2022")</f>
        <v/>
      </c>
      <c r="AC9">
        <f>HYPERLINK("https://klasma.github.io/Logging_0680/fåglar/S 961-2022 prioriterade fågelarter.docx", "S 961-2022")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46216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s="2" t="inlineStr">
        <is>
          <t>Hornuggla
Garnlav
Kattfotslav
Skuggblåslav
Björksplintborre
Bronshjon
Vedticka
Revlummer</t>
        </is>
      </c>
      <c r="V10">
        <f>HYPERLINK("https://klasma.github.io/Logging_0680/artfynd/A 52402-2024 artfynd.xlsx", "A 52402-2024")</f>
        <v/>
      </c>
      <c r="W10">
        <f>HYPERLINK("https://klasma.github.io/Logging_0680/kartor/A 52402-2024 karta.png", "A 52402-2024")</f>
        <v/>
      </c>
      <c r="Y10">
        <f>HYPERLINK("https://klasma.github.io/Logging_0680/klagomål/A 52402-2024 FSC-klagomål.docx", "A 52402-2024")</f>
        <v/>
      </c>
      <c r="Z10">
        <f>HYPERLINK("https://klasma.github.io/Logging_0680/klagomålsmail/A 52402-2024 FSC-klagomål mail.docx", "A 52402-2024")</f>
        <v/>
      </c>
      <c r="AA10">
        <f>HYPERLINK("https://klasma.github.io/Logging_0680/tillsyn/A 52402-2024 tillsynsbegäran.docx", "A 52402-2024")</f>
        <v/>
      </c>
      <c r="AB10">
        <f>HYPERLINK("https://klasma.github.io/Logging_0680/tillsynsmail/A 52402-2024 tillsynsbegäran mail.docx", "A 52402-2024")</f>
        <v/>
      </c>
      <c r="AC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46216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s="2" t="inlineStr">
        <is>
          <t>Blåmossa
Bronshjon
Grovticka
Stor revmossa
Vedticka
Västlig hakmossa
Spillkråka
Revlummer</t>
        </is>
      </c>
      <c r="V11">
        <f>HYPERLINK("https://klasma.github.io/Logging_0680/artfynd/A 7521-2024 artfynd.xlsx", "A 7521-2024")</f>
        <v/>
      </c>
      <c r="W11">
        <f>HYPERLINK("https://klasma.github.io/Logging_0680/kartor/A 7521-2024 karta.png", "A 7521-2024")</f>
        <v/>
      </c>
      <c r="Y11">
        <f>HYPERLINK("https://klasma.github.io/Logging_0680/klagomål/A 7521-2024 FSC-klagomål.docx", "A 7521-2024")</f>
        <v/>
      </c>
      <c r="Z11">
        <f>HYPERLINK("https://klasma.github.io/Logging_0680/klagomålsmail/A 7521-2024 FSC-klagomål mail.docx", "A 7521-2024")</f>
        <v/>
      </c>
      <c r="AA11">
        <f>HYPERLINK("https://klasma.github.io/Logging_0680/tillsyn/A 7521-2024 tillsynsbegäran.docx", "A 7521-2024")</f>
        <v/>
      </c>
      <c r="AB11">
        <f>HYPERLINK("https://klasma.github.io/Logging_0680/tillsynsmail/A 7521-2024 tillsynsbegäran mail.docx", "A 7521-2024")</f>
        <v/>
      </c>
      <c r="AC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46216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s="2" t="inlineStr">
        <is>
          <t>Praktvaxing
Blodvaxing
Gulvaxing
Igelkottsröksvamp
Svart trolldruva
Vitvaxing agg.
Västlig hakmossa
Ängsfingersvamp</t>
        </is>
      </c>
      <c r="V12">
        <f>HYPERLINK("https://klasma.github.io/Logging_0680/artfynd/A 6327-2026 artfynd.xlsx", "A 6327-2026")</f>
        <v/>
      </c>
      <c r="W12">
        <f>HYPERLINK("https://klasma.github.io/Logging_0680/kartor/A 6327-2026 karta.png", "A 6327-2026")</f>
        <v/>
      </c>
      <c r="Y12">
        <f>HYPERLINK("https://klasma.github.io/Logging_0680/klagomål/A 6327-2026 FSC-klagomål.docx", "A 6327-2026")</f>
        <v/>
      </c>
      <c r="Z12">
        <f>HYPERLINK("https://klasma.github.io/Logging_0680/klagomålsmail/A 6327-2026 FSC-klagomål mail.docx", "A 6327-2026")</f>
        <v/>
      </c>
      <c r="AA12">
        <f>HYPERLINK("https://klasma.github.io/Logging_0680/tillsyn/A 6327-2026 tillsynsbegäran.docx", "A 6327-2026")</f>
        <v/>
      </c>
      <c r="AB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46216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s="2" t="inlineStr">
        <is>
          <t>Ask
Svinrot
Springkorn
Vätteros
Hultbräken
Gröngöling
Hasselmus
Grönvit nattviol</t>
        </is>
      </c>
      <c r="V13">
        <f>HYPERLINK("https://klasma.github.io/Logging_0680/artfynd/S 4791-2022 artfynd.xlsx", "S 4791-2022")</f>
        <v/>
      </c>
      <c r="W13">
        <f>HYPERLINK("https://klasma.github.io/Logging_0680/kartor/S 4791-2022 karta.png", "S 4791-2022")</f>
        <v/>
      </c>
      <c r="Y13">
        <f>HYPERLINK("https://klasma.github.io/Logging_0680/klagomål/S 4791-2022 FSC-klagomål.docx", "S 4791-2022")</f>
        <v/>
      </c>
      <c r="Z13">
        <f>HYPERLINK("https://klasma.github.io/Logging_0680/klagomålsmail/S 4791-2022 FSC-klagomål mail.docx", "S 4791-2022")</f>
        <v/>
      </c>
      <c r="AA13">
        <f>HYPERLINK("https://klasma.github.io/Logging_0680/tillsyn/S 4791-2022 tillsynsbegäran.docx", "S 4791-2022")</f>
        <v/>
      </c>
      <c r="AB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46216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s="2" t="inlineStr">
        <is>
          <t>Stickelfrö
Sårläka
Vippärt
Vårärt
Kransrams
Skogsbräsma
Brudsporre</t>
        </is>
      </c>
      <c r="V14">
        <f>HYPERLINK("https://klasma.github.io/Logging_0680/artfynd/A 1244-2024 artfynd.xlsx", "A 1244-2024")</f>
        <v/>
      </c>
      <c r="W14">
        <f>HYPERLINK("https://klasma.github.io/Logging_0680/kartor/A 1244-2024 karta.png", "A 1244-2024")</f>
        <v/>
      </c>
      <c r="Y14">
        <f>HYPERLINK("https://klasma.github.io/Logging_0680/klagomål/A 1244-2024 FSC-klagomål.docx", "A 1244-2024")</f>
        <v/>
      </c>
      <c r="Z14">
        <f>HYPERLINK("https://klasma.github.io/Logging_0680/klagomålsmail/A 1244-2024 FSC-klagomål mail.docx", "A 1244-2024")</f>
        <v/>
      </c>
      <c r="AA14">
        <f>HYPERLINK("https://klasma.github.io/Logging_0680/tillsyn/A 1244-2024 tillsynsbegäran.docx", "A 1244-2024")</f>
        <v/>
      </c>
      <c r="AB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46216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s="2" t="inlineStr">
        <is>
          <t>Backstarr
Vårstarr
Hasselsopp
Kruskantarell
Blåsippa
Mattlummer
Gullviva</t>
        </is>
      </c>
      <c r="V15">
        <f>HYPERLINK("https://klasma.github.io/Logging_0680/artfynd/A 6205-2025 artfynd.xlsx", "A 6205-2025")</f>
        <v/>
      </c>
      <c r="W15">
        <f>HYPERLINK("https://klasma.github.io/Logging_0680/kartor/A 6205-2025 karta.png", "A 6205-2025")</f>
        <v/>
      </c>
      <c r="Y15">
        <f>HYPERLINK("https://klasma.github.io/Logging_0680/klagomål/A 6205-2025 FSC-klagomål.docx", "A 6205-2025")</f>
        <v/>
      </c>
      <c r="Z15">
        <f>HYPERLINK("https://klasma.github.io/Logging_0680/klagomålsmail/A 6205-2025 FSC-klagomål mail.docx", "A 6205-2025")</f>
        <v/>
      </c>
      <c r="AA15">
        <f>HYPERLINK("https://klasma.github.io/Logging_0680/tillsyn/A 6205-2025 tillsynsbegäran.docx", "A 6205-2025")</f>
        <v/>
      </c>
      <c r="AB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46216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s="2" t="inlineStr">
        <is>
          <t>Borsttåg
Skogshare
Talltita
Grov fjädermossa
Spindelblomster
Järpe
Hasselmus</t>
        </is>
      </c>
      <c r="V16">
        <f>HYPERLINK("https://klasma.github.io/Logging_0680/artfynd/S 952-2022 artfynd.xlsx", "S 952-2022")</f>
        <v/>
      </c>
      <c r="W16">
        <f>HYPERLINK("https://klasma.github.io/Logging_0680/kartor/S 952-2022 karta.png", "S 952-2022")</f>
        <v/>
      </c>
      <c r="Y16">
        <f>HYPERLINK("https://klasma.github.io/Logging_0680/klagomål/S 952-2022 FSC-klagomål.docx", "S 952-2022")</f>
        <v/>
      </c>
      <c r="Z16">
        <f>HYPERLINK("https://klasma.github.io/Logging_0680/klagomålsmail/S 952-2022 FSC-klagomål mail.docx", "S 952-2022")</f>
        <v/>
      </c>
      <c r="AA16">
        <f>HYPERLINK("https://klasma.github.io/Logging_0680/tillsyn/S 952-2022 tillsynsbegäran.docx", "S 952-2022")</f>
        <v/>
      </c>
      <c r="AB16">
        <f>HYPERLINK("https://klasma.github.io/Logging_0680/tillsynsmail/S 952-2022 tillsynsbegäran mail.docx", "S 952-2022")</f>
        <v/>
      </c>
      <c r="AC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46216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s="2" t="inlineStr">
        <is>
          <t>Lakritsmusseron
Sandödla
Dropptaggsvamp
Gulsparv
Månlåsbräken
Svinrot
Grönsiska</t>
        </is>
      </c>
      <c r="V17">
        <f>HYPERLINK("https://klasma.github.io/Logging_0680/artfynd/S 1405-2024 artfynd.xlsx", "S 1405-2024")</f>
        <v/>
      </c>
      <c r="W17">
        <f>HYPERLINK("https://klasma.github.io/Logging_0680/kartor/S 1405-2024 karta.png", "S 1405-2024")</f>
        <v/>
      </c>
      <c r="Y17">
        <f>HYPERLINK("https://klasma.github.io/Logging_0680/klagomål/S 1405-2024 FSC-klagomål.docx", "S 1405-2024")</f>
        <v/>
      </c>
      <c r="Z17">
        <f>HYPERLINK("https://klasma.github.io/Logging_0680/klagomålsmail/S 1405-2024 FSC-klagomål mail.docx", "S 1405-2024")</f>
        <v/>
      </c>
      <c r="AA17">
        <f>HYPERLINK("https://klasma.github.io/Logging_0680/tillsyn/S 1405-2024 tillsynsbegäran.docx", "S 1405-2024")</f>
        <v/>
      </c>
      <c r="AB17">
        <f>HYPERLINK("https://klasma.github.io/Logging_0680/tillsynsmail/S 1405-2024 tillsynsbegäran mail.docx", "S 1405-2024")</f>
        <v/>
      </c>
      <c r="AC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46216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s="2" t="inlineStr">
        <is>
          <t>Sädesärla
Talltita
Spillkråka
Gröngöling
Kråka
Kungsfågel
Svartvit flugsnappare</t>
        </is>
      </c>
      <c r="V18">
        <f>HYPERLINK("https://klasma.github.io/Logging_0680/artfynd/S 2977-2024 artfynd.xlsx", "S 2977-2024")</f>
        <v/>
      </c>
      <c r="W18">
        <f>HYPERLINK("https://klasma.github.io/Logging_0680/kartor/S 2977-2024 karta.png", "S 2977-2024")</f>
        <v/>
      </c>
      <c r="Y18">
        <f>HYPERLINK("https://klasma.github.io/Logging_0680/klagomål/S 2977-2024 FSC-klagomål.docx", "S 2977-2024")</f>
        <v/>
      </c>
      <c r="Z18">
        <f>HYPERLINK("https://klasma.github.io/Logging_0680/klagomålsmail/S 2977-2024 FSC-klagomål mail.docx", "S 2977-2024")</f>
        <v/>
      </c>
      <c r="AA18">
        <f>HYPERLINK("https://klasma.github.io/Logging_0680/tillsyn/S 2977-2024 tillsynsbegäran.docx", "S 2977-2024")</f>
        <v/>
      </c>
      <c r="AB18">
        <f>HYPERLINK("https://klasma.github.io/Logging_0680/tillsynsmail/S 2977-2024 tillsynsbegäran mail.docx", "S 2977-2024")</f>
        <v/>
      </c>
      <c r="AC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46216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s="2" t="inlineStr">
        <is>
          <t>Pärluggla
Garnlav
Sparvuggla
Mattlummer
Vanlig groda
Gaffelglim
Revlummer</t>
        </is>
      </c>
      <c r="V19">
        <f>HYPERLINK("https://klasma.github.io/Logging_0680/artfynd/S 561-2023 artfynd.xlsx", "S 561-2023")</f>
        <v/>
      </c>
      <c r="W19">
        <f>HYPERLINK("https://klasma.github.io/Logging_0680/kartor/S 561-2023 karta.png", "S 561-2023")</f>
        <v/>
      </c>
      <c r="Y19">
        <f>HYPERLINK("https://klasma.github.io/Logging_0680/klagomål/S 561-2023 FSC-klagomål.docx", "S 561-2023")</f>
        <v/>
      </c>
      <c r="Z19">
        <f>HYPERLINK("https://klasma.github.io/Logging_0680/klagomålsmail/S 561-2023 FSC-klagomål mail.docx", "S 561-2023")</f>
        <v/>
      </c>
      <c r="AA19">
        <f>HYPERLINK("https://klasma.github.io/Logging_0680/tillsyn/S 561-2023 tillsynsbegäran.docx", "S 561-2023")</f>
        <v/>
      </c>
      <c r="AB19">
        <f>HYPERLINK("https://klasma.github.io/Logging_0680/tillsynsmail/S 561-2023 tillsynsbegäran mail.docx", "S 561-2023")</f>
        <v/>
      </c>
      <c r="AC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46216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s="2" t="inlineStr">
        <is>
          <t>Knärot
Vedsäckmossa
Bronshjon
Grönpyrola
Thomsons trägnagare
Västlig hakmossa</t>
        </is>
      </c>
      <c r="V20">
        <f>HYPERLINK("https://klasma.github.io/Logging_0680/artfynd/A 47412-2025 artfynd.xlsx", "A 47412-2025")</f>
        <v/>
      </c>
      <c r="W20">
        <f>HYPERLINK("https://klasma.github.io/Logging_0680/kartor/A 47412-2025 karta.png", "A 47412-2025")</f>
        <v/>
      </c>
      <c r="X20">
        <f>HYPERLINK("https://klasma.github.io/Logging_0680/knärot/A 47412-2025 karta knärot.png", "A 47412-2025")</f>
        <v/>
      </c>
      <c r="Y20">
        <f>HYPERLINK("https://klasma.github.io/Logging_0680/klagomål/A 47412-2025 FSC-klagomål.docx", "A 47412-2025")</f>
        <v/>
      </c>
      <c r="Z20">
        <f>HYPERLINK("https://klasma.github.io/Logging_0680/klagomålsmail/A 47412-2025 FSC-klagomål mail.docx", "A 47412-2025")</f>
        <v/>
      </c>
      <c r="AA20">
        <f>HYPERLINK("https://klasma.github.io/Logging_0680/tillsyn/A 47412-2025 tillsynsbegäran.docx", "A 47412-2025")</f>
        <v/>
      </c>
      <c r="AB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46216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s="2" t="inlineStr">
        <is>
          <t>Grönsångare
Talltita
Grovticka
Spillkråka
Kungsfågel
Svartvit flugsnappare</t>
        </is>
      </c>
      <c r="V21">
        <f>HYPERLINK("https://klasma.github.io/Logging_0680/artfynd/A 62414-2023 artfynd.xlsx", "A 62414-2023")</f>
        <v/>
      </c>
      <c r="W21">
        <f>HYPERLINK("https://klasma.github.io/Logging_0680/kartor/A 62414-2023 karta.png", "A 62414-2023")</f>
        <v/>
      </c>
      <c r="Y21">
        <f>HYPERLINK("https://klasma.github.io/Logging_0680/klagomål/A 62414-2023 FSC-klagomål.docx", "A 62414-2023")</f>
        <v/>
      </c>
      <c r="Z21">
        <f>HYPERLINK("https://klasma.github.io/Logging_0680/klagomålsmail/A 62414-2023 FSC-klagomål mail.docx", "A 62414-2023")</f>
        <v/>
      </c>
      <c r="AA21">
        <f>HYPERLINK("https://klasma.github.io/Logging_0680/tillsyn/A 62414-2023 tillsynsbegäran.docx", "A 62414-2023")</f>
        <v/>
      </c>
      <c r="AB21">
        <f>HYPERLINK("https://klasma.github.io/Logging_0680/tillsynsmail/A 62414-2023 tillsynsbegäran mail.docx", "A 62414-2023")</f>
        <v/>
      </c>
      <c r="AC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46216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s="2" t="inlineStr">
        <is>
          <t>Blylav
Blek kraterlav
Ädellav
Grynig filtlav
Barkkornlav
Korallblylav</t>
        </is>
      </c>
      <c r="V22">
        <f>HYPERLINK("https://klasma.github.io/Logging_0680/artfynd/S 453-2023 artfynd.xlsx", "S 453-2023")</f>
        <v/>
      </c>
      <c r="W22">
        <f>HYPERLINK("https://klasma.github.io/Logging_0680/kartor/S 453-2023 karta.png", "S 453-2023")</f>
        <v/>
      </c>
      <c r="Y22">
        <f>HYPERLINK("https://klasma.github.io/Logging_0680/klagomål/S 453-2023 FSC-klagomål.docx", "S 453-2023")</f>
        <v/>
      </c>
      <c r="Z22">
        <f>HYPERLINK("https://klasma.github.io/Logging_0680/klagomålsmail/S 453-2023 FSC-klagomål mail.docx", "S 453-2023")</f>
        <v/>
      </c>
      <c r="AA22">
        <f>HYPERLINK("https://klasma.github.io/Logging_0680/tillsyn/S 453-2023 tillsynsbegäran.docx", "S 453-2023")</f>
        <v/>
      </c>
      <c r="AB22">
        <f>HYPERLINK("https://klasma.github.io/Logging_0680/tillsynsmail/S 453-2023 tillsynsbegäran mail.docx", "S 453-2023")</f>
        <v/>
      </c>
    </row>
    <row r="23" ht="15" customHeight="1">
      <c r="A23" t="inlineStr">
        <is>
          <t>A 22555-2025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45788</v>
      </c>
      <c r="E23" s="1" t="n">
        <v>46216</v>
      </c>
      <c r="F23" t="inlineStr">
        <is>
          <t>JÖNKÖPINGS LÄN</t>
        </is>
      </c>
      <c r="G23" t="inlineStr">
        <is>
          <t>JÖNKÖPING</t>
        </is>
      </c>
      <c r="I23" t="n">
        <v>1.2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s="2" t="inlineStr">
        <is>
          <t>Borsttåg
Jungfrulin
Åkerkulla
Fläcknycklar
Revlummer</t>
        </is>
      </c>
      <c r="V23">
        <f>HYPERLINK("https://klasma.github.io/Logging_0680/artfynd/A 22555-2025 artfynd.xlsx", "A 22555-2025")</f>
        <v/>
      </c>
      <c r="W23">
        <f>HYPERLINK("https://klasma.github.io/Logging_0680/kartor/A 22555-2025 karta.png", "A 22555-2025")</f>
        <v/>
      </c>
      <c r="Y23">
        <f>HYPERLINK("https://klasma.github.io/Logging_0680/klagomål/A 22555-2025 FSC-klagomål.docx", "A 22555-2025")</f>
        <v/>
      </c>
      <c r="Z23">
        <f>HYPERLINK("https://klasma.github.io/Logging_0680/klagomålsmail/A 22555-2025 FSC-klagomål mail.docx", "A 22555-2025")</f>
        <v/>
      </c>
      <c r="AA23">
        <f>HYPERLINK("https://klasma.github.io/Logging_0680/tillsyn/A 22555-2025 tillsynsbegäran.docx", "A 22555-2025")</f>
        <v/>
      </c>
      <c r="AB23">
        <f>HYPERLINK("https://klasma.github.io/Logging_0680/tillsynsmail/A 22555-2025 tillsynsbegäran mail.docx", "A 22555-2025")</f>
        <v/>
      </c>
    </row>
    <row r="24" ht="15" customHeight="1">
      <c r="A24" t="inlineStr">
        <is>
          <t>A 47402-2025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46216</v>
      </c>
      <c r="F24" t="inlineStr">
        <is>
          <t>JÖNKÖPINGS LÄN</t>
        </is>
      </c>
      <c r="G24" t="inlineStr">
        <is>
          <t>JÖNKÖPING</t>
        </is>
      </c>
      <c r="I24" t="n">
        <v>2.1</v>
      </c>
      <c r="J24" t="n">
        <v>0</v>
      </c>
      <c r="K24" t="n">
        <v>4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6</v>
      </c>
      <c r="U24" s="2" t="inlineStr">
        <is>
          <t>Vedsäckmossa
Bronshjon
Granbarkgnagare
Västlig hakmossa
Vågbandad barkbock</t>
        </is>
      </c>
      <c r="V24">
        <f>HYPERLINK("https://klasma.github.io/Logging_0680/artfynd/A 47402-2025 artfynd.xlsx", "A 47402-2025")</f>
        <v/>
      </c>
      <c r="W24">
        <f>HYPERLINK("https://klasma.github.io/Logging_0680/kartor/A 47402-2025 karta.png", "A 47402-2025")</f>
        <v/>
      </c>
      <c r="Y24">
        <f>HYPERLINK("https://klasma.github.io/Logging_0680/klagomål/A 47402-2025 FSC-klagomål.docx", "A 47402-2025")</f>
        <v/>
      </c>
      <c r="Z24">
        <f>HYPERLINK("https://klasma.github.io/Logging_0680/klagomålsmail/A 47402-2025 FSC-klagomål mail.docx", "A 47402-2025")</f>
        <v/>
      </c>
      <c r="AA24">
        <f>HYPERLINK("https://klasma.github.io/Logging_0680/tillsyn/A 47402-2025 tillsynsbegäran.docx", "A 47402-2025")</f>
        <v/>
      </c>
      <c r="AB24">
        <f>HYPERLINK("https://klasma.github.io/Logging_0680/tillsynsmail/A 47402-2025 tillsynsbegäran mail.docx", "A 47402-2025")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46216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s="2" t="inlineStr">
        <is>
          <t>Knärot
Nötkråka
Grönpyrola
Spindelblomster
Grönvit nattviol</t>
        </is>
      </c>
      <c r="V25">
        <f>HYPERLINK("https://klasma.github.io/Logging_0680/artfynd/A 11258-2023 artfynd.xlsx", "A 11258-2023")</f>
        <v/>
      </c>
      <c r="W25">
        <f>HYPERLINK("https://klasma.github.io/Logging_0680/kartor/A 11258-2023 karta.png", "A 11258-2023")</f>
        <v/>
      </c>
      <c r="X25">
        <f>HYPERLINK("https://klasma.github.io/Logging_0680/knärot/A 11258-2023 karta knärot.png", "A 11258-2023")</f>
        <v/>
      </c>
      <c r="Y25">
        <f>HYPERLINK("https://klasma.github.io/Logging_0680/klagomål/A 11258-2023 FSC-klagomål.docx", "A 11258-2023")</f>
        <v/>
      </c>
      <c r="Z25">
        <f>HYPERLINK("https://klasma.github.io/Logging_0680/klagomålsmail/A 11258-2023 FSC-klagomål mail.docx", "A 11258-2023")</f>
        <v/>
      </c>
      <c r="AA25">
        <f>HYPERLINK("https://klasma.github.io/Logging_0680/tillsyn/A 11258-2023 tillsynsbegäran.docx", "A 11258-2023")</f>
        <v/>
      </c>
      <c r="AB25">
        <f>HYPERLINK("https://klasma.github.io/Logging_0680/tillsynsmail/A 11258-2023 tillsynsbegäran mail.docx", "A 11258-2023")</f>
        <v/>
      </c>
      <c r="AC25">
        <f>HYPERLINK("https://klasma.github.io/Logging_0680/fåglar/A 11258-2023 prioriterade fågelarter.docx", "A 11258-2023")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46216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s="2" t="inlineStr">
        <is>
          <t>Backtimjan
Mattlummer
Dvärgpipistrell
Större brunfladdermus
Revlummer</t>
        </is>
      </c>
      <c r="V26">
        <f>HYPERLINK("https://klasma.github.io/Logging_0680/artfynd/A 64890-2021 artfynd.xlsx", "A 64890-2021")</f>
        <v/>
      </c>
      <c r="W26">
        <f>HYPERLINK("https://klasma.github.io/Logging_0680/kartor/A 64890-2021 karta.png", "A 64890-2021")</f>
        <v/>
      </c>
      <c r="Y26">
        <f>HYPERLINK("https://klasma.github.io/Logging_0680/klagomål/A 64890-2021 FSC-klagomål.docx", "A 64890-2021")</f>
        <v/>
      </c>
      <c r="Z26">
        <f>HYPERLINK("https://klasma.github.io/Logging_0680/klagomålsmail/A 64890-2021 FSC-klagomål mail.docx", "A 64890-2021")</f>
        <v/>
      </c>
      <c r="AA26">
        <f>HYPERLINK("https://klasma.github.io/Logging_0680/tillsyn/A 64890-2021 tillsynsbegäran.docx", "A 64890-2021")</f>
        <v/>
      </c>
      <c r="AB26">
        <f>HYPERLINK("https://klasma.github.io/Logging_0680/tillsynsmail/A 64890-2021 tillsynsbegäran mail.docx", "A 64890-2021")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46216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s="2" t="inlineStr">
        <is>
          <t>Bronshjon
Spillkråka
Kungsfågel
Lopplummer (aggregat)
Revlummer</t>
        </is>
      </c>
      <c r="V27">
        <f>HYPERLINK("https://klasma.github.io/Logging_0680/artfynd/A 28820-2026 artfynd.xlsx", "A 28820-2026")</f>
        <v/>
      </c>
      <c r="W27">
        <f>HYPERLINK("https://klasma.github.io/Logging_0680/kartor/A 28820-2026 karta.png", "A 28820-2026")</f>
        <v/>
      </c>
      <c r="Y27">
        <f>HYPERLINK("https://klasma.github.io/Logging_0680/klagomål/A 28820-2026 FSC-klagomål.docx", "A 28820-2026")</f>
        <v/>
      </c>
      <c r="Z27">
        <f>HYPERLINK("https://klasma.github.io/Logging_0680/klagomålsmail/A 28820-2026 FSC-klagomål mail.docx", "A 28820-2026")</f>
        <v/>
      </c>
      <c r="AA27">
        <f>HYPERLINK("https://klasma.github.io/Logging_0680/tillsyn/A 28820-2026 tillsynsbegäran.docx", "A 28820-2026")</f>
        <v/>
      </c>
      <c r="AB27">
        <f>HYPERLINK("https://klasma.github.io/Logging_0680/tillsynsmail/A 28820-2026 tillsynsbegäran mail.docx", "A 28820-2026")</f>
        <v/>
      </c>
      <c r="AC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46216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s="2" t="inlineStr">
        <is>
          <t>Barbastell
Brunlångöra
Nordfladdermus
Dvärgpipistrell
Större brunfladdermus</t>
        </is>
      </c>
      <c r="V28">
        <f>HYPERLINK("https://klasma.github.io/Logging_0680/artfynd/S 887-2024 artfynd.xlsx", "S 887-2024")</f>
        <v/>
      </c>
      <c r="W28">
        <f>HYPERLINK("https://klasma.github.io/Logging_0680/kartor/S 887-2024 karta.png", "S 887-2024")</f>
        <v/>
      </c>
      <c r="Y28">
        <f>HYPERLINK("https://klasma.github.io/Logging_0680/klagomål/S 887-2024 FSC-klagomål.docx", "S 887-2024")</f>
        <v/>
      </c>
      <c r="Z28">
        <f>HYPERLINK("https://klasma.github.io/Logging_0680/klagomålsmail/S 887-2024 FSC-klagomål mail.docx", "S 887-2024")</f>
        <v/>
      </c>
      <c r="AA28">
        <f>HYPERLINK("https://klasma.github.io/Logging_0680/tillsyn/S 887-2024 tillsynsbegäran.docx", "S 887-2024")</f>
        <v/>
      </c>
      <c r="AB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46216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s="2" t="inlineStr">
        <is>
          <t>Sparvuggla
Stor revmossa
Tjäder
Kungsfågel
Orre</t>
        </is>
      </c>
      <c r="V29">
        <f>HYPERLINK("https://klasma.github.io/Logging_0680/artfynd/S 1016-2025 artfynd.xlsx", "S 1016-2025")</f>
        <v/>
      </c>
      <c r="W29">
        <f>HYPERLINK("https://klasma.github.io/Logging_0680/kartor/S 1016-2025 karta.png", "S 1016-2025")</f>
        <v/>
      </c>
      <c r="Y29">
        <f>HYPERLINK("https://klasma.github.io/Logging_0680/klagomål/S 1016-2025 FSC-klagomål.docx", "S 1016-2025")</f>
        <v/>
      </c>
      <c r="Z29">
        <f>HYPERLINK("https://klasma.github.io/Logging_0680/klagomålsmail/S 1016-2025 FSC-klagomål mail.docx", "S 1016-2025")</f>
        <v/>
      </c>
      <c r="AA29">
        <f>HYPERLINK("https://klasma.github.io/Logging_0680/tillsyn/S 1016-2025 tillsynsbegäran.docx", "S 1016-2025")</f>
        <v/>
      </c>
      <c r="AB29">
        <f>HYPERLINK("https://klasma.github.io/Logging_0680/tillsynsmail/S 1016-2025 tillsynsbegäran mail.docx", "S 1016-2025")</f>
        <v/>
      </c>
      <c r="AC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46216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s="2" t="inlineStr">
        <is>
          <t>Dvärgtufs
Grön sköldmossa
Västlig hakmossa
Mattlummer</t>
        </is>
      </c>
      <c r="V30">
        <f>HYPERLINK("https://klasma.github.io/Logging_0680/artfynd/A 6799-2022 artfynd.xlsx", "A 6799-2022")</f>
        <v/>
      </c>
      <c r="W30">
        <f>HYPERLINK("https://klasma.github.io/Logging_0680/kartor/A 6799-2022 karta.png", "A 6799-2022")</f>
        <v/>
      </c>
      <c r="Y30">
        <f>HYPERLINK("https://klasma.github.io/Logging_0680/klagomål/A 6799-2022 FSC-klagomål.docx", "A 6799-2022")</f>
        <v/>
      </c>
      <c r="Z30">
        <f>HYPERLINK("https://klasma.github.io/Logging_0680/klagomålsmail/A 6799-2022 FSC-klagomål mail.docx", "A 6799-2022")</f>
        <v/>
      </c>
      <c r="AA30">
        <f>HYPERLINK("https://klasma.github.io/Logging_0680/tillsyn/A 6799-2022 tillsynsbegäran.docx", "A 6799-2022")</f>
        <v/>
      </c>
      <c r="AB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46216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Vedtrappmossa
Grön sköldmossa
Stubbspretmossa
Västlig hakmossa</t>
        </is>
      </c>
      <c r="V31">
        <f>HYPERLINK("https://klasma.github.io/Logging_0680/artfynd/A 6280-2026 artfynd.xlsx", "A 6280-2026")</f>
        <v/>
      </c>
      <c r="W31">
        <f>HYPERLINK("https://klasma.github.io/Logging_0680/kartor/A 6280-2026 karta.png", "A 6280-2026")</f>
        <v/>
      </c>
      <c r="Y31">
        <f>HYPERLINK("https://klasma.github.io/Logging_0680/klagomål/A 6280-2026 FSC-klagomål.docx", "A 6280-2026")</f>
        <v/>
      </c>
      <c r="Z31">
        <f>HYPERLINK("https://klasma.github.io/Logging_0680/klagomålsmail/A 6280-2026 FSC-klagomål mail.docx", "A 6280-2026")</f>
        <v/>
      </c>
      <c r="AA31">
        <f>HYPERLINK("https://klasma.github.io/Logging_0680/tillsyn/A 6280-2026 tillsynsbegäran.docx", "A 6280-2026")</f>
        <v/>
      </c>
      <c r="AB31">
        <f>HYPERLINK("https://klasma.github.io/Logging_0680/tillsynsmail/A 6280-2026 tillsynsbegäran mail.docx", "A 6280-2026")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46216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s="2" t="inlineStr">
        <is>
          <t>Rostfläck
Vanlig padda
Grönvit nattviol
Revlummer</t>
        </is>
      </c>
      <c r="V32">
        <f>HYPERLINK("https://klasma.github.io/Logging_0680/artfynd/A 51492-2024 artfynd.xlsx", "A 51492-2024")</f>
        <v/>
      </c>
      <c r="W32">
        <f>HYPERLINK("https://klasma.github.io/Logging_0680/kartor/A 51492-2024 karta.png", "A 51492-2024")</f>
        <v/>
      </c>
      <c r="Y32">
        <f>HYPERLINK("https://klasma.github.io/Logging_0680/klagomål/A 51492-2024 FSC-klagomål.docx", "A 51492-2024")</f>
        <v/>
      </c>
      <c r="Z32">
        <f>HYPERLINK("https://klasma.github.io/Logging_0680/klagomålsmail/A 51492-2024 FSC-klagomål mail.docx", "A 51492-2024")</f>
        <v/>
      </c>
      <c r="AA32">
        <f>HYPERLINK("https://klasma.github.io/Logging_0680/tillsyn/A 51492-2024 tillsynsbegäran.docx", "A 51492-2024")</f>
        <v/>
      </c>
      <c r="AB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46216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s="2" t="inlineStr">
        <is>
          <t>Grönfink
Entita
Grönsångare
Sädesärla</t>
        </is>
      </c>
      <c r="V33">
        <f>HYPERLINK("https://klasma.github.io/Logging_0680/artfynd/A 25362-2026 artfynd.xlsx", "A 25362-2026")</f>
        <v/>
      </c>
      <c r="W33">
        <f>HYPERLINK("https://klasma.github.io/Logging_0680/kartor/A 25362-2026 karta.png", "A 25362-2026")</f>
        <v/>
      </c>
      <c r="Y33">
        <f>HYPERLINK("https://klasma.github.io/Logging_0680/klagomål/A 25362-2026 FSC-klagomål.docx", "A 25362-2026")</f>
        <v/>
      </c>
      <c r="Z33">
        <f>HYPERLINK("https://klasma.github.io/Logging_0680/klagomålsmail/A 25362-2026 FSC-klagomål mail.docx", "A 25362-2026")</f>
        <v/>
      </c>
      <c r="AA33">
        <f>HYPERLINK("https://klasma.github.io/Logging_0680/tillsyn/A 25362-2026 tillsynsbegäran.docx", "A 25362-2026")</f>
        <v/>
      </c>
      <c r="AB33">
        <f>HYPERLINK("https://klasma.github.io/Logging_0680/tillsynsmail/A 25362-2026 tillsynsbegäran mail.docx", "A 25362-2026")</f>
        <v/>
      </c>
      <c r="AC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46216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s="2" t="inlineStr">
        <is>
          <t>Ask
Hjälmbrosklav
Rosa skärelav
Svart trolldruva</t>
        </is>
      </c>
      <c r="V34">
        <f>HYPERLINK("https://klasma.github.io/Logging_0680/artfynd/S 1542-2025 artfynd.xlsx", "S 1542-2025")</f>
        <v/>
      </c>
      <c r="W34">
        <f>HYPERLINK("https://klasma.github.io/Logging_0680/kartor/S 1542-2025 karta.png", "S 1542-2025")</f>
        <v/>
      </c>
      <c r="Y34">
        <f>HYPERLINK("https://klasma.github.io/Logging_0680/klagomål/S 1542-2025 FSC-klagomål.docx", "S 1542-2025")</f>
        <v/>
      </c>
      <c r="Z34">
        <f>HYPERLINK("https://klasma.github.io/Logging_0680/klagomålsmail/S 1542-2025 FSC-klagomål mail.docx", "S 1542-2025")</f>
        <v/>
      </c>
      <c r="AA34">
        <f>HYPERLINK("https://klasma.github.io/Logging_0680/tillsyn/S 1542-2025 tillsynsbegäran.docx", "S 1542-2025")</f>
        <v/>
      </c>
      <c r="AB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46216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s="2" t="inlineStr">
        <is>
          <t>Slåttergubbe
Talltita
Älg
Huggorm</t>
        </is>
      </c>
      <c r="V35">
        <f>HYPERLINK("https://klasma.github.io/Logging_0680/artfynd/S 1123-2026 artfynd.xlsx", "S 1123-2026")</f>
        <v/>
      </c>
      <c r="W35">
        <f>HYPERLINK("https://klasma.github.io/Logging_0680/kartor/S 1123-2026 karta.png", "S 1123-2026")</f>
        <v/>
      </c>
      <c r="Y35">
        <f>HYPERLINK("https://klasma.github.io/Logging_0680/klagomål/S 1123-2026 FSC-klagomål.docx", "S 1123-2026")</f>
        <v/>
      </c>
      <c r="Z35">
        <f>HYPERLINK("https://klasma.github.io/Logging_0680/klagomålsmail/S 1123-2026 FSC-klagomål mail.docx", "S 1123-2026")</f>
        <v/>
      </c>
      <c r="AA35">
        <f>HYPERLINK("https://klasma.github.io/Logging_0680/tillsyn/S 1123-2026 tillsynsbegäran.docx", "S 1123-2026")</f>
        <v/>
      </c>
      <c r="AB35">
        <f>HYPERLINK("https://klasma.github.io/Logging_0680/tillsynsmail/S 1123-2026 tillsynsbegäran mail.docx", "S 1123-2026")</f>
        <v/>
      </c>
      <c r="AC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46216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s="2" t="inlineStr">
        <is>
          <t>Slåttergubbe
Jungfrulin
Nattskärra</t>
        </is>
      </c>
      <c r="V36">
        <f>HYPERLINK("https://klasma.github.io/Logging_0680/artfynd/A 70402-2021 artfynd.xlsx", "A 70402-2021")</f>
        <v/>
      </c>
      <c r="W36">
        <f>HYPERLINK("https://klasma.github.io/Logging_0680/kartor/A 70402-2021 karta.png", "A 70402-2021")</f>
        <v/>
      </c>
      <c r="Y36">
        <f>HYPERLINK("https://klasma.github.io/Logging_0680/klagomål/A 70402-2021 FSC-klagomål.docx", "A 70402-2021")</f>
        <v/>
      </c>
      <c r="Z36">
        <f>HYPERLINK("https://klasma.github.io/Logging_0680/klagomålsmail/A 70402-2021 FSC-klagomål mail.docx", "A 70402-2021")</f>
        <v/>
      </c>
      <c r="AA36">
        <f>HYPERLINK("https://klasma.github.io/Logging_0680/tillsyn/A 70402-2021 tillsynsbegäran.docx", "A 70402-2021")</f>
        <v/>
      </c>
      <c r="AB36">
        <f>HYPERLINK("https://klasma.github.io/Logging_0680/tillsynsmail/A 70402-2021 tillsynsbegäran mail.docx", "A 70402-2021")</f>
        <v/>
      </c>
      <c r="AC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46216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s="2" t="inlineStr">
        <is>
          <t>Ask
Korallrot
Blåsippa</t>
        </is>
      </c>
      <c r="V37">
        <f>HYPERLINK("https://klasma.github.io/Logging_0680/artfynd/A 68822-2021 artfynd.xlsx", "A 68822-2021")</f>
        <v/>
      </c>
      <c r="W37">
        <f>HYPERLINK("https://klasma.github.io/Logging_0680/kartor/A 68822-2021 karta.png", "A 68822-2021")</f>
        <v/>
      </c>
      <c r="Y37">
        <f>HYPERLINK("https://klasma.github.io/Logging_0680/klagomål/A 68822-2021 FSC-klagomål.docx", "A 68822-2021")</f>
        <v/>
      </c>
      <c r="Z37">
        <f>HYPERLINK("https://klasma.github.io/Logging_0680/klagomålsmail/A 68822-2021 FSC-klagomål mail.docx", "A 68822-2021")</f>
        <v/>
      </c>
      <c r="AA37">
        <f>HYPERLINK("https://klasma.github.io/Logging_0680/tillsyn/A 68822-2021 tillsynsbegäran.docx", "A 68822-2021")</f>
        <v/>
      </c>
      <c r="AB37">
        <f>HYPERLINK("https://klasma.github.io/Logging_0680/tillsynsmail/A 68822-2021 tillsynsbegäran mail.docx", "A 68822-2021")</f>
        <v/>
      </c>
    </row>
    <row r="38" ht="15" customHeight="1">
      <c r="A38" t="inlineStr">
        <is>
          <t>A 8179-2023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46216</v>
      </c>
      <c r="F38" t="inlineStr">
        <is>
          <t>JÖNKÖPINGS LÄN</t>
        </is>
      </c>
      <c r="G38" t="inlineStr">
        <is>
          <t>JÖNKÖPING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s="2" t="inlineStr">
        <is>
          <t>Brunlångöra
Nordfladdermus
Dvärgpipistrell</t>
        </is>
      </c>
      <c r="V38">
        <f>HYPERLINK("https://klasma.github.io/Logging_0680/artfynd/A 8179-2023 artfynd.xlsx", "A 8179-2023")</f>
        <v/>
      </c>
      <c r="W38">
        <f>HYPERLINK("https://klasma.github.io/Logging_0680/kartor/A 8179-2023 karta.png", "A 8179-2023")</f>
        <v/>
      </c>
      <c r="Y38">
        <f>HYPERLINK("https://klasma.github.io/Logging_0680/klagomål/A 8179-2023 FSC-klagomål.docx", "A 8179-2023")</f>
        <v/>
      </c>
      <c r="Z38">
        <f>HYPERLINK("https://klasma.github.io/Logging_0680/klagomålsmail/A 8179-2023 FSC-klagomål mail.docx", "A 8179-2023")</f>
        <v/>
      </c>
      <c r="AA38">
        <f>HYPERLINK("https://klasma.github.io/Logging_0680/tillsyn/A 8179-2023 tillsynsbegäran.docx", "A 8179-2023")</f>
        <v/>
      </c>
      <c r="AB38">
        <f>HYPERLINK("https://klasma.github.io/Logging_0680/tillsynsmail/A 8179-2023 tillsynsbegäran mail.docx", "A 8179-2023")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46216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s="2" t="inlineStr">
        <is>
          <t>Ask
Skogsalm
Kruskantarell</t>
        </is>
      </c>
      <c r="V39">
        <f>HYPERLINK("https://klasma.github.io/Logging_0680/artfynd/A 15760-2026 artfynd.xlsx", "A 15760-2026")</f>
        <v/>
      </c>
      <c r="W39">
        <f>HYPERLINK("https://klasma.github.io/Logging_0680/kartor/A 15760-2026 karta.png", "A 15760-2026")</f>
        <v/>
      </c>
      <c r="Y39">
        <f>HYPERLINK("https://klasma.github.io/Logging_0680/klagomål/A 15760-2026 FSC-klagomål.docx", "A 15760-2026")</f>
        <v/>
      </c>
      <c r="Z39">
        <f>HYPERLINK("https://klasma.github.io/Logging_0680/klagomålsmail/A 15760-2026 FSC-klagomål mail.docx", "A 15760-2026")</f>
        <v/>
      </c>
      <c r="AA39">
        <f>HYPERLINK("https://klasma.github.io/Logging_0680/tillsyn/A 15760-2026 tillsynsbegäran.docx", "A 15760-2026")</f>
        <v/>
      </c>
      <c r="AB39">
        <f>HYPERLINK("https://klasma.github.io/Logging_0680/tillsynsmail/A 15760-2026 tillsynsbegäran mail.docx", "A 15760-2026")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46216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s="2" t="inlineStr">
        <is>
          <t>Duvhök
Havsörn
Trana</t>
        </is>
      </c>
      <c r="V40">
        <f>HYPERLINK("https://klasma.github.io/Logging_0680/artfynd/A 41104-2025 artfynd.xlsx", "A 41104-2025")</f>
        <v/>
      </c>
      <c r="W40">
        <f>HYPERLINK("https://klasma.github.io/Logging_0680/kartor/A 41104-2025 karta.png", "A 41104-2025")</f>
        <v/>
      </c>
      <c r="Y40">
        <f>HYPERLINK("https://klasma.github.io/Logging_0680/klagomål/A 41104-2025 FSC-klagomål.docx", "A 41104-2025")</f>
        <v/>
      </c>
      <c r="Z40">
        <f>HYPERLINK("https://klasma.github.io/Logging_0680/klagomålsmail/A 41104-2025 FSC-klagomål mail.docx", "A 41104-2025")</f>
        <v/>
      </c>
      <c r="AA40">
        <f>HYPERLINK("https://klasma.github.io/Logging_0680/tillsyn/A 41104-2025 tillsynsbegäran.docx", "A 41104-2025")</f>
        <v/>
      </c>
      <c r="AB40">
        <f>HYPERLINK("https://klasma.github.io/Logging_0680/tillsynsmail/A 41104-2025 tillsynsbegäran mail.docx", "A 41104-2025")</f>
        <v/>
      </c>
      <c r="AC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46216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s="2" t="inlineStr">
        <is>
          <t>Gullpudra
Blåsippa
Spillkråka</t>
        </is>
      </c>
      <c r="V41">
        <f>HYPERLINK("https://klasma.github.io/Logging_0680/artfynd/A 21006-2025 artfynd.xlsx", "A 21006-2025")</f>
        <v/>
      </c>
      <c r="W41">
        <f>HYPERLINK("https://klasma.github.io/Logging_0680/kartor/A 21006-2025 karta.png", "A 21006-2025")</f>
        <v/>
      </c>
      <c r="Y41">
        <f>HYPERLINK("https://klasma.github.io/Logging_0680/klagomål/A 21006-2025 FSC-klagomål.docx", "A 21006-2025")</f>
        <v/>
      </c>
      <c r="Z41">
        <f>HYPERLINK("https://klasma.github.io/Logging_0680/klagomålsmail/A 21006-2025 FSC-klagomål mail.docx", "A 21006-2025")</f>
        <v/>
      </c>
      <c r="AA41">
        <f>HYPERLINK("https://klasma.github.io/Logging_0680/tillsyn/A 21006-2025 tillsynsbegäran.docx", "A 21006-2025")</f>
        <v/>
      </c>
      <c r="AB41">
        <f>HYPERLINK("https://klasma.github.io/Logging_0680/tillsynsmail/A 21006-2025 tillsynsbegäran mail.docx", "A 21006-2025")</f>
        <v/>
      </c>
      <c r="AC41">
        <f>HYPERLINK("https://klasma.github.io/Logging_0680/fåglar/A 21006-2025 prioriterade fågelarter.docx", "A 21006-2025")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46216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Svinrot
Sotlav
Nattviol</t>
        </is>
      </c>
      <c r="V42">
        <f>HYPERLINK("https://klasma.github.io/Logging_0680/artfynd/A 21591-2025 artfynd.xlsx", "A 21591-2025")</f>
        <v/>
      </c>
      <c r="W42">
        <f>HYPERLINK("https://klasma.github.io/Logging_0680/kartor/A 21591-2025 karta.png", "A 21591-2025")</f>
        <v/>
      </c>
      <c r="Y42">
        <f>HYPERLINK("https://klasma.github.io/Logging_0680/klagomål/A 21591-2025 FSC-klagomål.docx", "A 21591-2025")</f>
        <v/>
      </c>
      <c r="Z42">
        <f>HYPERLINK("https://klasma.github.io/Logging_0680/klagomålsmail/A 21591-2025 FSC-klagomål mail.docx", "A 21591-2025")</f>
        <v/>
      </c>
      <c r="AA42">
        <f>HYPERLINK("https://klasma.github.io/Logging_0680/tillsyn/A 21591-2025 tillsynsbegäran.docx", "A 21591-2025")</f>
        <v/>
      </c>
      <c r="AB42">
        <f>HYPERLINK("https://klasma.github.io/Logging_0680/tillsynsmail/A 21591-2025 tillsynsbegäran mail.docx", "A 21591-2025")</f>
        <v/>
      </c>
    </row>
    <row r="43" ht="15" customHeight="1">
      <c r="A43" t="inlineStr">
        <is>
          <t>A 20088-2025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46216</v>
      </c>
      <c r="F43" t="inlineStr">
        <is>
          <t>JÖNKÖPINGS LÄN</t>
        </is>
      </c>
      <c r="G43" t="inlineStr">
        <is>
          <t>JÖNKÖPING</t>
        </is>
      </c>
      <c r="I43" t="n">
        <v>4.7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s="2" t="inlineStr">
        <is>
          <t>Backsippa
Jungfrulin
Spindelört</t>
        </is>
      </c>
      <c r="V43">
        <f>HYPERLINK("https://klasma.github.io/Logging_0680/artfynd/A 20088-2025 artfynd.xlsx", "A 20088-2025")</f>
        <v/>
      </c>
      <c r="W43">
        <f>HYPERLINK("https://klasma.github.io/Logging_0680/kartor/A 20088-2025 karta.png", "A 20088-2025")</f>
        <v/>
      </c>
      <c r="Y43">
        <f>HYPERLINK("https://klasma.github.io/Logging_0680/klagomål/A 20088-2025 FSC-klagomål.docx", "A 20088-2025")</f>
        <v/>
      </c>
      <c r="Z43">
        <f>HYPERLINK("https://klasma.github.io/Logging_0680/klagomålsmail/A 20088-2025 FSC-klagomål mail.docx", "A 20088-2025")</f>
        <v/>
      </c>
      <c r="AA43">
        <f>HYPERLINK("https://klasma.github.io/Logging_0680/tillsyn/A 20088-2025 tillsynsbegäran.docx", "A 20088-2025")</f>
        <v/>
      </c>
      <c r="AB43">
        <f>HYPERLINK("https://klasma.github.io/Logging_0680/tillsynsmail/A 20088-2025 tillsynsbegäran mail.docx", "A 20088-2025")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46216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s="2" t="inlineStr">
        <is>
          <t>Ask
Svart trolldruva
Blåsippa</t>
        </is>
      </c>
      <c r="V44">
        <f>HYPERLINK("https://klasma.github.io/Logging_0680/artfynd/S 4972-2024 artfynd.xlsx", "S 4972-2024")</f>
        <v/>
      </c>
      <c r="W44">
        <f>HYPERLINK("https://klasma.github.io/Logging_0680/kartor/S 4972-2024 karta.png", "S 4972-2024")</f>
        <v/>
      </c>
      <c r="Y44">
        <f>HYPERLINK("https://klasma.github.io/Logging_0680/klagomål/S 4972-2024 FSC-klagomål.docx", "S 4972-2024")</f>
        <v/>
      </c>
      <c r="Z44">
        <f>HYPERLINK("https://klasma.github.io/Logging_0680/klagomålsmail/S 4972-2024 FSC-klagomål mail.docx", "S 4972-2024")</f>
        <v/>
      </c>
      <c r="AA44">
        <f>HYPERLINK("https://klasma.github.io/Logging_0680/tillsyn/S 4972-2024 tillsynsbegäran.docx", "S 4972-2024")</f>
        <v/>
      </c>
      <c r="AB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46216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s="2" t="inlineStr">
        <is>
          <t>Motaggsvamp
Svinrot
Blomkålssvamp</t>
        </is>
      </c>
      <c r="V45">
        <f>HYPERLINK("https://klasma.github.io/Logging_0680/artfynd/S 3863-2022 artfynd.xlsx", "S 3863-2022")</f>
        <v/>
      </c>
      <c r="W45">
        <f>HYPERLINK("https://klasma.github.io/Logging_0680/kartor/S 3863-2022 karta.png", "S 3863-2022")</f>
        <v/>
      </c>
      <c r="Y45">
        <f>HYPERLINK("https://klasma.github.io/Logging_0680/klagomål/S 3863-2022 FSC-klagomål.docx", "S 3863-2022")</f>
        <v/>
      </c>
      <c r="Z45">
        <f>HYPERLINK("https://klasma.github.io/Logging_0680/klagomålsmail/S 3863-2022 FSC-klagomål mail.docx", "S 3863-2022")</f>
        <v/>
      </c>
      <c r="AA45">
        <f>HYPERLINK("https://klasma.github.io/Logging_0680/tillsyn/S 3863-2022 tillsynsbegäran.docx", "S 3863-2022")</f>
        <v/>
      </c>
      <c r="AB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46216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s="2" t="inlineStr">
        <is>
          <t>Borsttåg
Mattlummer
Revlummer</t>
        </is>
      </c>
      <c r="V46">
        <f>HYPERLINK("https://klasma.github.io/Logging_0680/artfynd/S 959-2022 artfynd.xlsx", "S 959-2022")</f>
        <v/>
      </c>
      <c r="W46">
        <f>HYPERLINK("https://klasma.github.io/Logging_0680/kartor/S 959-2022 karta.png", "S 959-2022")</f>
        <v/>
      </c>
      <c r="Y46">
        <f>HYPERLINK("https://klasma.github.io/Logging_0680/klagomål/S 959-2022 FSC-klagomål.docx", "S 959-2022")</f>
        <v/>
      </c>
      <c r="Z46">
        <f>HYPERLINK("https://klasma.github.io/Logging_0680/klagomålsmail/S 959-2022 FSC-klagomål mail.docx", "S 959-2022")</f>
        <v/>
      </c>
      <c r="AA46">
        <f>HYPERLINK("https://klasma.github.io/Logging_0680/tillsyn/S 959-2022 tillsynsbegäran.docx", "S 959-2022")</f>
        <v/>
      </c>
      <c r="AB46">
        <f>HYPERLINK("https://klasma.github.io/Logging_0680/tillsynsmail/S 959-2022 tillsynsbegäran mail.docx", "S 959-2022")</f>
        <v/>
      </c>
    </row>
    <row r="47" ht="15" customHeight="1">
      <c r="A47" t="inlineStr">
        <is>
          <t>A 40268-2021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44419</v>
      </c>
      <c r="E47" s="1" t="n">
        <v>46216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Gullpudra
Strutbräken</t>
        </is>
      </c>
      <c r="V47">
        <f>HYPERLINK("https://klasma.github.io/Logging_0680/artfynd/A 40268-2021 artfynd.xlsx", "A 40268-2021")</f>
        <v/>
      </c>
      <c r="W47">
        <f>HYPERLINK("https://klasma.github.io/Logging_0680/kartor/A 40268-2021 karta.png", "A 40268-2021")</f>
        <v/>
      </c>
      <c r="Y47">
        <f>HYPERLINK("https://klasma.github.io/Logging_0680/klagomål/A 40268-2021 FSC-klagomål.docx", "A 40268-2021")</f>
        <v/>
      </c>
      <c r="Z47">
        <f>HYPERLINK("https://klasma.github.io/Logging_0680/klagomålsmail/A 40268-2021 FSC-klagomål mail.docx", "A 40268-2021")</f>
        <v/>
      </c>
      <c r="AA47">
        <f>HYPERLINK("https://klasma.github.io/Logging_0680/tillsyn/A 40268-2021 tillsynsbegäran.docx", "A 40268-2021")</f>
        <v/>
      </c>
      <c r="AB47">
        <f>HYPERLINK("https://klasma.github.io/Logging_0680/tillsynsmail/A 40268-2021 tillsynsbegäran mail.docx", "A 40268-2021")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46216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s="2" t="inlineStr">
        <is>
          <t>Knärot
Västlig hakmossa</t>
        </is>
      </c>
      <c r="V48">
        <f>HYPERLINK("https://klasma.github.io/Logging_0680/artfynd/A 53670-2021 artfynd.xlsx", "A 53670-2021")</f>
        <v/>
      </c>
      <c r="W48">
        <f>HYPERLINK("https://klasma.github.io/Logging_0680/kartor/A 53670-2021 karta.png", "A 53670-2021")</f>
        <v/>
      </c>
      <c r="X48">
        <f>HYPERLINK("https://klasma.github.io/Logging_0680/knärot/A 53670-2021 karta knärot.png", "A 53670-2021")</f>
        <v/>
      </c>
      <c r="Y48">
        <f>HYPERLINK("https://klasma.github.io/Logging_0680/klagomål/A 53670-2021 FSC-klagomål.docx", "A 53670-2021")</f>
        <v/>
      </c>
      <c r="Z48">
        <f>HYPERLINK("https://klasma.github.io/Logging_0680/klagomålsmail/A 53670-2021 FSC-klagomål mail.docx", "A 53670-2021")</f>
        <v/>
      </c>
      <c r="AA48">
        <f>HYPERLINK("https://klasma.github.io/Logging_0680/tillsyn/A 53670-2021 tillsynsbegäran.docx", "A 53670-2021")</f>
        <v/>
      </c>
      <c r="AB48">
        <f>HYPERLINK("https://klasma.github.io/Logging_0680/tillsynsmail/A 53670-2021 tillsynsbegäran mail.docx", "A 53670-2021")</f>
        <v/>
      </c>
    </row>
    <row r="49" ht="15" customHeight="1">
      <c r="A49" t="inlineStr">
        <is>
          <t>A 9974-2023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46216</v>
      </c>
      <c r="F49" t="inlineStr">
        <is>
          <t>JÖNKÖPINGS LÄN</t>
        </is>
      </c>
      <c r="G49" t="inlineStr">
        <is>
          <t>JÖNKÖPING</t>
        </is>
      </c>
      <c r="I49" t="n">
        <v>1.2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s="2" t="inlineStr">
        <is>
          <t>Entita
Kungsfågel</t>
        </is>
      </c>
      <c r="V49">
        <f>HYPERLINK("https://klasma.github.io/Logging_0680/artfynd/A 9974-2023 artfynd.xlsx", "A 9974-2023")</f>
        <v/>
      </c>
      <c r="W49">
        <f>HYPERLINK("https://klasma.github.io/Logging_0680/kartor/A 9974-2023 karta.png", "A 9974-2023")</f>
        <v/>
      </c>
      <c r="Y49">
        <f>HYPERLINK("https://klasma.github.io/Logging_0680/klagomål/A 9974-2023 FSC-klagomål.docx", "A 9974-2023")</f>
        <v/>
      </c>
      <c r="Z49">
        <f>HYPERLINK("https://klasma.github.io/Logging_0680/klagomålsmail/A 9974-2023 FSC-klagomål mail.docx", "A 9974-2023")</f>
        <v/>
      </c>
      <c r="AA49">
        <f>HYPERLINK("https://klasma.github.io/Logging_0680/tillsyn/A 9974-2023 tillsynsbegäran.docx", "A 9974-2023")</f>
        <v/>
      </c>
      <c r="AB49">
        <f>HYPERLINK("https://klasma.github.io/Logging_0680/tillsynsmail/A 9974-2023 tillsynsbegäran mail.docx", "A 9974-2023")</f>
        <v/>
      </c>
      <c r="AC49">
        <f>HYPERLINK("https://klasma.github.io/Logging_0680/fåglar/A 9974-2023 prioriterade fågelarter.docx", "A 9974-2023")</f>
        <v/>
      </c>
    </row>
    <row r="50" ht="15" customHeight="1">
      <c r="A50" t="inlineStr">
        <is>
          <t>A 45917-2024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46216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Lunglav
Grön sköldmossa</t>
        </is>
      </c>
      <c r="V50">
        <f>HYPERLINK("https://klasma.github.io/Logging_0680/artfynd/A 45917-2024 artfynd.xlsx", "A 45917-2024")</f>
        <v/>
      </c>
      <c r="W50">
        <f>HYPERLINK("https://klasma.github.io/Logging_0680/kartor/A 45917-2024 karta.png", "A 45917-2024")</f>
        <v/>
      </c>
      <c r="Y50">
        <f>HYPERLINK("https://klasma.github.io/Logging_0680/klagomål/A 45917-2024 FSC-klagomål.docx", "A 45917-2024")</f>
        <v/>
      </c>
      <c r="Z50">
        <f>HYPERLINK("https://klasma.github.io/Logging_0680/klagomålsmail/A 45917-2024 FSC-klagomål mail.docx", "A 45917-2024")</f>
        <v/>
      </c>
      <c r="AA50">
        <f>HYPERLINK("https://klasma.github.io/Logging_0680/tillsyn/A 45917-2024 tillsynsbegäran.docx", "A 45917-2024")</f>
        <v/>
      </c>
      <c r="AB50">
        <f>HYPERLINK("https://klasma.github.io/Logging_0680/tillsynsmail/A 45917-2024 tillsynsbegäran mail.docx", "A 45917-2024")</f>
        <v/>
      </c>
    </row>
    <row r="51" ht="15" customHeight="1">
      <c r="A51" t="inlineStr">
        <is>
          <t>A 37016-2024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45539</v>
      </c>
      <c r="E51" s="1" t="n">
        <v>46216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Vårärt
Tibast</t>
        </is>
      </c>
      <c r="V51">
        <f>HYPERLINK("https://klasma.github.io/Logging_0680/artfynd/A 37016-2024 artfynd.xlsx", "A 37016-2024")</f>
        <v/>
      </c>
      <c r="W51">
        <f>HYPERLINK("https://klasma.github.io/Logging_0680/kartor/A 37016-2024 karta.png", "A 37016-2024")</f>
        <v/>
      </c>
      <c r="Y51">
        <f>HYPERLINK("https://klasma.github.io/Logging_0680/klagomål/A 37016-2024 FSC-klagomål.docx", "A 37016-2024")</f>
        <v/>
      </c>
      <c r="Z51">
        <f>HYPERLINK("https://klasma.github.io/Logging_0680/klagomålsmail/A 37016-2024 FSC-klagomål mail.docx", "A 37016-2024")</f>
        <v/>
      </c>
      <c r="AA51">
        <f>HYPERLINK("https://klasma.github.io/Logging_0680/tillsyn/A 37016-2024 tillsynsbegäran.docx", "A 37016-2024")</f>
        <v/>
      </c>
      <c r="AB51">
        <f>HYPERLINK("https://klasma.github.io/Logging_0680/tillsynsmail/A 37016-2024 tillsynsbegäran mail.docx", "A 37016-2024")</f>
        <v/>
      </c>
    </row>
    <row r="52" ht="15" customHeight="1">
      <c r="A52" t="inlineStr">
        <is>
          <t>A 38072-2021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44404</v>
      </c>
      <c r="E52" s="1" t="n">
        <v>46216</v>
      </c>
      <c r="F52" t="inlineStr">
        <is>
          <t>JÖNKÖPINGS LÄN</t>
        </is>
      </c>
      <c r="G52" t="inlineStr">
        <is>
          <t>JÖNKÖPING</t>
        </is>
      </c>
      <c r="I52" t="n">
        <v>2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s="2" t="inlineStr">
        <is>
          <t>Slåttergubbe
Jungfrulin</t>
        </is>
      </c>
      <c r="V52">
        <f>HYPERLINK("https://klasma.github.io/Logging_0680/artfynd/A 38072-2021 artfynd.xlsx", "A 38072-2021")</f>
        <v/>
      </c>
      <c r="W52">
        <f>HYPERLINK("https://klasma.github.io/Logging_0680/kartor/A 38072-2021 karta.png", "A 38072-2021")</f>
        <v/>
      </c>
      <c r="Y52">
        <f>HYPERLINK("https://klasma.github.io/Logging_0680/klagomål/A 38072-2021 FSC-klagomål.docx", "A 38072-2021")</f>
        <v/>
      </c>
      <c r="Z52">
        <f>HYPERLINK("https://klasma.github.io/Logging_0680/klagomålsmail/A 38072-2021 FSC-klagomål mail.docx", "A 38072-2021")</f>
        <v/>
      </c>
      <c r="AA52">
        <f>HYPERLINK("https://klasma.github.io/Logging_0680/tillsyn/A 38072-2021 tillsynsbegäran.docx", "A 38072-2021")</f>
        <v/>
      </c>
      <c r="AB52">
        <f>HYPERLINK("https://klasma.github.io/Logging_0680/tillsynsmail/A 38072-2021 tillsynsbegäran mail.docx", "A 38072-2021")</f>
        <v/>
      </c>
    </row>
    <row r="53" ht="15" customHeight="1">
      <c r="A53" t="inlineStr">
        <is>
          <t>A 22303-2024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46216</v>
      </c>
      <c r="F53" t="inlineStr">
        <is>
          <t>JÖNKÖPINGS LÄN</t>
        </is>
      </c>
      <c r="G53" t="inlineStr">
        <is>
          <t>JÖNKÖPING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Jungfrulin
Grönvit nattviol</t>
        </is>
      </c>
      <c r="V53">
        <f>HYPERLINK("https://klasma.github.io/Logging_0680/artfynd/A 22303-2024 artfynd.xlsx", "A 22303-2024")</f>
        <v/>
      </c>
      <c r="W53">
        <f>HYPERLINK("https://klasma.github.io/Logging_0680/kartor/A 22303-2024 karta.png", "A 22303-2024")</f>
        <v/>
      </c>
      <c r="Y53">
        <f>HYPERLINK("https://klasma.github.io/Logging_0680/klagomål/A 22303-2024 FSC-klagomål.docx", "A 22303-2024")</f>
        <v/>
      </c>
      <c r="Z53">
        <f>HYPERLINK("https://klasma.github.io/Logging_0680/klagomålsmail/A 22303-2024 FSC-klagomål mail.docx", "A 22303-2024")</f>
        <v/>
      </c>
      <c r="AA53">
        <f>HYPERLINK("https://klasma.github.io/Logging_0680/tillsyn/A 22303-2024 tillsynsbegäran.docx", "A 22303-2024")</f>
        <v/>
      </c>
      <c r="AB53">
        <f>HYPERLINK("https://klasma.github.io/Logging_0680/tillsynsmail/A 22303-2024 tillsynsbegäran mail.docx", "A 22303-2024")</f>
        <v/>
      </c>
    </row>
    <row r="54" ht="15" customHeight="1">
      <c r="A54" t="inlineStr">
        <is>
          <t>A 11623-2024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46216</v>
      </c>
      <c r="F54" t="inlineStr">
        <is>
          <t>JÖNKÖPINGS LÄN</t>
        </is>
      </c>
      <c r="G54" t="inlineStr">
        <is>
          <t>JÖNKÖPING</t>
        </is>
      </c>
      <c r="I54" t="n">
        <v>0.7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s="2" t="inlineStr">
        <is>
          <t>Sexfläckig bastardsvärmare
Ängsmetallvinge</t>
        </is>
      </c>
      <c r="V54">
        <f>HYPERLINK("https://klasma.github.io/Logging_0680/artfynd/A 11623-2024 artfynd.xlsx", "A 11623-2024")</f>
        <v/>
      </c>
      <c r="W54">
        <f>HYPERLINK("https://klasma.github.io/Logging_0680/kartor/A 11623-2024 karta.png", "A 11623-2024")</f>
        <v/>
      </c>
      <c r="Y54">
        <f>HYPERLINK("https://klasma.github.io/Logging_0680/klagomål/A 11623-2024 FSC-klagomål.docx", "A 11623-2024")</f>
        <v/>
      </c>
      <c r="Z54">
        <f>HYPERLINK("https://klasma.github.io/Logging_0680/klagomålsmail/A 11623-2024 FSC-klagomål mail.docx", "A 11623-2024")</f>
        <v/>
      </c>
      <c r="AA54">
        <f>HYPERLINK("https://klasma.github.io/Logging_0680/tillsyn/A 11623-2024 tillsynsbegäran.docx", "A 11623-2024")</f>
        <v/>
      </c>
      <c r="AB54">
        <f>HYPERLINK("https://klasma.github.io/Logging_0680/tillsynsmail/A 11623-2024 tillsynsbegäran mail.docx", "A 11623-2024")</f>
        <v/>
      </c>
    </row>
    <row r="55" ht="15" customHeight="1">
      <c r="A55" t="inlineStr">
        <is>
          <t>A 51183-2024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45603</v>
      </c>
      <c r="E55" s="1" t="n">
        <v>46216</v>
      </c>
      <c r="F55" t="inlineStr">
        <is>
          <t>JÖNKÖPINGS LÄN</t>
        </is>
      </c>
      <c r="G55" t="inlineStr">
        <is>
          <t>JÖNKÖPING</t>
        </is>
      </c>
      <c r="I55" t="n">
        <v>5.9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s="2" t="inlineStr">
        <is>
          <t>Sångsvan
Trana</t>
        </is>
      </c>
      <c r="V55">
        <f>HYPERLINK("https://klasma.github.io/Logging_0680/artfynd/A 51183-2024 artfynd.xlsx", "A 51183-2024")</f>
        <v/>
      </c>
      <c r="W55">
        <f>HYPERLINK("https://klasma.github.io/Logging_0680/kartor/A 51183-2024 karta.png", "A 51183-2024")</f>
        <v/>
      </c>
      <c r="Y55">
        <f>HYPERLINK("https://klasma.github.io/Logging_0680/klagomål/A 51183-2024 FSC-klagomål.docx", "A 51183-2024")</f>
        <v/>
      </c>
      <c r="Z55">
        <f>HYPERLINK("https://klasma.github.io/Logging_0680/klagomålsmail/A 51183-2024 FSC-klagomål mail.docx", "A 51183-2024")</f>
        <v/>
      </c>
      <c r="AA55">
        <f>HYPERLINK("https://klasma.github.io/Logging_0680/tillsyn/A 51183-2024 tillsynsbegäran.docx", "A 51183-2024")</f>
        <v/>
      </c>
      <c r="AB55">
        <f>HYPERLINK("https://klasma.github.io/Logging_0680/tillsynsmail/A 51183-2024 tillsynsbegäran mail.docx", "A 51183-2024")</f>
        <v/>
      </c>
      <c r="AC55">
        <f>HYPERLINK("https://klasma.github.io/Logging_0680/fåglar/A 51183-2024 prioriterade fågelarter.docx", "A 51183-2024")</f>
        <v/>
      </c>
    </row>
    <row r="56" ht="15" customHeight="1">
      <c r="A56" t="inlineStr">
        <is>
          <t>A 35567-2025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45856</v>
      </c>
      <c r="E56" s="1" t="n">
        <v>46216</v>
      </c>
      <c r="F56" t="inlineStr">
        <is>
          <t>JÖNKÖPINGS LÄN</t>
        </is>
      </c>
      <c r="G56" t="inlineStr">
        <is>
          <t>JÖNKÖPING</t>
        </is>
      </c>
      <c r="I56" t="n">
        <v>5.2</v>
      </c>
      <c r="J56" t="n">
        <v>1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s="2" t="inlineStr">
        <is>
          <t>Knärot
Kambräken</t>
        </is>
      </c>
      <c r="V56">
        <f>HYPERLINK("https://klasma.github.io/Logging_0680/artfynd/A 35567-2025 artfynd.xlsx", "A 35567-2025")</f>
        <v/>
      </c>
      <c r="W56">
        <f>HYPERLINK("https://klasma.github.io/Logging_0680/kartor/A 35567-2025 karta.png", "A 35567-2025")</f>
        <v/>
      </c>
      <c r="X56">
        <f>HYPERLINK("https://klasma.github.io/Logging_0680/knärot/A 35567-2025 karta knärot.png", "A 35567-2025")</f>
        <v/>
      </c>
      <c r="Y56">
        <f>HYPERLINK("https://klasma.github.io/Logging_0680/klagomål/A 35567-2025 FSC-klagomål.docx", "A 35567-2025")</f>
        <v/>
      </c>
      <c r="Z56">
        <f>HYPERLINK("https://klasma.github.io/Logging_0680/klagomålsmail/A 35567-2025 FSC-klagomål mail.docx", "A 35567-2025")</f>
        <v/>
      </c>
      <c r="AA56">
        <f>HYPERLINK("https://klasma.github.io/Logging_0680/tillsyn/A 35567-2025 tillsynsbegäran.docx", "A 35567-2025")</f>
        <v/>
      </c>
      <c r="AB56">
        <f>HYPERLINK("https://klasma.github.io/Logging_0680/tillsynsmail/A 35567-2025 tillsynsbegäran mail.docx", "A 35567-2025")</f>
        <v/>
      </c>
    </row>
    <row r="57" ht="15" customHeight="1">
      <c r="A57" t="inlineStr">
        <is>
          <t>A 51385-2025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45947</v>
      </c>
      <c r="E57" s="1" t="n">
        <v>46216</v>
      </c>
      <c r="F57" t="inlineStr">
        <is>
          <t>JÖNKÖPINGS LÄN</t>
        </is>
      </c>
      <c r="G57" t="inlineStr">
        <is>
          <t>JÖNKÖPING</t>
        </is>
      </c>
      <c r="I57" t="n">
        <v>5.2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s="2" t="inlineStr">
        <is>
          <t>Gullklöver
Klofibbla</t>
        </is>
      </c>
      <c r="V57">
        <f>HYPERLINK("https://klasma.github.io/Logging_0680/artfynd/A 51385-2025 artfynd.xlsx", "A 51385-2025")</f>
        <v/>
      </c>
      <c r="W57">
        <f>HYPERLINK("https://klasma.github.io/Logging_0680/kartor/A 51385-2025 karta.png", "A 51385-2025")</f>
        <v/>
      </c>
      <c r="Y57">
        <f>HYPERLINK("https://klasma.github.io/Logging_0680/klagomål/A 51385-2025 FSC-klagomål.docx", "A 51385-2025")</f>
        <v/>
      </c>
      <c r="Z57">
        <f>HYPERLINK("https://klasma.github.io/Logging_0680/klagomålsmail/A 51385-2025 FSC-klagomål mail.docx", "A 51385-2025")</f>
        <v/>
      </c>
      <c r="AA57">
        <f>HYPERLINK("https://klasma.github.io/Logging_0680/tillsyn/A 51385-2025 tillsynsbegäran.docx", "A 51385-2025")</f>
        <v/>
      </c>
      <c r="AB57">
        <f>HYPERLINK("https://klasma.github.io/Logging_0680/tillsynsmail/A 51385-2025 tillsynsbegäran mail.docx", "A 51385-2025")</f>
        <v/>
      </c>
    </row>
    <row r="58" ht="15" customHeight="1">
      <c r="A58" t="inlineStr">
        <is>
          <t>A 4810-2026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46048</v>
      </c>
      <c r="E58" s="1" t="n">
        <v>46216</v>
      </c>
      <c r="F58" t="inlineStr">
        <is>
          <t>JÖNKÖPINGS LÄN</t>
        </is>
      </c>
      <c r="G58" t="inlineStr">
        <is>
          <t>JÖNKÖPING</t>
        </is>
      </c>
      <c r="I58" t="n">
        <v>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s="2" t="inlineStr">
        <is>
          <t>Svinrot
Gullviva</t>
        </is>
      </c>
      <c r="V58">
        <f>HYPERLINK("https://klasma.github.io/Logging_0680/artfynd/A 4810-2026 artfynd.xlsx", "A 4810-2026")</f>
        <v/>
      </c>
      <c r="W58">
        <f>HYPERLINK("https://klasma.github.io/Logging_0680/kartor/A 4810-2026 karta.png", "A 4810-2026")</f>
        <v/>
      </c>
      <c r="Y58">
        <f>HYPERLINK("https://klasma.github.io/Logging_0680/klagomål/A 4810-2026 FSC-klagomål.docx", "A 4810-2026")</f>
        <v/>
      </c>
      <c r="Z58">
        <f>HYPERLINK("https://klasma.github.io/Logging_0680/klagomålsmail/A 4810-2026 FSC-klagomål mail.docx", "A 4810-2026")</f>
        <v/>
      </c>
      <c r="AA58">
        <f>HYPERLINK("https://klasma.github.io/Logging_0680/tillsyn/A 4810-2026 tillsynsbegäran.docx", "A 4810-2026")</f>
        <v/>
      </c>
      <c r="AB58">
        <f>HYPERLINK("https://klasma.github.io/Logging_0680/tillsynsmail/A 4810-2026 tillsynsbegäran mail.docx", "A 4810-2026")</f>
        <v/>
      </c>
    </row>
    <row r="59" ht="15" customHeight="1">
      <c r="A59" t="inlineStr">
        <is>
          <t>A 5125-2026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46049</v>
      </c>
      <c r="E59" s="1" t="n">
        <v>46216</v>
      </c>
      <c r="F59" t="inlineStr">
        <is>
          <t>JÖNKÖPINGS LÄN</t>
        </is>
      </c>
      <c r="G59" t="inlineStr">
        <is>
          <t>JÖNKÖPING</t>
        </is>
      </c>
      <c r="I59" t="n">
        <v>0.6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s="2" t="inlineStr">
        <is>
          <t>Sommarfibbla
Svinrot</t>
        </is>
      </c>
      <c r="V59">
        <f>HYPERLINK("https://klasma.github.io/Logging_0680/artfynd/A 5125-2026 artfynd.xlsx", "A 5125-2026")</f>
        <v/>
      </c>
      <c r="W59">
        <f>HYPERLINK("https://klasma.github.io/Logging_0680/kartor/A 5125-2026 karta.png", "A 5125-2026")</f>
        <v/>
      </c>
      <c r="Y59">
        <f>HYPERLINK("https://klasma.github.io/Logging_0680/klagomål/A 5125-2026 FSC-klagomål.docx", "A 5125-2026")</f>
        <v/>
      </c>
      <c r="Z59">
        <f>HYPERLINK("https://klasma.github.io/Logging_0680/klagomålsmail/A 5125-2026 FSC-klagomål mail.docx", "A 5125-2026")</f>
        <v/>
      </c>
      <c r="AA59">
        <f>HYPERLINK("https://klasma.github.io/Logging_0680/tillsyn/A 5125-2026 tillsynsbegäran.docx", "A 5125-2026")</f>
        <v/>
      </c>
      <c r="AB59">
        <f>HYPERLINK("https://klasma.github.io/Logging_0680/tillsynsmail/A 5125-2026 tillsynsbegäran mail.docx", "A 5125-2026")</f>
        <v/>
      </c>
    </row>
    <row r="60" ht="15" customHeight="1">
      <c r="A60" t="inlineStr">
        <is>
          <t>A 2486-2023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44943</v>
      </c>
      <c r="E60" s="1" t="n">
        <v>46216</v>
      </c>
      <c r="F60" t="inlineStr">
        <is>
          <t>JÖNKÖPINGS LÄN</t>
        </is>
      </c>
      <c r="G60" t="inlineStr">
        <is>
          <t>JÖNKÖPING</t>
        </is>
      </c>
      <c r="I60" t="n">
        <v>2.5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s="2" t="inlineStr">
        <is>
          <t>Solvända
Fällmossa</t>
        </is>
      </c>
      <c r="V60">
        <f>HYPERLINK("https://klasma.github.io/Logging_0680/artfynd/A 2486-2023 artfynd.xlsx", "A 2486-2023")</f>
        <v/>
      </c>
      <c r="W60">
        <f>HYPERLINK("https://klasma.github.io/Logging_0680/kartor/A 2486-2023 karta.png", "A 2486-2023")</f>
        <v/>
      </c>
      <c r="Y60">
        <f>HYPERLINK("https://klasma.github.io/Logging_0680/klagomål/A 2486-2023 FSC-klagomål.docx", "A 2486-2023")</f>
        <v/>
      </c>
      <c r="Z60">
        <f>HYPERLINK("https://klasma.github.io/Logging_0680/klagomålsmail/A 2486-2023 FSC-klagomål mail.docx", "A 2486-2023")</f>
        <v/>
      </c>
      <c r="AA60">
        <f>HYPERLINK("https://klasma.github.io/Logging_0680/tillsyn/A 2486-2023 tillsynsbegäran.docx", "A 2486-2023")</f>
        <v/>
      </c>
      <c r="AB60">
        <f>HYPERLINK("https://klasma.github.io/Logging_0680/tillsynsmail/A 2486-2023 tillsynsbegäran mail.docx", "A 2486-2023")</f>
        <v/>
      </c>
    </row>
    <row r="61" ht="15" customHeight="1">
      <c r="A61" t="inlineStr">
        <is>
          <t>A 36799-2024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45538</v>
      </c>
      <c r="E61" s="1" t="n">
        <v>46216</v>
      </c>
      <c r="F61" t="inlineStr">
        <is>
          <t>JÖNKÖPINGS LÄN</t>
        </is>
      </c>
      <c r="G61" t="inlineStr">
        <is>
          <t>JÖNKÖPING</t>
        </is>
      </c>
      <c r="I61" t="n">
        <v>1.1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s="2" t="inlineStr">
        <is>
          <t>Svinrot
Grönpyrola</t>
        </is>
      </c>
      <c r="V61">
        <f>HYPERLINK("https://klasma.github.io/Logging_0680/artfynd/A 36799-2024 artfynd.xlsx", "A 36799-2024")</f>
        <v/>
      </c>
      <c r="W61">
        <f>HYPERLINK("https://klasma.github.io/Logging_0680/kartor/A 36799-2024 karta.png", "A 36799-2024")</f>
        <v/>
      </c>
      <c r="Y61">
        <f>HYPERLINK("https://klasma.github.io/Logging_0680/klagomål/A 36799-2024 FSC-klagomål.docx", "A 36799-2024")</f>
        <v/>
      </c>
      <c r="Z61">
        <f>HYPERLINK("https://klasma.github.io/Logging_0680/klagomålsmail/A 36799-2024 FSC-klagomål mail.docx", "A 36799-2024")</f>
        <v/>
      </c>
      <c r="AA61">
        <f>HYPERLINK("https://klasma.github.io/Logging_0680/tillsyn/A 36799-2024 tillsynsbegäran.docx", "A 36799-2024")</f>
        <v/>
      </c>
      <c r="AB61">
        <f>HYPERLINK("https://klasma.github.io/Logging_0680/tillsynsmail/A 36799-2024 tillsynsbegäran mail.docx", "A 36799-2024")</f>
        <v/>
      </c>
    </row>
    <row r="62" ht="15" customHeight="1">
      <c r="A62" t="inlineStr">
        <is>
          <t>A 1235-2024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45302</v>
      </c>
      <c r="E62" s="1" t="n">
        <v>46216</v>
      </c>
      <c r="F62" t="inlineStr">
        <is>
          <t>JÖNKÖPINGS LÄN</t>
        </is>
      </c>
      <c r="G62" t="inlineStr">
        <is>
          <t>JÖNKÖPING</t>
        </is>
      </c>
      <c r="I62" t="n">
        <v>2.8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3</v>
      </c>
      <c r="U62" s="2" t="inlineStr">
        <is>
          <t>Lakritsmusseron
Dropptaggsvamp</t>
        </is>
      </c>
      <c r="V62">
        <f>HYPERLINK("https://klasma.github.io/Logging_0680/artfynd/A 1235-2024 artfynd.xlsx", "A 1235-2024")</f>
        <v/>
      </c>
      <c r="W62">
        <f>HYPERLINK("https://klasma.github.io/Logging_0680/kartor/A 1235-2024 karta.png", "A 1235-2024")</f>
        <v/>
      </c>
      <c r="Y62">
        <f>HYPERLINK("https://klasma.github.io/Logging_0680/klagomål/A 1235-2024 FSC-klagomål.docx", "A 1235-2024")</f>
        <v/>
      </c>
      <c r="Z62">
        <f>HYPERLINK("https://klasma.github.io/Logging_0680/klagomålsmail/A 1235-2024 FSC-klagomål mail.docx", "A 1235-2024")</f>
        <v/>
      </c>
      <c r="AA62">
        <f>HYPERLINK("https://klasma.github.io/Logging_0680/tillsyn/A 1235-2024 tillsynsbegäran.docx", "A 1235-2024")</f>
        <v/>
      </c>
      <c r="AB62">
        <f>HYPERLINK("https://klasma.github.io/Logging_0680/tillsynsmail/A 1235-2024 tillsynsbegäran mail.docx", "A 1235-2024")</f>
        <v/>
      </c>
    </row>
    <row r="63" ht="15" customHeight="1">
      <c r="A63" t="inlineStr">
        <is>
          <t>A 25071-2026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46174</v>
      </c>
      <c r="E63" s="1" t="n">
        <v>46216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4.9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Nattskärra
Tjäder</t>
        </is>
      </c>
      <c r="V63">
        <f>HYPERLINK("https://klasma.github.io/Logging_0680/artfynd/A 25071-2026 artfynd.xlsx", "A 25071-2026")</f>
        <v/>
      </c>
      <c r="W63">
        <f>HYPERLINK("https://klasma.github.io/Logging_0680/kartor/A 25071-2026 karta.png", "A 25071-2026")</f>
        <v/>
      </c>
      <c r="Y63">
        <f>HYPERLINK("https://klasma.github.io/Logging_0680/klagomål/A 25071-2026 FSC-klagomål.docx", "A 25071-2026")</f>
        <v/>
      </c>
      <c r="Z63">
        <f>HYPERLINK("https://klasma.github.io/Logging_0680/klagomålsmail/A 25071-2026 FSC-klagomål mail.docx", "A 25071-2026")</f>
        <v/>
      </c>
      <c r="AA63">
        <f>HYPERLINK("https://klasma.github.io/Logging_0680/tillsyn/A 25071-2026 tillsynsbegäran.docx", "A 25071-2026")</f>
        <v/>
      </c>
      <c r="AB63">
        <f>HYPERLINK("https://klasma.github.io/Logging_0680/tillsynsmail/A 25071-2026 tillsynsbegäran mail.docx", "A 25071-2026")</f>
        <v/>
      </c>
      <c r="AC63">
        <f>HYPERLINK("https://klasma.github.io/Logging_0680/fåglar/A 25071-2026 prioriterade fågelarter.docx", "A 25071-2026")</f>
        <v/>
      </c>
    </row>
    <row r="64" ht="15" customHeight="1">
      <c r="A64" t="inlineStr">
        <is>
          <t>A 10991-2023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44991</v>
      </c>
      <c r="E64" s="1" t="n">
        <v>46216</v>
      </c>
      <c r="F64" t="inlineStr">
        <is>
          <t>JÖNKÖPINGS LÄN</t>
        </is>
      </c>
      <c r="G64" t="inlineStr">
        <is>
          <t>JÖNKÖPING</t>
        </is>
      </c>
      <c r="I64" t="n">
        <v>0.7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Gulnål
Kornig nållav</t>
        </is>
      </c>
      <c r="V64">
        <f>HYPERLINK("https://klasma.github.io/Logging_0680/artfynd/A 10991-2023 artfynd.xlsx", "A 10991-2023")</f>
        <v/>
      </c>
      <c r="W64">
        <f>HYPERLINK("https://klasma.github.io/Logging_0680/kartor/A 10991-2023 karta.png", "A 10991-2023")</f>
        <v/>
      </c>
      <c r="Y64">
        <f>HYPERLINK("https://klasma.github.io/Logging_0680/klagomål/A 10991-2023 FSC-klagomål.docx", "A 10991-2023")</f>
        <v/>
      </c>
      <c r="Z64">
        <f>HYPERLINK("https://klasma.github.io/Logging_0680/klagomålsmail/A 10991-2023 FSC-klagomål mail.docx", "A 10991-2023")</f>
        <v/>
      </c>
      <c r="AA64">
        <f>HYPERLINK("https://klasma.github.io/Logging_0680/tillsyn/A 10991-2023 tillsynsbegäran.docx", "A 10991-2023")</f>
        <v/>
      </c>
      <c r="AB64">
        <f>HYPERLINK("https://klasma.github.io/Logging_0680/tillsynsmail/A 10991-2023 tillsynsbegäran mail.docx", "A 10991-2023")</f>
        <v/>
      </c>
    </row>
    <row r="65" ht="15" customHeight="1">
      <c r="A65" t="inlineStr">
        <is>
          <t>A 28211-2026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46196</v>
      </c>
      <c r="E65" s="1" t="n">
        <v>46216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2.4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s="2" t="inlineStr">
        <is>
          <t>Backtimjan
Solvända</t>
        </is>
      </c>
      <c r="V65">
        <f>HYPERLINK("https://klasma.github.io/Logging_0680/artfynd/A 28211-2026 artfynd.xlsx", "A 28211-2026")</f>
        <v/>
      </c>
      <c r="W65">
        <f>HYPERLINK("https://klasma.github.io/Logging_0680/kartor/A 28211-2026 karta.png", "A 28211-2026")</f>
        <v/>
      </c>
      <c r="Y65">
        <f>HYPERLINK("https://klasma.github.io/Logging_0680/klagomål/A 28211-2026 FSC-klagomål.docx", "A 28211-2026")</f>
        <v/>
      </c>
      <c r="Z65">
        <f>HYPERLINK("https://klasma.github.io/Logging_0680/klagomålsmail/A 28211-2026 FSC-klagomål mail.docx", "A 28211-2026")</f>
        <v/>
      </c>
      <c r="AA65">
        <f>HYPERLINK("https://klasma.github.io/Logging_0680/tillsyn/A 28211-2026 tillsynsbegäran.docx", "A 28211-2026")</f>
        <v/>
      </c>
      <c r="AB65">
        <f>HYPERLINK("https://klasma.github.io/Logging_0680/tillsynsmail/A 28211-2026 tillsynsbegäran mail.docx", "A 28211-2026")</f>
        <v/>
      </c>
    </row>
    <row r="66" ht="15" customHeight="1">
      <c r="A66" t="inlineStr">
        <is>
          <t>A 17836-2025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45758</v>
      </c>
      <c r="E66" s="1" t="n">
        <v>46216</v>
      </c>
      <c r="F66" t="inlineStr">
        <is>
          <t>JÖNKÖPINGS LÄN</t>
        </is>
      </c>
      <c r="G66" t="inlineStr">
        <is>
          <t>JÖNKÖPING</t>
        </is>
      </c>
      <c r="H66" t="inlineStr">
        <is>
          <t>Kyrkan</t>
        </is>
      </c>
      <c r="I66" t="n">
        <v>7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s="2" t="inlineStr">
        <is>
          <t>Större vattensalamander
Mindre vattensalamander</t>
        </is>
      </c>
      <c r="V66">
        <f>HYPERLINK("https://klasma.github.io/Logging_0680/artfynd/A 17836-2025 artfynd.xlsx", "A 17836-2025")</f>
        <v/>
      </c>
      <c r="W66">
        <f>HYPERLINK("https://klasma.github.io/Logging_0680/kartor/A 17836-2025 karta.png", "A 17836-2025")</f>
        <v/>
      </c>
      <c r="Y66">
        <f>HYPERLINK("https://klasma.github.io/Logging_0680/klagomål/A 17836-2025 FSC-klagomål.docx", "A 17836-2025")</f>
        <v/>
      </c>
      <c r="Z66">
        <f>HYPERLINK("https://klasma.github.io/Logging_0680/klagomålsmail/A 17836-2025 FSC-klagomål mail.docx", "A 17836-2025")</f>
        <v/>
      </c>
      <c r="AA66">
        <f>HYPERLINK("https://klasma.github.io/Logging_0680/tillsyn/A 17836-2025 tillsynsbegäran.docx", "A 17836-2025")</f>
        <v/>
      </c>
      <c r="AB66">
        <f>HYPERLINK("https://klasma.github.io/Logging_0680/tillsynsmail/A 17836-2025 tillsynsbegäran mail.docx", "A 17836-2025")</f>
        <v/>
      </c>
    </row>
    <row r="67" ht="15" customHeight="1">
      <c r="A67" t="inlineStr">
        <is>
          <t>A 9221-2024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45358</v>
      </c>
      <c r="E67" s="1" t="n">
        <v>46216</v>
      </c>
      <c r="F67" t="inlineStr">
        <is>
          <t>JÖNKÖPINGS LÄN</t>
        </is>
      </c>
      <c r="G67" t="inlineStr">
        <is>
          <t>JÖNKÖPING</t>
        </is>
      </c>
      <c r="I67" t="n">
        <v>4.7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5</v>
      </c>
      <c r="U67" s="2" t="inlineStr">
        <is>
          <t>Motaggsvamp
Blomkålssvamp</t>
        </is>
      </c>
      <c r="V67">
        <f>HYPERLINK("https://klasma.github.io/Logging_0680/artfynd/A 9221-2024 artfynd.xlsx", "A 9221-2024")</f>
        <v/>
      </c>
      <c r="W67">
        <f>HYPERLINK("https://klasma.github.io/Logging_0680/kartor/A 9221-2024 karta.png", "A 9221-2024")</f>
        <v/>
      </c>
      <c r="Y67">
        <f>HYPERLINK("https://klasma.github.io/Logging_0680/klagomål/A 9221-2024 FSC-klagomål.docx", "A 9221-2024")</f>
        <v/>
      </c>
      <c r="Z67">
        <f>HYPERLINK("https://klasma.github.io/Logging_0680/klagomålsmail/A 9221-2024 FSC-klagomål mail.docx", "A 9221-2024")</f>
        <v/>
      </c>
      <c r="AA67">
        <f>HYPERLINK("https://klasma.github.io/Logging_0680/tillsyn/A 9221-2024 tillsynsbegäran.docx", "A 9221-2024")</f>
        <v/>
      </c>
      <c r="AB67">
        <f>HYPERLINK("https://klasma.github.io/Logging_0680/tillsynsmail/A 9221-2024 tillsynsbegäran mail.docx", "A 9221-2024")</f>
        <v/>
      </c>
    </row>
    <row r="68" ht="15" customHeight="1">
      <c r="A68" t="inlineStr">
        <is>
          <t>A 58082-2025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46216</v>
      </c>
      <c r="F68" t="inlineStr">
        <is>
          <t>JÖNKÖPINGS LÄN</t>
        </is>
      </c>
      <c r="G68" t="inlineStr">
        <is>
          <t>JÖNKÖPING</t>
        </is>
      </c>
      <c r="I68" t="n">
        <v>2.9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Storgröe
Springkorn</t>
        </is>
      </c>
      <c r="V68">
        <f>HYPERLINK("https://klasma.github.io/Logging_0680/artfynd/A 58082-2025 artfynd.xlsx", "A 58082-2025")</f>
        <v/>
      </c>
      <c r="W68">
        <f>HYPERLINK("https://klasma.github.io/Logging_0680/kartor/A 58082-2025 karta.png", "A 58082-2025")</f>
        <v/>
      </c>
      <c r="Y68">
        <f>HYPERLINK("https://klasma.github.io/Logging_0680/klagomål/A 58082-2025 FSC-klagomål.docx", "A 58082-2025")</f>
        <v/>
      </c>
      <c r="Z68">
        <f>HYPERLINK("https://klasma.github.io/Logging_0680/klagomålsmail/A 58082-2025 FSC-klagomål mail.docx", "A 58082-2025")</f>
        <v/>
      </c>
      <c r="AA68">
        <f>HYPERLINK("https://klasma.github.io/Logging_0680/tillsyn/A 58082-2025 tillsynsbegäran.docx", "A 58082-2025")</f>
        <v/>
      </c>
      <c r="AB68">
        <f>HYPERLINK("https://klasma.github.io/Logging_0680/tillsynsmail/A 58082-2025 tillsynsbegäran mail.docx", "A 58082-2025")</f>
        <v/>
      </c>
    </row>
    <row r="69" ht="15" customHeight="1">
      <c r="A69" t="inlineStr">
        <is>
          <t>A 23066-2025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45790</v>
      </c>
      <c r="E69" s="1" t="n">
        <v>46216</v>
      </c>
      <c r="F69" t="inlineStr">
        <is>
          <t>JÖNKÖPINGS LÄN</t>
        </is>
      </c>
      <c r="G69" t="inlineStr">
        <is>
          <t>JÖNKÖPING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s="2" t="inlineStr">
        <is>
          <t>Slåttergubbe
Nattviol</t>
        </is>
      </c>
      <c r="V69">
        <f>HYPERLINK("https://klasma.github.io/Logging_0680/artfynd/A 23066-2025 artfynd.xlsx", "A 23066-2025")</f>
        <v/>
      </c>
      <c r="W69">
        <f>HYPERLINK("https://klasma.github.io/Logging_0680/kartor/A 23066-2025 karta.png", "A 23066-2025")</f>
        <v/>
      </c>
      <c r="Y69">
        <f>HYPERLINK("https://klasma.github.io/Logging_0680/klagomål/A 23066-2025 FSC-klagomål.docx", "A 23066-2025")</f>
        <v/>
      </c>
      <c r="Z69">
        <f>HYPERLINK("https://klasma.github.io/Logging_0680/klagomålsmail/A 23066-2025 FSC-klagomål mail.docx", "A 23066-2025")</f>
        <v/>
      </c>
      <c r="AA69">
        <f>HYPERLINK("https://klasma.github.io/Logging_0680/tillsyn/A 23066-2025 tillsynsbegäran.docx", "A 23066-2025")</f>
        <v/>
      </c>
      <c r="AB69">
        <f>HYPERLINK("https://klasma.github.io/Logging_0680/tillsynsmail/A 23066-2025 tillsynsbegäran mail.docx", "A 23066-2025")</f>
        <v/>
      </c>
    </row>
    <row r="70" ht="15" customHeight="1">
      <c r="A70" t="inlineStr">
        <is>
          <t>A 3361-2025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45679</v>
      </c>
      <c r="E70" s="1" t="n">
        <v>46216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4</v>
      </c>
      <c r="U70" s="2" t="inlineStr">
        <is>
          <t>Vårärt
Blåsippa</t>
        </is>
      </c>
      <c r="V70">
        <f>HYPERLINK("https://klasma.github.io/Logging_0680/artfynd/A 3361-2025 artfynd.xlsx", "A 3361-2025")</f>
        <v/>
      </c>
      <c r="W70">
        <f>HYPERLINK("https://klasma.github.io/Logging_0680/kartor/A 3361-2025 karta.png", "A 3361-2025")</f>
        <v/>
      </c>
      <c r="Y70">
        <f>HYPERLINK("https://klasma.github.io/Logging_0680/klagomål/A 3361-2025 FSC-klagomål.docx", "A 3361-2025")</f>
        <v/>
      </c>
      <c r="Z70">
        <f>HYPERLINK("https://klasma.github.io/Logging_0680/klagomålsmail/A 3361-2025 FSC-klagomål mail.docx", "A 3361-2025")</f>
        <v/>
      </c>
      <c r="AA70">
        <f>HYPERLINK("https://klasma.github.io/Logging_0680/tillsyn/A 3361-2025 tillsynsbegäran.docx", "A 3361-2025")</f>
        <v/>
      </c>
      <c r="AB70">
        <f>HYPERLINK("https://klasma.github.io/Logging_0680/tillsynsmail/A 3361-2025 tillsynsbegäran mail.docx", "A 3361-2025")</f>
        <v/>
      </c>
    </row>
    <row r="71" ht="15" customHeight="1">
      <c r="A71" t="inlineStr">
        <is>
          <t>S 1403-2020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43983</v>
      </c>
      <c r="E71" s="1" t="n">
        <v>46216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s="2" t="inlineStr">
        <is>
          <t>Knärot
Mattlummer</t>
        </is>
      </c>
      <c r="V71">
        <f>HYPERLINK("https://klasma.github.io/Logging_0680/artfynd/S 1403-2020 artfynd.xlsx", "S 1403-2020")</f>
        <v/>
      </c>
      <c r="W71">
        <f>HYPERLINK("https://klasma.github.io/Logging_0680/kartor/S 1403-2020 karta.png", "S 1403-2020")</f>
        <v/>
      </c>
      <c r="X71">
        <f>HYPERLINK("https://klasma.github.io/Logging_0680/knärot/S 1403-2020 karta knärot.png", "S 1403-2020")</f>
        <v/>
      </c>
      <c r="Y71">
        <f>HYPERLINK("https://klasma.github.io/Logging_0680/klagomål/S 1403-2020 FSC-klagomål.docx", "S 1403-2020")</f>
        <v/>
      </c>
      <c r="Z71">
        <f>HYPERLINK("https://klasma.github.io/Logging_0680/klagomålsmail/S 1403-2020 FSC-klagomål mail.docx", "S 1403-2020")</f>
        <v/>
      </c>
      <c r="AA71">
        <f>HYPERLINK("https://klasma.github.io/Logging_0680/tillsyn/S 1403-2020 tillsynsbegäran.docx", "S 1403-2020")</f>
        <v/>
      </c>
      <c r="AB71">
        <f>HYPERLINK("https://klasma.github.io/Logging_0680/tillsynsmail/S 1403-2020 tillsynsbegäran mail.docx", "S 1403-2020")</f>
        <v/>
      </c>
    </row>
    <row r="72" ht="15" customHeight="1">
      <c r="A72" t="inlineStr">
        <is>
          <t>S 1085-2023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45013</v>
      </c>
      <c r="E72" s="1" t="n">
        <v>46216</v>
      </c>
      <c r="F72" t="inlineStr">
        <is>
          <t>JÖNKÖPINGS LÄN</t>
        </is>
      </c>
      <c r="G72" t="inlineStr">
        <is>
          <t>JÖNKÖPING</t>
        </is>
      </c>
      <c r="I72" t="n">
        <v>13.7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s="2" t="inlineStr">
        <is>
          <t>Entita
Revlummer</t>
        </is>
      </c>
      <c r="V72">
        <f>HYPERLINK("https://klasma.github.io/Logging_0680/artfynd/S 1085-2023 artfynd.xlsx", "S 1085-2023")</f>
        <v/>
      </c>
      <c r="W72">
        <f>HYPERLINK("https://klasma.github.io/Logging_0680/kartor/S 1085-2023 karta.png", "S 1085-2023")</f>
        <v/>
      </c>
      <c r="Y72">
        <f>HYPERLINK("https://klasma.github.io/Logging_0680/klagomål/S 1085-2023 FSC-klagomål.docx", "S 1085-2023")</f>
        <v/>
      </c>
      <c r="Z72">
        <f>HYPERLINK("https://klasma.github.io/Logging_0680/klagomålsmail/S 1085-2023 FSC-klagomål mail.docx", "S 1085-2023")</f>
        <v/>
      </c>
      <c r="AA72">
        <f>HYPERLINK("https://klasma.github.io/Logging_0680/tillsyn/S 1085-2023 tillsynsbegäran.docx", "S 1085-2023")</f>
        <v/>
      </c>
      <c r="AB72">
        <f>HYPERLINK("https://klasma.github.io/Logging_0680/tillsynsmail/S 1085-2023 tillsynsbegäran mail.docx", "S 1085-2023")</f>
        <v/>
      </c>
      <c r="AC72">
        <f>HYPERLINK("https://klasma.github.io/Logging_0680/fåglar/S 1085-2023 prioriterade fågelarter.docx", "S 1085-2023")</f>
        <v/>
      </c>
    </row>
    <row r="73" ht="15" customHeight="1">
      <c r="A73" t="inlineStr">
        <is>
          <t>S 1632-2022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44647</v>
      </c>
      <c r="E73" s="1" t="n">
        <v>46216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s="2" t="inlineStr">
        <is>
          <t>Knärot
Mattlummer</t>
        </is>
      </c>
      <c r="V73">
        <f>HYPERLINK("https://klasma.github.io/Logging_0680/artfynd/S 1632-2022 artfynd.xlsx", "S 1632-2022")</f>
        <v/>
      </c>
      <c r="W73">
        <f>HYPERLINK("https://klasma.github.io/Logging_0680/kartor/S 1632-2022 karta.png", "S 1632-2022")</f>
        <v/>
      </c>
      <c r="X73">
        <f>HYPERLINK("https://klasma.github.io/Logging_0680/knärot/S 1632-2022 karta knärot.png", "S 1632-2022")</f>
        <v/>
      </c>
      <c r="Y73">
        <f>HYPERLINK("https://klasma.github.io/Logging_0680/klagomål/S 1632-2022 FSC-klagomål.docx", "S 1632-2022")</f>
        <v/>
      </c>
      <c r="Z73">
        <f>HYPERLINK("https://klasma.github.io/Logging_0680/klagomålsmail/S 1632-2022 FSC-klagomål mail.docx", "S 1632-2022")</f>
        <v/>
      </c>
      <c r="AA73">
        <f>HYPERLINK("https://klasma.github.io/Logging_0680/tillsyn/S 1632-2022 tillsynsbegäran.docx", "S 1632-2022")</f>
        <v/>
      </c>
      <c r="AB73">
        <f>HYPERLINK("https://klasma.github.io/Logging_0680/tillsynsmail/S 1632-2022 tillsynsbegäran mail.docx", "S 1632-2022")</f>
        <v/>
      </c>
    </row>
    <row r="74" ht="15" customHeight="1">
      <c r="A74" t="inlineStr">
        <is>
          <t>S 1511-2025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45790</v>
      </c>
      <c r="E74" s="1" t="n">
        <v>46216</v>
      </c>
      <c r="F74" t="inlineStr">
        <is>
          <t>JÖNKÖPINGS LÄN</t>
        </is>
      </c>
      <c r="G74" t="inlineStr">
        <is>
          <t>JÖNKÖPING</t>
        </is>
      </c>
      <c r="I74" t="n">
        <v>1.5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Slåttergubbe
Nattviol</t>
        </is>
      </c>
      <c r="V74">
        <f>HYPERLINK("https://klasma.github.io/Logging_0680/artfynd/S 1511-2025 artfynd.xlsx", "S 1511-2025")</f>
        <v/>
      </c>
      <c r="W74">
        <f>HYPERLINK("https://klasma.github.io/Logging_0680/kartor/S 1511-2025 karta.png", "S 1511-2025")</f>
        <v/>
      </c>
      <c r="Y74">
        <f>HYPERLINK("https://klasma.github.io/Logging_0680/klagomål/S 1511-2025 FSC-klagomål.docx", "S 1511-2025")</f>
        <v/>
      </c>
      <c r="Z74">
        <f>HYPERLINK("https://klasma.github.io/Logging_0680/klagomålsmail/S 1511-2025 FSC-klagomål mail.docx", "S 1511-2025")</f>
        <v/>
      </c>
      <c r="AA74">
        <f>HYPERLINK("https://klasma.github.io/Logging_0680/tillsyn/S 1511-2025 tillsynsbegäran.docx", "S 1511-2025")</f>
        <v/>
      </c>
      <c r="AB74">
        <f>HYPERLINK("https://klasma.github.io/Logging_0680/tillsynsmail/S 1511-2025 tillsynsbegäran mail.docx", "S 1511-2025")</f>
        <v/>
      </c>
    </row>
    <row r="75" ht="15" customHeight="1">
      <c r="A75" t="inlineStr">
        <is>
          <t>A 8582-2022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46216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Gullpudra</t>
        </is>
      </c>
      <c r="V75">
        <f>HYPERLINK("https://klasma.github.io/Logging_0680/artfynd/A 8582-2022 artfynd.xlsx", "A 8582-2022")</f>
        <v/>
      </c>
      <c r="W75">
        <f>HYPERLINK("https://klasma.github.io/Logging_0680/kartor/A 8582-2022 karta.png", "A 8582-2022")</f>
        <v/>
      </c>
      <c r="Y75">
        <f>HYPERLINK("https://klasma.github.io/Logging_0680/klagomål/A 8582-2022 FSC-klagomål.docx", "A 8582-2022")</f>
        <v/>
      </c>
      <c r="Z75">
        <f>HYPERLINK("https://klasma.github.io/Logging_0680/klagomålsmail/A 8582-2022 FSC-klagomål mail.docx", "A 8582-2022")</f>
        <v/>
      </c>
      <c r="AA75">
        <f>HYPERLINK("https://klasma.github.io/Logging_0680/tillsyn/A 8582-2022 tillsynsbegäran.docx", "A 8582-2022")</f>
        <v/>
      </c>
      <c r="AB75">
        <f>HYPERLINK("https://klasma.github.io/Logging_0680/tillsynsmail/A 8582-2022 tillsynsbegäran mail.docx", "A 8582-2022")</f>
        <v/>
      </c>
    </row>
    <row r="76" ht="15" customHeight="1">
      <c r="A76" t="inlineStr">
        <is>
          <t>A 21947-2022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46216</v>
      </c>
      <c r="F76" t="inlineStr">
        <is>
          <t>JÖNKÖPINGS LÄN</t>
        </is>
      </c>
      <c r="G76" t="inlineStr">
        <is>
          <t>JÖNKÖPING</t>
        </is>
      </c>
      <c r="I76" t="n">
        <v>0.4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Kandelabersvamp</t>
        </is>
      </c>
      <c r="V76">
        <f>HYPERLINK("https://klasma.github.io/Logging_0680/artfynd/A 21947-2022 artfynd.xlsx", "A 21947-2022")</f>
        <v/>
      </c>
      <c r="W76">
        <f>HYPERLINK("https://klasma.github.io/Logging_0680/kartor/A 21947-2022 karta.png", "A 21947-2022")</f>
        <v/>
      </c>
      <c r="Y76">
        <f>HYPERLINK("https://klasma.github.io/Logging_0680/klagomål/A 21947-2022 FSC-klagomål.docx", "A 21947-2022")</f>
        <v/>
      </c>
      <c r="Z76">
        <f>HYPERLINK("https://klasma.github.io/Logging_0680/klagomålsmail/A 21947-2022 FSC-klagomål mail.docx", "A 21947-2022")</f>
        <v/>
      </c>
      <c r="AA76">
        <f>HYPERLINK("https://klasma.github.io/Logging_0680/tillsyn/A 21947-2022 tillsynsbegäran.docx", "A 21947-2022")</f>
        <v/>
      </c>
      <c r="AB76">
        <f>HYPERLINK("https://klasma.github.io/Logging_0680/tillsynsmail/A 21947-2022 tillsynsbegäran mail.docx", "A 21947-2022")</f>
        <v/>
      </c>
    </row>
    <row r="77" ht="15" customHeight="1">
      <c r="A77" t="inlineStr">
        <is>
          <t>A 53025-2021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46216</v>
      </c>
      <c r="F77" t="inlineStr">
        <is>
          <t>JÖNKÖPINGS LÄN</t>
        </is>
      </c>
      <c r="G77" t="inlineStr">
        <is>
          <t>JÖNKÖPING</t>
        </is>
      </c>
      <c r="I77" t="n">
        <v>2.5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Slåttergubbe</t>
        </is>
      </c>
      <c r="V77">
        <f>HYPERLINK("https://klasma.github.io/Logging_0680/artfynd/A 53025-2021 artfynd.xlsx", "A 53025-2021")</f>
        <v/>
      </c>
      <c r="W77">
        <f>HYPERLINK("https://klasma.github.io/Logging_0680/kartor/A 53025-2021 karta.png", "A 53025-2021")</f>
        <v/>
      </c>
      <c r="Y77">
        <f>HYPERLINK("https://klasma.github.io/Logging_0680/klagomål/A 53025-2021 FSC-klagomål.docx", "A 53025-2021")</f>
        <v/>
      </c>
      <c r="Z77">
        <f>HYPERLINK("https://klasma.github.io/Logging_0680/klagomålsmail/A 53025-2021 FSC-klagomål mail.docx", "A 53025-2021")</f>
        <v/>
      </c>
      <c r="AA77">
        <f>HYPERLINK("https://klasma.github.io/Logging_0680/tillsyn/A 53025-2021 tillsynsbegäran.docx", "A 53025-2021")</f>
        <v/>
      </c>
      <c r="AB77">
        <f>HYPERLINK("https://klasma.github.io/Logging_0680/tillsynsmail/A 53025-2021 tillsynsbegäran mail.docx", "A 53025-2021")</f>
        <v/>
      </c>
    </row>
    <row r="78" ht="15" customHeight="1">
      <c r="A78" t="inlineStr">
        <is>
          <t>A 42715-2021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44428</v>
      </c>
      <c r="E78" s="1" t="n">
        <v>46216</v>
      </c>
      <c r="F78" t="inlineStr">
        <is>
          <t>JÖNKÖPINGS LÄN</t>
        </is>
      </c>
      <c r="G78" t="inlineStr">
        <is>
          <t>JÖNKÖPING</t>
        </is>
      </c>
      <c r="H78" t="inlineStr">
        <is>
          <t>Sveaskog</t>
        </is>
      </c>
      <c r="I78" t="n">
        <v>0.5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Nordfladdermus</t>
        </is>
      </c>
      <c r="V78">
        <f>HYPERLINK("https://klasma.github.io/Logging_0680/artfynd/A 42715-2021 artfynd.xlsx", "A 42715-2021")</f>
        <v/>
      </c>
      <c r="W78">
        <f>HYPERLINK("https://klasma.github.io/Logging_0680/kartor/A 42715-2021 karta.png", "A 42715-2021")</f>
        <v/>
      </c>
      <c r="Y78">
        <f>HYPERLINK("https://klasma.github.io/Logging_0680/klagomål/A 42715-2021 FSC-klagomål.docx", "A 42715-2021")</f>
        <v/>
      </c>
      <c r="Z78">
        <f>HYPERLINK("https://klasma.github.io/Logging_0680/klagomålsmail/A 42715-2021 FSC-klagomål mail.docx", "A 42715-2021")</f>
        <v/>
      </c>
      <c r="AA78">
        <f>HYPERLINK("https://klasma.github.io/Logging_0680/tillsyn/A 42715-2021 tillsynsbegäran.docx", "A 42715-2021")</f>
        <v/>
      </c>
      <c r="AB78">
        <f>HYPERLINK("https://klasma.github.io/Logging_0680/tillsynsmail/A 42715-2021 tillsynsbegäran mail.docx", "A 42715-2021")</f>
        <v/>
      </c>
    </row>
    <row r="79" ht="15" customHeight="1">
      <c r="A79" t="inlineStr">
        <is>
          <t>A 28230-2024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45477</v>
      </c>
      <c r="E79" s="1" t="n">
        <v>46216</v>
      </c>
      <c r="F79" t="inlineStr">
        <is>
          <t>JÖNKÖPINGS LÄN</t>
        </is>
      </c>
      <c r="G79" t="inlineStr">
        <is>
          <t>JÖNKÖPING</t>
        </is>
      </c>
      <c r="I79" t="n">
        <v>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Svinrot</t>
        </is>
      </c>
      <c r="V79">
        <f>HYPERLINK("https://klasma.github.io/Logging_0680/artfynd/A 28230-2024 artfynd.xlsx", "A 28230-2024")</f>
        <v/>
      </c>
      <c r="W79">
        <f>HYPERLINK("https://klasma.github.io/Logging_0680/kartor/A 28230-2024 karta.png", "A 28230-2024")</f>
        <v/>
      </c>
      <c r="Y79">
        <f>HYPERLINK("https://klasma.github.io/Logging_0680/klagomål/A 28230-2024 FSC-klagomål.docx", "A 28230-2024")</f>
        <v/>
      </c>
      <c r="Z79">
        <f>HYPERLINK("https://klasma.github.io/Logging_0680/klagomålsmail/A 28230-2024 FSC-klagomål mail.docx", "A 28230-2024")</f>
        <v/>
      </c>
      <c r="AA79">
        <f>HYPERLINK("https://klasma.github.io/Logging_0680/tillsyn/A 28230-2024 tillsynsbegäran.docx", "A 28230-2024")</f>
        <v/>
      </c>
      <c r="AB79">
        <f>HYPERLINK("https://klasma.github.io/Logging_0680/tillsynsmail/A 28230-2024 tillsynsbegäran mail.docx", "A 28230-2024")</f>
        <v/>
      </c>
    </row>
    <row r="80" ht="15" customHeight="1">
      <c r="A80" t="inlineStr">
        <is>
          <t>A 29056-2022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44750</v>
      </c>
      <c r="E80" s="1" t="n">
        <v>46216</v>
      </c>
      <c r="F80" t="inlineStr">
        <is>
          <t>JÖNKÖPINGS LÄN</t>
        </is>
      </c>
      <c r="G80" t="inlineStr">
        <is>
          <t>JÖNKÖPING</t>
        </is>
      </c>
      <c r="I80" t="n">
        <v>1.8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Toppvaxing</t>
        </is>
      </c>
      <c r="V80">
        <f>HYPERLINK("https://klasma.github.io/Logging_0680/artfynd/A 29056-2022 artfynd.xlsx", "A 29056-2022")</f>
        <v/>
      </c>
      <c r="W80">
        <f>HYPERLINK("https://klasma.github.io/Logging_0680/kartor/A 29056-2022 karta.png", "A 29056-2022")</f>
        <v/>
      </c>
      <c r="Y80">
        <f>HYPERLINK("https://klasma.github.io/Logging_0680/klagomål/A 29056-2022 FSC-klagomål.docx", "A 29056-2022")</f>
        <v/>
      </c>
      <c r="Z80">
        <f>HYPERLINK("https://klasma.github.io/Logging_0680/klagomålsmail/A 29056-2022 FSC-klagomål mail.docx", "A 29056-2022")</f>
        <v/>
      </c>
      <c r="AA80">
        <f>HYPERLINK("https://klasma.github.io/Logging_0680/tillsyn/A 29056-2022 tillsynsbegäran.docx", "A 29056-2022")</f>
        <v/>
      </c>
      <c r="AB80">
        <f>HYPERLINK("https://klasma.github.io/Logging_0680/tillsynsmail/A 29056-2022 tillsynsbegäran mail.docx", "A 29056-2022")</f>
        <v/>
      </c>
    </row>
    <row r="81" ht="15" customHeight="1">
      <c r="A81" t="inlineStr">
        <is>
          <t>A 42038-2023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45177</v>
      </c>
      <c r="E81" s="1" t="n">
        <v>46216</v>
      </c>
      <c r="F81" t="inlineStr">
        <is>
          <t>JÖNKÖPINGS LÄN</t>
        </is>
      </c>
      <c r="G81" t="inlineStr">
        <is>
          <t>JÖNKÖPING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s="2" t="inlineStr">
        <is>
          <t>Ask</t>
        </is>
      </c>
      <c r="V81">
        <f>HYPERLINK("https://klasma.github.io/Logging_0680/artfynd/A 42038-2023 artfynd.xlsx", "A 42038-2023")</f>
        <v/>
      </c>
      <c r="W81">
        <f>HYPERLINK("https://klasma.github.io/Logging_0680/kartor/A 42038-2023 karta.png", "A 42038-2023")</f>
        <v/>
      </c>
      <c r="Y81">
        <f>HYPERLINK("https://klasma.github.io/Logging_0680/klagomål/A 42038-2023 FSC-klagomål.docx", "A 42038-2023")</f>
        <v/>
      </c>
      <c r="Z81">
        <f>HYPERLINK("https://klasma.github.io/Logging_0680/klagomålsmail/A 42038-2023 FSC-klagomål mail.docx", "A 42038-2023")</f>
        <v/>
      </c>
      <c r="AA81">
        <f>HYPERLINK("https://klasma.github.io/Logging_0680/tillsyn/A 42038-2023 tillsynsbegäran.docx", "A 42038-2023")</f>
        <v/>
      </c>
      <c r="AB81">
        <f>HYPERLINK("https://klasma.github.io/Logging_0680/tillsynsmail/A 42038-2023 tillsynsbegäran mail.docx", "A 42038-2023")</f>
        <v/>
      </c>
    </row>
    <row r="82" ht="15" customHeight="1">
      <c r="A82" t="inlineStr">
        <is>
          <t>A 20740-2024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45436</v>
      </c>
      <c r="E82" s="1" t="n">
        <v>46216</v>
      </c>
      <c r="F82" t="inlineStr">
        <is>
          <t>JÖNKÖPINGS LÄN</t>
        </is>
      </c>
      <c r="G82" t="inlineStr">
        <is>
          <t>JÖNKÖPING</t>
        </is>
      </c>
      <c r="I82" t="n">
        <v>1.3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Svartvit flugsnappare</t>
        </is>
      </c>
      <c r="V82">
        <f>HYPERLINK("https://klasma.github.io/Logging_0680/artfynd/A 20740-2024 artfynd.xlsx", "A 20740-2024")</f>
        <v/>
      </c>
      <c r="W82">
        <f>HYPERLINK("https://klasma.github.io/Logging_0680/kartor/A 20740-2024 karta.png", "A 20740-2024")</f>
        <v/>
      </c>
      <c r="Y82">
        <f>HYPERLINK("https://klasma.github.io/Logging_0680/klagomål/A 20740-2024 FSC-klagomål.docx", "A 20740-2024")</f>
        <v/>
      </c>
      <c r="Z82">
        <f>HYPERLINK("https://klasma.github.io/Logging_0680/klagomålsmail/A 20740-2024 FSC-klagomål mail.docx", "A 20740-2024")</f>
        <v/>
      </c>
      <c r="AA82">
        <f>HYPERLINK("https://klasma.github.io/Logging_0680/tillsyn/A 20740-2024 tillsynsbegäran.docx", "A 20740-2024")</f>
        <v/>
      </c>
      <c r="AB82">
        <f>HYPERLINK("https://klasma.github.io/Logging_0680/tillsynsmail/A 20740-2024 tillsynsbegäran mail.docx", "A 20740-2024")</f>
        <v/>
      </c>
    </row>
    <row r="83" ht="15" customHeight="1">
      <c r="A83" t="inlineStr">
        <is>
          <t>A 278-2024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45295</v>
      </c>
      <c r="E83" s="1" t="n">
        <v>46216</v>
      </c>
      <c r="F83" t="inlineStr">
        <is>
          <t>JÖNKÖPINGS LÄN</t>
        </is>
      </c>
      <c r="G83" t="inlineStr">
        <is>
          <t>JÖNKÖPING</t>
        </is>
      </c>
      <c r="H83" t="inlineStr">
        <is>
          <t>Sveaskog</t>
        </is>
      </c>
      <c r="I83" t="n">
        <v>1.1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Mattlummer</t>
        </is>
      </c>
      <c r="V83">
        <f>HYPERLINK("https://klasma.github.io/Logging_0680/artfynd/A 278-2024 artfynd.xlsx", "A 278-2024")</f>
        <v/>
      </c>
      <c r="W83">
        <f>HYPERLINK("https://klasma.github.io/Logging_0680/kartor/A 278-2024 karta.png", "A 278-2024")</f>
        <v/>
      </c>
      <c r="Y83">
        <f>HYPERLINK("https://klasma.github.io/Logging_0680/klagomål/A 278-2024 FSC-klagomål.docx", "A 278-2024")</f>
        <v/>
      </c>
      <c r="Z83">
        <f>HYPERLINK("https://klasma.github.io/Logging_0680/klagomålsmail/A 278-2024 FSC-klagomål mail.docx", "A 278-2024")</f>
        <v/>
      </c>
      <c r="AA83">
        <f>HYPERLINK("https://klasma.github.io/Logging_0680/tillsyn/A 278-2024 tillsynsbegäran.docx", "A 278-2024")</f>
        <v/>
      </c>
      <c r="AB83">
        <f>HYPERLINK("https://klasma.github.io/Logging_0680/tillsynsmail/A 278-2024 tillsynsbegäran mail.docx", "A 278-2024")</f>
        <v/>
      </c>
    </row>
    <row r="84" ht="15" customHeight="1">
      <c r="A84" t="inlineStr">
        <is>
          <t>A 45366-2022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46216</v>
      </c>
      <c r="F84" t="inlineStr">
        <is>
          <t>JÖNKÖPINGS LÄN</t>
        </is>
      </c>
      <c r="G84" t="inlineStr">
        <is>
          <t>JÖNKÖPING</t>
        </is>
      </c>
      <c r="I84" t="n">
        <v>3.2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Mörk husmossa</t>
        </is>
      </c>
      <c r="V84">
        <f>HYPERLINK("https://klasma.github.io/Logging_0680/artfynd/A 45366-2022 artfynd.xlsx", "A 45366-2022")</f>
        <v/>
      </c>
      <c r="W84">
        <f>HYPERLINK("https://klasma.github.io/Logging_0680/kartor/A 45366-2022 karta.png", "A 45366-2022")</f>
        <v/>
      </c>
      <c r="Y84">
        <f>HYPERLINK("https://klasma.github.io/Logging_0680/klagomål/A 45366-2022 FSC-klagomål.docx", "A 45366-2022")</f>
        <v/>
      </c>
      <c r="Z84">
        <f>HYPERLINK("https://klasma.github.io/Logging_0680/klagomålsmail/A 45366-2022 FSC-klagomål mail.docx", "A 45366-2022")</f>
        <v/>
      </c>
      <c r="AA84">
        <f>HYPERLINK("https://klasma.github.io/Logging_0680/tillsyn/A 45366-2022 tillsynsbegäran.docx", "A 45366-2022")</f>
        <v/>
      </c>
      <c r="AB84">
        <f>HYPERLINK("https://klasma.github.io/Logging_0680/tillsynsmail/A 45366-2022 tillsynsbegäran mail.docx", "A 45366-2022")</f>
        <v/>
      </c>
    </row>
    <row r="85" ht="15" customHeight="1">
      <c r="A85" t="inlineStr">
        <is>
          <t>A 62844-2023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45272</v>
      </c>
      <c r="E85" s="1" t="n">
        <v>46216</v>
      </c>
      <c r="F85" t="inlineStr">
        <is>
          <t>JÖNKÖPINGS LÄN</t>
        </is>
      </c>
      <c r="G85" t="inlineStr">
        <is>
          <t>JÖNKÖPING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4</v>
      </c>
      <c r="U85" s="2" t="inlineStr">
        <is>
          <t>Ask</t>
        </is>
      </c>
      <c r="V85">
        <f>HYPERLINK("https://klasma.github.io/Logging_0680/artfynd/A 62844-2023 artfynd.xlsx", "A 62844-2023")</f>
        <v/>
      </c>
      <c r="W85">
        <f>HYPERLINK("https://klasma.github.io/Logging_0680/kartor/A 62844-2023 karta.png", "A 62844-2023")</f>
        <v/>
      </c>
      <c r="Y85">
        <f>HYPERLINK("https://klasma.github.io/Logging_0680/klagomål/A 62844-2023 FSC-klagomål.docx", "A 62844-2023")</f>
        <v/>
      </c>
      <c r="Z85">
        <f>HYPERLINK("https://klasma.github.io/Logging_0680/klagomålsmail/A 62844-2023 FSC-klagomål mail.docx", "A 62844-2023")</f>
        <v/>
      </c>
      <c r="AA85">
        <f>HYPERLINK("https://klasma.github.io/Logging_0680/tillsyn/A 62844-2023 tillsynsbegäran.docx", "A 62844-2023")</f>
        <v/>
      </c>
      <c r="AB85">
        <f>HYPERLINK("https://klasma.github.io/Logging_0680/tillsynsmail/A 62844-2023 tillsynsbegäran mail.docx", "A 62844-2023")</f>
        <v/>
      </c>
    </row>
    <row r="86" ht="15" customHeight="1">
      <c r="A86" t="inlineStr">
        <is>
          <t>A 48371-2023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45205</v>
      </c>
      <c r="E86" s="1" t="n">
        <v>46216</v>
      </c>
      <c r="F86" t="inlineStr">
        <is>
          <t>JÖNKÖPINGS LÄN</t>
        </is>
      </c>
      <c r="G86" t="inlineStr">
        <is>
          <t>JÖNKÖPING</t>
        </is>
      </c>
      <c r="I86" t="n">
        <v>4.9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Älg</t>
        </is>
      </c>
      <c r="V86">
        <f>HYPERLINK("https://klasma.github.io/Logging_0680/artfynd/A 48371-2023 artfynd.xlsx", "A 48371-2023")</f>
        <v/>
      </c>
      <c r="W86">
        <f>HYPERLINK("https://klasma.github.io/Logging_0680/kartor/A 48371-2023 karta.png", "A 48371-2023")</f>
        <v/>
      </c>
      <c r="Y86">
        <f>HYPERLINK("https://klasma.github.io/Logging_0680/klagomål/A 48371-2023 FSC-klagomål.docx", "A 48371-2023")</f>
        <v/>
      </c>
      <c r="Z86">
        <f>HYPERLINK("https://klasma.github.io/Logging_0680/klagomålsmail/A 48371-2023 FSC-klagomål mail.docx", "A 48371-2023")</f>
        <v/>
      </c>
      <c r="AA86">
        <f>HYPERLINK("https://klasma.github.io/Logging_0680/tillsyn/A 48371-2023 tillsynsbegäran.docx", "A 48371-2023")</f>
        <v/>
      </c>
      <c r="AB86">
        <f>HYPERLINK("https://klasma.github.io/Logging_0680/tillsynsmail/A 48371-2023 tillsynsbegäran mail.docx", "A 48371-2023")</f>
        <v/>
      </c>
    </row>
    <row r="87" ht="15" customHeight="1">
      <c r="A87" t="inlineStr">
        <is>
          <t>A 47492-2024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45587</v>
      </c>
      <c r="E87" s="1" t="n">
        <v>46216</v>
      </c>
      <c r="F87" t="inlineStr">
        <is>
          <t>JÖNKÖPINGS LÄN</t>
        </is>
      </c>
      <c r="G87" t="inlineStr">
        <is>
          <t>JÖNKÖPING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s="2" t="inlineStr">
        <is>
          <t>Ask</t>
        </is>
      </c>
      <c r="V87">
        <f>HYPERLINK("https://klasma.github.io/Logging_0680/artfynd/A 47492-2024 artfynd.xlsx", "A 47492-2024")</f>
        <v/>
      </c>
      <c r="W87">
        <f>HYPERLINK("https://klasma.github.io/Logging_0680/kartor/A 47492-2024 karta.png", "A 47492-2024")</f>
        <v/>
      </c>
      <c r="Y87">
        <f>HYPERLINK("https://klasma.github.io/Logging_0680/klagomål/A 47492-2024 FSC-klagomål.docx", "A 47492-2024")</f>
        <v/>
      </c>
      <c r="Z87">
        <f>HYPERLINK("https://klasma.github.io/Logging_0680/klagomålsmail/A 47492-2024 FSC-klagomål mail.docx", "A 47492-2024")</f>
        <v/>
      </c>
      <c r="AA87">
        <f>HYPERLINK("https://klasma.github.io/Logging_0680/tillsyn/A 47492-2024 tillsynsbegäran.docx", "A 47492-2024")</f>
        <v/>
      </c>
      <c r="AB87">
        <f>HYPERLINK("https://klasma.github.io/Logging_0680/tillsynsmail/A 47492-2024 tillsynsbegäran mail.docx", "A 47492-2024")</f>
        <v/>
      </c>
    </row>
    <row r="88" ht="15" customHeight="1">
      <c r="A88" t="inlineStr">
        <is>
          <t>A 10455-2025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46216</v>
      </c>
      <c r="F88" t="inlineStr">
        <is>
          <t>JÖNKÖPINGS LÄN</t>
        </is>
      </c>
      <c r="G88" t="inlineStr">
        <is>
          <t>JÖNKÖPING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Hasselmus</t>
        </is>
      </c>
      <c r="V88">
        <f>HYPERLINK("https://klasma.github.io/Logging_0680/artfynd/A 10455-2025 artfynd.xlsx", "A 10455-2025")</f>
        <v/>
      </c>
      <c r="W88">
        <f>HYPERLINK("https://klasma.github.io/Logging_0680/kartor/A 10455-2025 karta.png", "A 10455-2025")</f>
        <v/>
      </c>
      <c r="Y88">
        <f>HYPERLINK("https://klasma.github.io/Logging_0680/klagomål/A 10455-2025 FSC-klagomål.docx", "A 10455-2025")</f>
        <v/>
      </c>
      <c r="Z88">
        <f>HYPERLINK("https://klasma.github.io/Logging_0680/klagomålsmail/A 10455-2025 FSC-klagomål mail.docx", "A 10455-2025")</f>
        <v/>
      </c>
      <c r="AA88">
        <f>HYPERLINK("https://klasma.github.io/Logging_0680/tillsyn/A 10455-2025 tillsynsbegäran.docx", "A 10455-2025")</f>
        <v/>
      </c>
      <c r="AB88">
        <f>HYPERLINK("https://klasma.github.io/Logging_0680/tillsynsmail/A 10455-2025 tillsynsbegäran mail.docx", "A 10455-2025")</f>
        <v/>
      </c>
    </row>
    <row r="89" ht="15" customHeight="1">
      <c r="A89" t="inlineStr">
        <is>
          <t>A 33405-2025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46216</v>
      </c>
      <c r="F89" t="inlineStr">
        <is>
          <t>JÖNKÖPINGS LÄN</t>
        </is>
      </c>
      <c r="G89" t="inlineStr">
        <is>
          <t>JÖNKÖPING</t>
        </is>
      </c>
      <c r="I89" t="n">
        <v>3.9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s="2" t="inlineStr">
        <is>
          <t>Läkeögontröst</t>
        </is>
      </c>
      <c r="V89">
        <f>HYPERLINK("https://klasma.github.io/Logging_0680/artfynd/A 33405-2025 artfynd.xlsx", "A 33405-2025")</f>
        <v/>
      </c>
      <c r="W89">
        <f>HYPERLINK("https://klasma.github.io/Logging_0680/kartor/A 33405-2025 karta.png", "A 33405-2025")</f>
        <v/>
      </c>
      <c r="Y89">
        <f>HYPERLINK("https://klasma.github.io/Logging_0680/klagomål/A 33405-2025 FSC-klagomål.docx", "A 33405-2025")</f>
        <v/>
      </c>
      <c r="Z89">
        <f>HYPERLINK("https://klasma.github.io/Logging_0680/klagomålsmail/A 33405-2025 FSC-klagomål mail.docx", "A 33405-2025")</f>
        <v/>
      </c>
      <c r="AA89">
        <f>HYPERLINK("https://klasma.github.io/Logging_0680/tillsyn/A 33405-2025 tillsynsbegäran.docx", "A 33405-2025")</f>
        <v/>
      </c>
      <c r="AB89">
        <f>HYPERLINK("https://klasma.github.io/Logging_0680/tillsynsmail/A 33405-2025 tillsynsbegäran mail.docx", "A 33405-2025")</f>
        <v/>
      </c>
    </row>
    <row r="90" ht="15" customHeight="1">
      <c r="A90" t="inlineStr">
        <is>
          <t>A 2037-2026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46035</v>
      </c>
      <c r="E90" s="1" t="n">
        <v>46216</v>
      </c>
      <c r="F90" t="inlineStr">
        <is>
          <t>JÖNKÖPINGS LÄN</t>
        </is>
      </c>
      <c r="G90" t="inlineStr">
        <is>
          <t>JÖNKÖPING</t>
        </is>
      </c>
      <c r="I90" t="n">
        <v>11.8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Borsttåg</t>
        </is>
      </c>
      <c r="V90">
        <f>HYPERLINK("https://klasma.github.io/Logging_0680/artfynd/A 2037-2026 artfynd.xlsx", "A 2037-2026")</f>
        <v/>
      </c>
      <c r="W90">
        <f>HYPERLINK("https://klasma.github.io/Logging_0680/kartor/A 2037-2026 karta.png", "A 2037-2026")</f>
        <v/>
      </c>
      <c r="Y90">
        <f>HYPERLINK("https://klasma.github.io/Logging_0680/klagomål/A 2037-2026 FSC-klagomål.docx", "A 2037-2026")</f>
        <v/>
      </c>
      <c r="Z90">
        <f>HYPERLINK("https://klasma.github.io/Logging_0680/klagomålsmail/A 2037-2026 FSC-klagomål mail.docx", "A 2037-2026")</f>
        <v/>
      </c>
      <c r="AA90">
        <f>HYPERLINK("https://klasma.github.io/Logging_0680/tillsyn/A 2037-2026 tillsynsbegäran.docx", "A 2037-2026")</f>
        <v/>
      </c>
      <c r="AB90">
        <f>HYPERLINK("https://klasma.github.io/Logging_0680/tillsynsmail/A 2037-2026 tillsynsbegäran mail.docx", "A 2037-2026")</f>
        <v/>
      </c>
    </row>
    <row r="91" ht="15" customHeight="1">
      <c r="A91" t="inlineStr">
        <is>
          <t>A 54325-2024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45616</v>
      </c>
      <c r="E91" s="1" t="n">
        <v>46216</v>
      </c>
      <c r="F91" t="inlineStr">
        <is>
          <t>JÖNKÖPINGS LÄN</t>
        </is>
      </c>
      <c r="G91" t="inlineStr">
        <is>
          <t>JÖNKÖPING</t>
        </is>
      </c>
      <c r="I91" t="n">
        <v>8.699999999999999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Talltita</t>
        </is>
      </c>
      <c r="V91">
        <f>HYPERLINK("https://klasma.github.io/Logging_0680/artfynd/A 54325-2024 artfynd.xlsx", "A 54325-2024")</f>
        <v/>
      </c>
      <c r="W91">
        <f>HYPERLINK("https://klasma.github.io/Logging_0680/kartor/A 54325-2024 karta.png", "A 54325-2024")</f>
        <v/>
      </c>
      <c r="Y91">
        <f>HYPERLINK("https://klasma.github.io/Logging_0680/klagomål/A 54325-2024 FSC-klagomål.docx", "A 54325-2024")</f>
        <v/>
      </c>
      <c r="Z91">
        <f>HYPERLINK("https://klasma.github.io/Logging_0680/klagomålsmail/A 54325-2024 FSC-klagomål mail.docx", "A 54325-2024")</f>
        <v/>
      </c>
      <c r="AA91">
        <f>HYPERLINK("https://klasma.github.io/Logging_0680/tillsyn/A 54325-2024 tillsynsbegäran.docx", "A 54325-2024")</f>
        <v/>
      </c>
      <c r="AB91">
        <f>HYPERLINK("https://klasma.github.io/Logging_0680/tillsynsmail/A 54325-2024 tillsynsbegäran mail.docx", "A 54325-2024")</f>
        <v/>
      </c>
      <c r="AC91">
        <f>HYPERLINK("https://klasma.github.io/Logging_0680/fåglar/A 54325-2024 prioriterade fågelarter.docx", "A 54325-2024")</f>
        <v/>
      </c>
    </row>
    <row r="92" ht="15" customHeight="1">
      <c r="A92" t="inlineStr">
        <is>
          <t>A 46816-2025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46216</v>
      </c>
      <c r="F92" t="inlineStr">
        <is>
          <t>JÖNKÖPINGS LÄN</t>
        </is>
      </c>
      <c r="G92" t="inlineStr">
        <is>
          <t>JÖNKÖPING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3</v>
      </c>
      <c r="U92" s="2" t="inlineStr">
        <is>
          <t>Ask</t>
        </is>
      </c>
      <c r="V92">
        <f>HYPERLINK("https://klasma.github.io/Logging_0680/artfynd/A 46816-2025 artfynd.xlsx", "A 46816-2025")</f>
        <v/>
      </c>
      <c r="W92">
        <f>HYPERLINK("https://klasma.github.io/Logging_0680/kartor/A 46816-2025 karta.png", "A 46816-2025")</f>
        <v/>
      </c>
      <c r="Y92">
        <f>HYPERLINK("https://klasma.github.io/Logging_0680/klagomål/A 46816-2025 FSC-klagomål.docx", "A 46816-2025")</f>
        <v/>
      </c>
      <c r="Z92">
        <f>HYPERLINK("https://klasma.github.io/Logging_0680/klagomålsmail/A 46816-2025 FSC-klagomål mail.docx", "A 46816-2025")</f>
        <v/>
      </c>
      <c r="AA92">
        <f>HYPERLINK("https://klasma.github.io/Logging_0680/tillsyn/A 46816-2025 tillsynsbegäran.docx", "A 46816-2025")</f>
        <v/>
      </c>
      <c r="AB92">
        <f>HYPERLINK("https://klasma.github.io/Logging_0680/tillsynsmail/A 46816-2025 tillsynsbegäran mail.docx", "A 46816-2025")</f>
        <v/>
      </c>
    </row>
    <row r="93" ht="15" customHeight="1">
      <c r="A93" t="inlineStr">
        <is>
          <t>A 34597-2025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45846</v>
      </c>
      <c r="E93" s="1" t="n">
        <v>46216</v>
      </c>
      <c r="F93" t="inlineStr">
        <is>
          <t>JÖNKÖPINGS LÄN</t>
        </is>
      </c>
      <c r="G93" t="inlineStr">
        <is>
          <t>JÖNKÖPING</t>
        </is>
      </c>
      <c r="H93" t="inlineStr">
        <is>
          <t>Kyrkan</t>
        </is>
      </c>
      <c r="I93" t="n">
        <v>7.3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Knärot</t>
        </is>
      </c>
      <c r="V93">
        <f>HYPERLINK("https://klasma.github.io/Logging_0680/artfynd/A 34597-2025 artfynd.xlsx", "A 34597-2025")</f>
        <v/>
      </c>
      <c r="W93">
        <f>HYPERLINK("https://klasma.github.io/Logging_0680/kartor/A 34597-2025 karta.png", "A 34597-2025")</f>
        <v/>
      </c>
      <c r="X93">
        <f>HYPERLINK("https://klasma.github.io/Logging_0680/knärot/A 34597-2025 karta knärot.png", "A 34597-2025")</f>
        <v/>
      </c>
      <c r="Y93">
        <f>HYPERLINK("https://klasma.github.io/Logging_0680/klagomål/A 34597-2025 FSC-klagomål.docx", "A 34597-2025")</f>
        <v/>
      </c>
      <c r="Z93">
        <f>HYPERLINK("https://klasma.github.io/Logging_0680/klagomålsmail/A 34597-2025 FSC-klagomål mail.docx", "A 34597-2025")</f>
        <v/>
      </c>
      <c r="AA93">
        <f>HYPERLINK("https://klasma.github.io/Logging_0680/tillsyn/A 34597-2025 tillsynsbegäran.docx", "A 34597-2025")</f>
        <v/>
      </c>
      <c r="AB93">
        <f>HYPERLINK("https://klasma.github.io/Logging_0680/tillsynsmail/A 34597-2025 tillsynsbegäran mail.docx", "A 34597-2025")</f>
        <v/>
      </c>
    </row>
    <row r="94" ht="15" customHeight="1">
      <c r="A94" t="inlineStr">
        <is>
          <t>A 12518-2025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45730</v>
      </c>
      <c r="E94" s="1" t="n">
        <v>46216</v>
      </c>
      <c r="F94" t="inlineStr">
        <is>
          <t>JÖNKÖPINGS LÄN</t>
        </is>
      </c>
      <c r="G94" t="inlineStr">
        <is>
          <t>JÖNKÖPING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5</v>
      </c>
      <c r="U94" s="2" t="inlineStr">
        <is>
          <t>Ask</t>
        </is>
      </c>
      <c r="V94">
        <f>HYPERLINK("https://klasma.github.io/Logging_0680/artfynd/A 12518-2025 artfynd.xlsx", "A 12518-2025")</f>
        <v/>
      </c>
      <c r="W94">
        <f>HYPERLINK("https://klasma.github.io/Logging_0680/kartor/A 12518-2025 karta.png", "A 12518-2025")</f>
        <v/>
      </c>
      <c r="Y94">
        <f>HYPERLINK("https://klasma.github.io/Logging_0680/klagomål/A 12518-2025 FSC-klagomål.docx", "A 12518-2025")</f>
        <v/>
      </c>
      <c r="Z94">
        <f>HYPERLINK("https://klasma.github.io/Logging_0680/klagomålsmail/A 12518-2025 FSC-klagomål mail.docx", "A 12518-2025")</f>
        <v/>
      </c>
      <c r="AA94">
        <f>HYPERLINK("https://klasma.github.io/Logging_0680/tillsyn/A 12518-2025 tillsynsbegäran.docx", "A 12518-2025")</f>
        <v/>
      </c>
      <c r="AB94">
        <f>HYPERLINK("https://klasma.github.io/Logging_0680/tillsynsmail/A 12518-2025 tillsynsbegäran mail.docx", "A 12518-2025")</f>
        <v/>
      </c>
    </row>
    <row r="95" ht="15" customHeight="1">
      <c r="A95" t="inlineStr">
        <is>
          <t>A 4582-2026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46048</v>
      </c>
      <c r="E95" s="1" t="n">
        <v>46216</v>
      </c>
      <c r="F95" t="inlineStr">
        <is>
          <t>JÖNKÖPINGS LÄN</t>
        </is>
      </c>
      <c r="G95" t="inlineStr">
        <is>
          <t>JÖNKÖPING</t>
        </is>
      </c>
      <c r="I95" t="n">
        <v>0.5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Grovticka</t>
        </is>
      </c>
      <c r="V95">
        <f>HYPERLINK("https://klasma.github.io/Logging_0680/artfynd/A 4582-2026 artfynd.xlsx", "A 4582-2026")</f>
        <v/>
      </c>
      <c r="W95">
        <f>HYPERLINK("https://klasma.github.io/Logging_0680/kartor/A 4582-2026 karta.png", "A 4582-2026")</f>
        <v/>
      </c>
      <c r="Y95">
        <f>HYPERLINK("https://klasma.github.io/Logging_0680/klagomål/A 4582-2026 FSC-klagomål.docx", "A 4582-2026")</f>
        <v/>
      </c>
      <c r="Z95">
        <f>HYPERLINK("https://klasma.github.io/Logging_0680/klagomålsmail/A 4582-2026 FSC-klagomål mail.docx", "A 4582-2026")</f>
        <v/>
      </c>
      <c r="AA95">
        <f>HYPERLINK("https://klasma.github.io/Logging_0680/tillsyn/A 4582-2026 tillsynsbegäran.docx", "A 4582-2026")</f>
        <v/>
      </c>
      <c r="AB95">
        <f>HYPERLINK("https://klasma.github.io/Logging_0680/tillsynsmail/A 4582-2026 tillsynsbegäran mail.docx", "A 4582-2026")</f>
        <v/>
      </c>
    </row>
    <row r="96" ht="15" customHeight="1">
      <c r="A96" t="inlineStr">
        <is>
          <t>A 6456-2024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45338</v>
      </c>
      <c r="E96" s="1" t="n">
        <v>46216</v>
      </c>
      <c r="F96" t="inlineStr">
        <is>
          <t>JÖNKÖPINGS LÄN</t>
        </is>
      </c>
      <c r="G96" t="inlineStr">
        <is>
          <t>JÖNKÖPING</t>
        </is>
      </c>
      <c r="H96" t="inlineStr">
        <is>
          <t>Kyrkan</t>
        </is>
      </c>
      <c r="I96" t="n">
        <v>2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s="2" t="inlineStr">
        <is>
          <t>Slåttergubbe</t>
        </is>
      </c>
      <c r="V96">
        <f>HYPERLINK("https://klasma.github.io/Logging_0680/artfynd/A 6456-2024 artfynd.xlsx", "A 6456-2024")</f>
        <v/>
      </c>
      <c r="W96">
        <f>HYPERLINK("https://klasma.github.io/Logging_0680/kartor/A 6456-2024 karta.png", "A 6456-2024")</f>
        <v/>
      </c>
      <c r="Y96">
        <f>HYPERLINK("https://klasma.github.io/Logging_0680/klagomål/A 6456-2024 FSC-klagomål.docx", "A 6456-2024")</f>
        <v/>
      </c>
      <c r="Z96">
        <f>HYPERLINK("https://klasma.github.io/Logging_0680/klagomålsmail/A 6456-2024 FSC-klagomål mail.docx", "A 6456-2024")</f>
        <v/>
      </c>
      <c r="AA96">
        <f>HYPERLINK("https://klasma.github.io/Logging_0680/tillsyn/A 6456-2024 tillsynsbegäran.docx", "A 6456-2024")</f>
        <v/>
      </c>
      <c r="AB96">
        <f>HYPERLINK("https://klasma.github.io/Logging_0680/tillsynsmail/A 6456-2024 tillsynsbegäran mail.docx", "A 6456-2024")</f>
        <v/>
      </c>
    </row>
    <row r="97" ht="15" customHeight="1">
      <c r="A97" t="inlineStr">
        <is>
          <t>A 6168-2026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46055</v>
      </c>
      <c r="E97" s="1" t="n">
        <v>46216</v>
      </c>
      <c r="F97" t="inlineStr">
        <is>
          <t>JÖNKÖPINGS LÄN</t>
        </is>
      </c>
      <c r="G97" t="inlineStr">
        <is>
          <t>JÖNKÖPING</t>
        </is>
      </c>
      <c r="I97" t="n">
        <v>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Stor aspticka</t>
        </is>
      </c>
      <c r="V97">
        <f>HYPERLINK("https://klasma.github.io/Logging_0680/artfynd/A 6168-2026 artfynd.xlsx", "A 6168-2026")</f>
        <v/>
      </c>
      <c r="W97">
        <f>HYPERLINK("https://klasma.github.io/Logging_0680/kartor/A 6168-2026 karta.png", "A 6168-2026")</f>
        <v/>
      </c>
      <c r="Y97">
        <f>HYPERLINK("https://klasma.github.io/Logging_0680/klagomål/A 6168-2026 FSC-klagomål.docx", "A 6168-2026")</f>
        <v/>
      </c>
      <c r="Z97">
        <f>HYPERLINK("https://klasma.github.io/Logging_0680/klagomålsmail/A 6168-2026 FSC-klagomål mail.docx", "A 6168-2026")</f>
        <v/>
      </c>
      <c r="AA97">
        <f>HYPERLINK("https://klasma.github.io/Logging_0680/tillsyn/A 6168-2026 tillsynsbegäran.docx", "A 6168-2026")</f>
        <v/>
      </c>
      <c r="AB97">
        <f>HYPERLINK("https://klasma.github.io/Logging_0680/tillsynsmail/A 6168-2026 tillsynsbegäran mail.docx", "A 6168-2026")</f>
        <v/>
      </c>
    </row>
    <row r="98" ht="15" customHeight="1">
      <c r="A98" t="inlineStr">
        <is>
          <t>A 7511-2026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46216</v>
      </c>
      <c r="F98" t="inlineStr">
        <is>
          <t>JÖNKÖPINGS LÄN</t>
        </is>
      </c>
      <c r="G98" t="inlineStr">
        <is>
          <t>JÖNKÖPING</t>
        </is>
      </c>
      <c r="I98" t="n">
        <v>2.8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Lunglav</t>
        </is>
      </c>
      <c r="V98">
        <f>HYPERLINK("https://klasma.github.io/Logging_0680/artfynd/A 7511-2026 artfynd.xlsx", "A 7511-2026")</f>
        <v/>
      </c>
      <c r="W98">
        <f>HYPERLINK("https://klasma.github.io/Logging_0680/kartor/A 7511-2026 karta.png", "A 7511-2026")</f>
        <v/>
      </c>
      <c r="Y98">
        <f>HYPERLINK("https://klasma.github.io/Logging_0680/klagomål/A 7511-2026 FSC-klagomål.docx", "A 7511-2026")</f>
        <v/>
      </c>
      <c r="Z98">
        <f>HYPERLINK("https://klasma.github.io/Logging_0680/klagomålsmail/A 7511-2026 FSC-klagomål mail.docx", "A 7511-2026")</f>
        <v/>
      </c>
      <c r="AA98">
        <f>HYPERLINK("https://klasma.github.io/Logging_0680/tillsyn/A 7511-2026 tillsynsbegäran.docx", "A 7511-2026")</f>
        <v/>
      </c>
      <c r="AB98">
        <f>HYPERLINK("https://klasma.github.io/Logging_0680/tillsynsmail/A 7511-2026 tillsynsbegäran mail.docx", "A 7511-2026")</f>
        <v/>
      </c>
    </row>
    <row r="99" ht="15" customHeight="1">
      <c r="A99" t="inlineStr">
        <is>
          <t>A 48114-2023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45205</v>
      </c>
      <c r="E99" s="1" t="n">
        <v>46216</v>
      </c>
      <c r="F99" t="inlineStr">
        <is>
          <t>JÖNKÖPINGS LÄN</t>
        </is>
      </c>
      <c r="G99" t="inlineStr">
        <is>
          <t>JÖNKÖPING</t>
        </is>
      </c>
      <c r="I99" t="n">
        <v>9.300000000000001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s="2" t="inlineStr">
        <is>
          <t>Garnlav</t>
        </is>
      </c>
      <c r="V99">
        <f>HYPERLINK("https://klasma.github.io/Logging_0680/artfynd/A 48114-2023 artfynd.xlsx", "A 48114-2023")</f>
        <v/>
      </c>
      <c r="W99">
        <f>HYPERLINK("https://klasma.github.io/Logging_0680/kartor/A 48114-2023 karta.png", "A 48114-2023")</f>
        <v/>
      </c>
      <c r="Y99">
        <f>HYPERLINK("https://klasma.github.io/Logging_0680/klagomål/A 48114-2023 FSC-klagomål.docx", "A 48114-2023")</f>
        <v/>
      </c>
      <c r="Z99">
        <f>HYPERLINK("https://klasma.github.io/Logging_0680/klagomålsmail/A 48114-2023 FSC-klagomål mail.docx", "A 48114-2023")</f>
        <v/>
      </c>
      <c r="AA99">
        <f>HYPERLINK("https://klasma.github.io/Logging_0680/tillsyn/A 48114-2023 tillsynsbegäran.docx", "A 48114-2023")</f>
        <v/>
      </c>
      <c r="AB99">
        <f>HYPERLINK("https://klasma.github.io/Logging_0680/tillsynsmail/A 48114-2023 tillsynsbegäran mail.docx", "A 48114-2023")</f>
        <v/>
      </c>
    </row>
    <row r="100" ht="15" customHeight="1">
      <c r="A100" t="inlineStr">
        <is>
          <t>A 18770-2025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45764</v>
      </c>
      <c r="E100" s="1" t="n">
        <v>46216</v>
      </c>
      <c r="F100" t="inlineStr">
        <is>
          <t>JÖNKÖPINGS LÄN</t>
        </is>
      </c>
      <c r="G100" t="inlineStr">
        <is>
          <t>JÖNKÖPING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Gullpudra</t>
        </is>
      </c>
      <c r="V100">
        <f>HYPERLINK("https://klasma.github.io/Logging_0680/artfynd/A 18770-2025 artfynd.xlsx", "A 18770-2025")</f>
        <v/>
      </c>
      <c r="W100">
        <f>HYPERLINK("https://klasma.github.io/Logging_0680/kartor/A 18770-2025 karta.png", "A 18770-2025")</f>
        <v/>
      </c>
      <c r="Y100">
        <f>HYPERLINK("https://klasma.github.io/Logging_0680/klagomål/A 18770-2025 FSC-klagomål.docx", "A 18770-2025")</f>
        <v/>
      </c>
      <c r="Z100">
        <f>HYPERLINK("https://klasma.github.io/Logging_0680/klagomålsmail/A 18770-2025 FSC-klagomål mail.docx", "A 18770-2025")</f>
        <v/>
      </c>
      <c r="AA100">
        <f>HYPERLINK("https://klasma.github.io/Logging_0680/tillsyn/A 18770-2025 tillsynsbegäran.docx", "A 18770-2025")</f>
        <v/>
      </c>
      <c r="AB100">
        <f>HYPERLINK("https://klasma.github.io/Logging_0680/tillsynsmail/A 18770-2025 tillsynsbegäran mail.docx", "A 18770-2025")</f>
        <v/>
      </c>
    </row>
    <row r="101" ht="15" customHeight="1">
      <c r="A101" t="inlineStr">
        <is>
          <t>A 63550-2025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46216</v>
      </c>
      <c r="F101" t="inlineStr">
        <is>
          <t>JÖNKÖPINGS LÄN</t>
        </is>
      </c>
      <c r="G101" t="inlineStr">
        <is>
          <t>JÖNKÖPING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Blåsippa</t>
        </is>
      </c>
      <c r="V101">
        <f>HYPERLINK("https://klasma.github.io/Logging_0680/artfynd/A 63550-2025 artfynd.xlsx", "A 63550-2025")</f>
        <v/>
      </c>
      <c r="W101">
        <f>HYPERLINK("https://klasma.github.io/Logging_0680/kartor/A 63550-2025 karta.png", "A 63550-2025")</f>
        <v/>
      </c>
      <c r="Y101">
        <f>HYPERLINK("https://klasma.github.io/Logging_0680/klagomål/A 63550-2025 FSC-klagomål.docx", "A 63550-2025")</f>
        <v/>
      </c>
      <c r="Z101">
        <f>HYPERLINK("https://klasma.github.io/Logging_0680/klagomålsmail/A 63550-2025 FSC-klagomål mail.docx", "A 63550-2025")</f>
        <v/>
      </c>
      <c r="AA101">
        <f>HYPERLINK("https://klasma.github.io/Logging_0680/tillsyn/A 63550-2025 tillsynsbegäran.docx", "A 63550-2025")</f>
        <v/>
      </c>
      <c r="AB101">
        <f>HYPERLINK("https://klasma.github.io/Logging_0680/tillsynsmail/A 63550-2025 tillsynsbegäran mail.docx", "A 63550-2025")</f>
        <v/>
      </c>
    </row>
    <row r="102" ht="15" customHeight="1">
      <c r="A102" t="inlineStr">
        <is>
          <t>A 43624-2023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45184</v>
      </c>
      <c r="E102" s="1" t="n">
        <v>46216</v>
      </c>
      <c r="F102" t="inlineStr">
        <is>
          <t>JÖNKÖPINGS LÄN</t>
        </is>
      </c>
      <c r="G102" t="inlineStr">
        <is>
          <t>JÖNKÖPING</t>
        </is>
      </c>
      <c r="I102" t="n">
        <v>4.1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2</v>
      </c>
      <c r="U102" s="2" t="inlineStr">
        <is>
          <t>Gullpudra</t>
        </is>
      </c>
      <c r="V102">
        <f>HYPERLINK("https://klasma.github.io/Logging_0680/artfynd/A 43624-2023 artfynd.xlsx", "A 43624-2023")</f>
        <v/>
      </c>
      <c r="W102">
        <f>HYPERLINK("https://klasma.github.io/Logging_0680/kartor/A 43624-2023 karta.png", "A 43624-2023")</f>
        <v/>
      </c>
      <c r="Y102">
        <f>HYPERLINK("https://klasma.github.io/Logging_0680/klagomål/A 43624-2023 FSC-klagomål.docx", "A 43624-2023")</f>
        <v/>
      </c>
      <c r="Z102">
        <f>HYPERLINK("https://klasma.github.io/Logging_0680/klagomålsmail/A 43624-2023 FSC-klagomål mail.docx", "A 43624-2023")</f>
        <v/>
      </c>
      <c r="AA102">
        <f>HYPERLINK("https://klasma.github.io/Logging_0680/tillsyn/A 43624-2023 tillsynsbegäran.docx", "A 43624-2023")</f>
        <v/>
      </c>
      <c r="AB102">
        <f>HYPERLINK("https://klasma.github.io/Logging_0680/tillsynsmail/A 43624-2023 tillsynsbegäran mail.docx", "A 43624-2023")</f>
        <v/>
      </c>
    </row>
    <row r="103" ht="15" customHeight="1">
      <c r="A103" t="inlineStr">
        <is>
          <t>A 15516-2026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46106</v>
      </c>
      <c r="E103" s="1" t="n">
        <v>46216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32.6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s="2" t="inlineStr">
        <is>
          <t>Revlummer</t>
        </is>
      </c>
      <c r="V103">
        <f>HYPERLINK("https://klasma.github.io/Logging_0680/artfynd/A 15516-2026 artfynd.xlsx", "A 15516-2026")</f>
        <v/>
      </c>
      <c r="W103">
        <f>HYPERLINK("https://klasma.github.io/Logging_0680/kartor/A 15516-2026 karta.png", "A 15516-2026")</f>
        <v/>
      </c>
      <c r="Y103">
        <f>HYPERLINK("https://klasma.github.io/Logging_0680/klagomål/A 15516-2026 FSC-klagomål.docx", "A 15516-2026")</f>
        <v/>
      </c>
      <c r="Z103">
        <f>HYPERLINK("https://klasma.github.io/Logging_0680/klagomålsmail/A 15516-2026 FSC-klagomål mail.docx", "A 15516-2026")</f>
        <v/>
      </c>
      <c r="AA103">
        <f>HYPERLINK("https://klasma.github.io/Logging_0680/tillsyn/A 15516-2026 tillsynsbegäran.docx", "A 15516-2026")</f>
        <v/>
      </c>
      <c r="AB103">
        <f>HYPERLINK("https://klasma.github.io/Logging_0680/tillsynsmail/A 15516-2026 tillsynsbegäran mail.docx", "A 15516-2026")</f>
        <v/>
      </c>
    </row>
    <row r="104" ht="15" customHeight="1">
      <c r="A104" t="inlineStr">
        <is>
          <t>A 5898-2023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44963</v>
      </c>
      <c r="E104" s="1" t="n">
        <v>46216</v>
      </c>
      <c r="F104" t="inlineStr">
        <is>
          <t>JÖNKÖPINGS LÄN</t>
        </is>
      </c>
      <c r="G104" t="inlineStr">
        <is>
          <t>JÖNKÖPING</t>
        </is>
      </c>
      <c r="I104" t="n">
        <v>4.1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Utter</t>
        </is>
      </c>
      <c r="V104">
        <f>HYPERLINK("https://klasma.github.io/Logging_0680/artfynd/A 5898-2023 artfynd.xlsx", "A 5898-2023")</f>
        <v/>
      </c>
      <c r="W104">
        <f>HYPERLINK("https://klasma.github.io/Logging_0680/kartor/A 5898-2023 karta.png", "A 5898-2023")</f>
        <v/>
      </c>
      <c r="Y104">
        <f>HYPERLINK("https://klasma.github.io/Logging_0680/klagomål/A 5898-2023 FSC-klagomål.docx", "A 5898-2023")</f>
        <v/>
      </c>
      <c r="Z104">
        <f>HYPERLINK("https://klasma.github.io/Logging_0680/klagomålsmail/A 5898-2023 FSC-klagomål mail.docx", "A 5898-2023")</f>
        <v/>
      </c>
      <c r="AA104">
        <f>HYPERLINK("https://klasma.github.io/Logging_0680/tillsyn/A 5898-2023 tillsynsbegäran.docx", "A 5898-2023")</f>
        <v/>
      </c>
      <c r="AB104">
        <f>HYPERLINK("https://klasma.github.io/Logging_0680/tillsynsmail/A 5898-2023 tillsynsbegäran mail.docx", "A 5898-2023")</f>
        <v/>
      </c>
    </row>
    <row r="105" ht="15" customHeight="1">
      <c r="A105" t="inlineStr">
        <is>
          <t>A 16455-2025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45751</v>
      </c>
      <c r="E105" s="1" t="n">
        <v>46216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0.7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Revlummer</t>
        </is>
      </c>
      <c r="V105">
        <f>HYPERLINK("https://klasma.github.io/Logging_0680/artfynd/A 16455-2025 artfynd.xlsx", "A 16455-2025")</f>
        <v/>
      </c>
      <c r="W105">
        <f>HYPERLINK("https://klasma.github.io/Logging_0680/kartor/A 16455-2025 karta.png", "A 16455-2025")</f>
        <v/>
      </c>
      <c r="Y105">
        <f>HYPERLINK("https://klasma.github.io/Logging_0680/klagomål/A 16455-2025 FSC-klagomål.docx", "A 16455-2025")</f>
        <v/>
      </c>
      <c r="Z105">
        <f>HYPERLINK("https://klasma.github.io/Logging_0680/klagomålsmail/A 16455-2025 FSC-klagomål mail.docx", "A 16455-2025")</f>
        <v/>
      </c>
      <c r="AA105">
        <f>HYPERLINK("https://klasma.github.io/Logging_0680/tillsyn/A 16455-2025 tillsynsbegäran.docx", "A 16455-2025")</f>
        <v/>
      </c>
      <c r="AB105">
        <f>HYPERLINK("https://klasma.github.io/Logging_0680/tillsynsmail/A 16455-2025 tillsynsbegäran mail.docx", "A 16455-2025")</f>
        <v/>
      </c>
    </row>
    <row r="106" ht="15" customHeight="1">
      <c r="A106" t="inlineStr">
        <is>
          <t>A 11260-2023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44992</v>
      </c>
      <c r="E106" s="1" t="n">
        <v>46216</v>
      </c>
      <c r="F106" t="inlineStr">
        <is>
          <t>JÖNKÖPINGS LÄN</t>
        </is>
      </c>
      <c r="G106" t="inlineStr">
        <is>
          <t>JÖNKÖPING</t>
        </is>
      </c>
      <c r="I106" t="n">
        <v>2.4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Knärot</t>
        </is>
      </c>
      <c r="V106">
        <f>HYPERLINK("https://klasma.github.io/Logging_0680/artfynd/A 11260-2023 artfynd.xlsx", "A 11260-2023")</f>
        <v/>
      </c>
      <c r="W106">
        <f>HYPERLINK("https://klasma.github.io/Logging_0680/kartor/A 11260-2023 karta.png", "A 11260-2023")</f>
        <v/>
      </c>
      <c r="X106">
        <f>HYPERLINK("https://klasma.github.io/Logging_0680/knärot/A 11260-2023 karta knärot.png", "A 11260-2023")</f>
        <v/>
      </c>
      <c r="Y106">
        <f>HYPERLINK("https://klasma.github.io/Logging_0680/klagomål/A 11260-2023 FSC-klagomål.docx", "A 11260-2023")</f>
        <v/>
      </c>
      <c r="Z106">
        <f>HYPERLINK("https://klasma.github.io/Logging_0680/klagomålsmail/A 11260-2023 FSC-klagomål mail.docx", "A 11260-2023")</f>
        <v/>
      </c>
      <c r="AA106">
        <f>HYPERLINK("https://klasma.github.io/Logging_0680/tillsyn/A 11260-2023 tillsynsbegäran.docx", "A 11260-2023")</f>
        <v/>
      </c>
      <c r="AB106">
        <f>HYPERLINK("https://klasma.github.io/Logging_0680/tillsynsmail/A 11260-2023 tillsynsbegäran mail.docx", "A 11260-2023")</f>
        <v/>
      </c>
    </row>
    <row r="107" ht="15" customHeight="1">
      <c r="A107" t="inlineStr">
        <is>
          <t>A 43538-2021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44433</v>
      </c>
      <c r="E107" s="1" t="n">
        <v>46216</v>
      </c>
      <c r="F107" t="inlineStr">
        <is>
          <t>JÖNKÖPINGS LÄN</t>
        </is>
      </c>
      <c r="G107" t="inlineStr">
        <is>
          <t>JÖNKÖPING</t>
        </is>
      </c>
      <c r="I107" t="n">
        <v>1.2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Svinrot</t>
        </is>
      </c>
      <c r="V107">
        <f>HYPERLINK("https://klasma.github.io/Logging_0680/artfynd/A 43538-2021 artfynd.xlsx", "A 43538-2021")</f>
        <v/>
      </c>
      <c r="W107">
        <f>HYPERLINK("https://klasma.github.io/Logging_0680/kartor/A 43538-2021 karta.png", "A 43538-2021")</f>
        <v/>
      </c>
      <c r="Y107">
        <f>HYPERLINK("https://klasma.github.io/Logging_0680/klagomål/A 43538-2021 FSC-klagomål.docx", "A 43538-2021")</f>
        <v/>
      </c>
      <c r="Z107">
        <f>HYPERLINK("https://klasma.github.io/Logging_0680/klagomålsmail/A 43538-2021 FSC-klagomål mail.docx", "A 43538-2021")</f>
        <v/>
      </c>
      <c r="AA107">
        <f>HYPERLINK("https://klasma.github.io/Logging_0680/tillsyn/A 43538-2021 tillsynsbegäran.docx", "A 43538-2021")</f>
        <v/>
      </c>
      <c r="AB107">
        <f>HYPERLINK("https://klasma.github.io/Logging_0680/tillsynsmail/A 43538-2021 tillsynsbegäran mail.docx", "A 43538-2021")</f>
        <v/>
      </c>
    </row>
    <row r="108" ht="15" customHeight="1">
      <c r="A108" t="inlineStr">
        <is>
          <t>A 53601-2022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46216</v>
      </c>
      <c r="F108" t="inlineStr">
        <is>
          <t>JÖNKÖPINGS LÄN</t>
        </is>
      </c>
      <c r="G108" t="inlineStr">
        <is>
          <t>JÖNKÖPING</t>
        </is>
      </c>
      <c r="I108" t="n">
        <v>3.8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s="2" t="inlineStr">
        <is>
          <t>Knärot</t>
        </is>
      </c>
      <c r="V108">
        <f>HYPERLINK("https://klasma.github.io/Logging_0680/artfynd/A 53601-2022 artfynd.xlsx", "A 53601-2022")</f>
        <v/>
      </c>
      <c r="W108">
        <f>HYPERLINK("https://klasma.github.io/Logging_0680/kartor/A 53601-2022 karta.png", "A 53601-2022")</f>
        <v/>
      </c>
      <c r="X108">
        <f>HYPERLINK("https://klasma.github.io/Logging_0680/knärot/A 53601-2022 karta knärot.png", "A 53601-2022")</f>
        <v/>
      </c>
      <c r="Y108">
        <f>HYPERLINK("https://klasma.github.io/Logging_0680/klagomål/A 53601-2022 FSC-klagomål.docx", "A 53601-2022")</f>
        <v/>
      </c>
      <c r="Z108">
        <f>HYPERLINK("https://klasma.github.io/Logging_0680/klagomålsmail/A 53601-2022 FSC-klagomål mail.docx", "A 53601-2022")</f>
        <v/>
      </c>
      <c r="AA108">
        <f>HYPERLINK("https://klasma.github.io/Logging_0680/tillsyn/A 53601-2022 tillsynsbegäran.docx", "A 53601-2022")</f>
        <v/>
      </c>
      <c r="AB108">
        <f>HYPERLINK("https://klasma.github.io/Logging_0680/tillsynsmail/A 53601-2022 tillsynsbegäran mail.docx", "A 53601-2022")</f>
        <v/>
      </c>
    </row>
    <row r="109" ht="15" customHeight="1">
      <c r="A109" t="inlineStr">
        <is>
          <t>A 7092-2024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45343</v>
      </c>
      <c r="E109" s="1" t="n">
        <v>46216</v>
      </c>
      <c r="F109" t="inlineStr">
        <is>
          <t>JÖNKÖPINGS LÄN</t>
        </is>
      </c>
      <c r="G109" t="inlineStr">
        <is>
          <t>JÖNKÖPING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s="2" t="inlineStr">
        <is>
          <t>Ask</t>
        </is>
      </c>
      <c r="V109">
        <f>HYPERLINK("https://klasma.github.io/Logging_0680/artfynd/A 7092-2024 artfynd.xlsx", "A 7092-2024")</f>
        <v/>
      </c>
      <c r="W109">
        <f>HYPERLINK("https://klasma.github.io/Logging_0680/kartor/A 7092-2024 karta.png", "A 7092-2024")</f>
        <v/>
      </c>
      <c r="Y109">
        <f>HYPERLINK("https://klasma.github.io/Logging_0680/klagomål/A 7092-2024 FSC-klagomål.docx", "A 7092-2024")</f>
        <v/>
      </c>
      <c r="Z109">
        <f>HYPERLINK("https://klasma.github.io/Logging_0680/klagomålsmail/A 7092-2024 FSC-klagomål mail.docx", "A 7092-2024")</f>
        <v/>
      </c>
      <c r="AA109">
        <f>HYPERLINK("https://klasma.github.io/Logging_0680/tillsyn/A 7092-2024 tillsynsbegäran.docx", "A 7092-2024")</f>
        <v/>
      </c>
      <c r="AB109">
        <f>HYPERLINK("https://klasma.github.io/Logging_0680/tillsynsmail/A 7092-2024 tillsynsbegäran mail.docx", "A 7092-2024")</f>
        <v/>
      </c>
    </row>
    <row r="110" ht="15" customHeight="1">
      <c r="A110" t="inlineStr">
        <is>
          <t>A 58346-2022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44893</v>
      </c>
      <c r="E110" s="1" t="n">
        <v>46216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Övriga statliga verk och myndigheter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Gyllensopp</t>
        </is>
      </c>
      <c r="V110">
        <f>HYPERLINK("https://klasma.github.io/Logging_0680/artfynd/A 58346-2022 artfynd.xlsx", "A 58346-2022")</f>
        <v/>
      </c>
      <c r="W110">
        <f>HYPERLINK("https://klasma.github.io/Logging_0680/kartor/A 58346-2022 karta.png", "A 58346-2022")</f>
        <v/>
      </c>
      <c r="Y110">
        <f>HYPERLINK("https://klasma.github.io/Logging_0680/klagomål/A 58346-2022 FSC-klagomål.docx", "A 58346-2022")</f>
        <v/>
      </c>
      <c r="Z110">
        <f>HYPERLINK("https://klasma.github.io/Logging_0680/klagomålsmail/A 58346-2022 FSC-klagomål mail.docx", "A 58346-2022")</f>
        <v/>
      </c>
      <c r="AA110">
        <f>HYPERLINK("https://klasma.github.io/Logging_0680/tillsyn/A 58346-2022 tillsynsbegäran.docx", "A 58346-2022")</f>
        <v/>
      </c>
      <c r="AB110">
        <f>HYPERLINK("https://klasma.github.io/Logging_0680/tillsynsmail/A 58346-2022 tillsynsbegäran mail.docx", "A 58346-2022")</f>
        <v/>
      </c>
    </row>
    <row r="111" ht="15" customHeight="1">
      <c r="A111" t="inlineStr">
        <is>
          <t>A 29462-2026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46203</v>
      </c>
      <c r="E111" s="1" t="n">
        <v>46216</v>
      </c>
      <c r="F111" t="inlineStr">
        <is>
          <t>JÖNKÖPINGS LÄN</t>
        </is>
      </c>
      <c r="G111" t="inlineStr">
        <is>
          <t>JÖNKÖPING</t>
        </is>
      </c>
      <c r="I111" t="n">
        <v>1.4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Knärot</t>
        </is>
      </c>
      <c r="V111">
        <f>HYPERLINK("https://klasma.github.io/Logging_0680/artfynd/A 29462-2026 artfynd.xlsx", "A 29462-2026")</f>
        <v/>
      </c>
      <c r="W111">
        <f>HYPERLINK("https://klasma.github.io/Logging_0680/kartor/A 29462-2026 karta.png", "A 29462-2026")</f>
        <v/>
      </c>
      <c r="X111">
        <f>HYPERLINK("https://klasma.github.io/Logging_0680/knärot/A 29462-2026 karta knärot.png", "A 29462-2026")</f>
        <v/>
      </c>
      <c r="Y111">
        <f>HYPERLINK("https://klasma.github.io/Logging_0680/klagomål/A 29462-2026 FSC-klagomål.docx", "A 29462-2026")</f>
        <v/>
      </c>
      <c r="Z111">
        <f>HYPERLINK("https://klasma.github.io/Logging_0680/klagomålsmail/A 29462-2026 FSC-klagomål mail.docx", "A 29462-2026")</f>
        <v/>
      </c>
      <c r="AA111">
        <f>HYPERLINK("https://klasma.github.io/Logging_0680/tillsyn/A 29462-2026 tillsynsbegäran.docx", "A 29462-2026")</f>
        <v/>
      </c>
      <c r="AB111">
        <f>HYPERLINK("https://klasma.github.io/Logging_0680/tillsynsmail/A 29462-2026 tillsynsbegäran mail.docx", "A 29462-2026")</f>
        <v/>
      </c>
    </row>
    <row r="112" ht="15" customHeight="1">
      <c r="A112" t="inlineStr">
        <is>
          <t>A 40795-2024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46216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Kattfotslav</t>
        </is>
      </c>
      <c r="V112">
        <f>HYPERLINK("https://klasma.github.io/Logging_0680/artfynd/A 40795-2024 artfynd.xlsx", "A 40795-2024")</f>
        <v/>
      </c>
      <c r="W112">
        <f>HYPERLINK("https://klasma.github.io/Logging_0680/kartor/A 40795-2024 karta.png", "A 40795-2024")</f>
        <v/>
      </c>
      <c r="Y112">
        <f>HYPERLINK("https://klasma.github.io/Logging_0680/klagomål/A 40795-2024 FSC-klagomål.docx", "A 40795-2024")</f>
        <v/>
      </c>
      <c r="Z112">
        <f>HYPERLINK("https://klasma.github.io/Logging_0680/klagomålsmail/A 40795-2024 FSC-klagomål mail.docx", "A 40795-2024")</f>
        <v/>
      </c>
      <c r="AA112">
        <f>HYPERLINK("https://klasma.github.io/Logging_0680/tillsyn/A 40795-2024 tillsynsbegäran.docx", "A 40795-2024")</f>
        <v/>
      </c>
      <c r="AB112">
        <f>HYPERLINK("https://klasma.github.io/Logging_0680/tillsynsmail/A 40795-2024 tillsynsbegäran mail.docx", "A 40795-2024")</f>
        <v/>
      </c>
    </row>
    <row r="113" ht="15" customHeight="1">
      <c r="A113" t="inlineStr">
        <is>
          <t>A 23234-2026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46162</v>
      </c>
      <c r="E113" s="1" t="n">
        <v>46216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Klasefibbla</t>
        </is>
      </c>
      <c r="V113">
        <f>HYPERLINK("https://klasma.github.io/Logging_0680/artfynd/A 23234-2026 artfynd.xlsx", "A 23234-2026")</f>
        <v/>
      </c>
      <c r="W113">
        <f>HYPERLINK("https://klasma.github.io/Logging_0680/kartor/A 23234-2026 karta.png", "A 23234-2026")</f>
        <v/>
      </c>
      <c r="Y113">
        <f>HYPERLINK("https://klasma.github.io/Logging_0680/klagomål/A 23234-2026 FSC-klagomål.docx", "A 23234-2026")</f>
        <v/>
      </c>
      <c r="Z113">
        <f>HYPERLINK("https://klasma.github.io/Logging_0680/klagomålsmail/A 23234-2026 FSC-klagomål mail.docx", "A 23234-2026")</f>
        <v/>
      </c>
      <c r="AA113">
        <f>HYPERLINK("https://klasma.github.io/Logging_0680/tillsyn/A 23234-2026 tillsynsbegäran.docx", "A 23234-2026")</f>
        <v/>
      </c>
      <c r="AB113">
        <f>HYPERLINK("https://klasma.github.io/Logging_0680/tillsynsmail/A 23234-2026 tillsynsbegäran mail.docx", "A 23234-2026")</f>
        <v/>
      </c>
    </row>
    <row r="114" ht="15" customHeight="1">
      <c r="A114" t="inlineStr">
        <is>
          <t>A 23260-2026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46162</v>
      </c>
      <c r="E114" s="1" t="n">
        <v>46216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Grönvit nattviol</t>
        </is>
      </c>
      <c r="V114">
        <f>HYPERLINK("https://klasma.github.io/Logging_0680/artfynd/A 23260-2026 artfynd.xlsx", "A 23260-2026")</f>
        <v/>
      </c>
      <c r="W114">
        <f>HYPERLINK("https://klasma.github.io/Logging_0680/kartor/A 23260-2026 karta.png", "A 23260-2026")</f>
        <v/>
      </c>
      <c r="Y114">
        <f>HYPERLINK("https://klasma.github.io/Logging_0680/klagomål/A 23260-2026 FSC-klagomål.docx", "A 23260-2026")</f>
        <v/>
      </c>
      <c r="Z114">
        <f>HYPERLINK("https://klasma.github.io/Logging_0680/klagomålsmail/A 23260-2026 FSC-klagomål mail.docx", "A 23260-2026")</f>
        <v/>
      </c>
      <c r="AA114">
        <f>HYPERLINK("https://klasma.github.io/Logging_0680/tillsyn/A 23260-2026 tillsynsbegäran.docx", "A 23260-2026")</f>
        <v/>
      </c>
      <c r="AB114">
        <f>HYPERLINK("https://klasma.github.io/Logging_0680/tillsynsmail/A 23260-2026 tillsynsbegäran mail.docx", "A 23260-2026")</f>
        <v/>
      </c>
    </row>
    <row r="115" ht="15" customHeight="1">
      <c r="A115" t="inlineStr">
        <is>
          <t>A 50190-2024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45600</v>
      </c>
      <c r="E115" s="1" t="n">
        <v>46216</v>
      </c>
      <c r="F115" t="inlineStr">
        <is>
          <t>JÖNKÖPINGS LÄN</t>
        </is>
      </c>
      <c r="G115" t="inlineStr">
        <is>
          <t>JÖNKÖPING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s="2" t="inlineStr">
        <is>
          <t>Skogsalm</t>
        </is>
      </c>
      <c r="V115">
        <f>HYPERLINK("https://klasma.github.io/Logging_0680/artfynd/A 50190-2024 artfynd.xlsx", "A 50190-2024")</f>
        <v/>
      </c>
      <c r="W115">
        <f>HYPERLINK("https://klasma.github.io/Logging_0680/kartor/A 50190-2024 karta.png", "A 50190-2024")</f>
        <v/>
      </c>
      <c r="Y115">
        <f>HYPERLINK("https://klasma.github.io/Logging_0680/klagomål/A 50190-2024 FSC-klagomål.docx", "A 50190-2024")</f>
        <v/>
      </c>
      <c r="Z115">
        <f>HYPERLINK("https://klasma.github.io/Logging_0680/klagomålsmail/A 50190-2024 FSC-klagomål mail.docx", "A 50190-2024")</f>
        <v/>
      </c>
      <c r="AA115">
        <f>HYPERLINK("https://klasma.github.io/Logging_0680/tillsyn/A 50190-2024 tillsynsbegäran.docx", "A 50190-2024")</f>
        <v/>
      </c>
      <c r="AB115">
        <f>HYPERLINK("https://klasma.github.io/Logging_0680/tillsynsmail/A 50190-2024 tillsynsbegäran mail.docx", "A 50190-2024")</f>
        <v/>
      </c>
    </row>
    <row r="116" ht="15" customHeight="1">
      <c r="A116" t="inlineStr">
        <is>
          <t>A 54424-2024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45617</v>
      </c>
      <c r="E116" s="1" t="n">
        <v>46216</v>
      </c>
      <c r="F116" t="inlineStr">
        <is>
          <t>JÖNKÖPINGS LÄN</t>
        </is>
      </c>
      <c r="G116" t="inlineStr">
        <is>
          <t>JÖNKÖPING</t>
        </is>
      </c>
      <c r="I116" t="n">
        <v>6.2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Motaggsvamp</t>
        </is>
      </c>
      <c r="V116">
        <f>HYPERLINK("https://klasma.github.io/Logging_0680/artfynd/A 54424-2024 artfynd.xlsx", "A 54424-2024")</f>
        <v/>
      </c>
      <c r="W116">
        <f>HYPERLINK("https://klasma.github.io/Logging_0680/kartor/A 54424-2024 karta.png", "A 54424-2024")</f>
        <v/>
      </c>
      <c r="Y116">
        <f>HYPERLINK("https://klasma.github.io/Logging_0680/klagomål/A 54424-2024 FSC-klagomål.docx", "A 54424-2024")</f>
        <v/>
      </c>
      <c r="Z116">
        <f>HYPERLINK("https://klasma.github.io/Logging_0680/klagomålsmail/A 54424-2024 FSC-klagomål mail.docx", "A 54424-2024")</f>
        <v/>
      </c>
      <c r="AA116">
        <f>HYPERLINK("https://klasma.github.io/Logging_0680/tillsyn/A 54424-2024 tillsynsbegäran.docx", "A 54424-2024")</f>
        <v/>
      </c>
      <c r="AB116">
        <f>HYPERLINK("https://klasma.github.io/Logging_0680/tillsynsmail/A 54424-2024 tillsynsbegäran mail.docx", "A 54424-2024")</f>
        <v/>
      </c>
    </row>
    <row r="117" ht="15" customHeight="1">
      <c r="A117" t="inlineStr">
        <is>
          <t>A 30718-2026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46211</v>
      </c>
      <c r="E117" s="1" t="n">
        <v>46216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Sveaskog</t>
        </is>
      </c>
      <c r="I117" t="n">
        <v>11.4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Spindelblomster</t>
        </is>
      </c>
      <c r="V117">
        <f>HYPERLINK("https://klasma.github.io/Logging_0680/artfynd/A 30718-2026 artfynd.xlsx", "A 30718-2026")</f>
        <v/>
      </c>
      <c r="W117">
        <f>HYPERLINK("https://klasma.github.io/Logging_0680/kartor/A 30718-2026 karta.png", "A 30718-2026")</f>
        <v/>
      </c>
      <c r="Y117">
        <f>HYPERLINK("https://klasma.github.io/Logging_0680/klagomål/A 30718-2026 FSC-klagomål.docx", "A 30718-2026")</f>
        <v/>
      </c>
      <c r="Z117">
        <f>HYPERLINK("https://klasma.github.io/Logging_0680/klagomålsmail/A 30718-2026 FSC-klagomål mail.docx", "A 30718-2026")</f>
        <v/>
      </c>
      <c r="AA117">
        <f>HYPERLINK("https://klasma.github.io/Logging_0680/tillsyn/A 30718-2026 tillsynsbegäran.docx", "A 30718-2026")</f>
        <v/>
      </c>
      <c r="AB117">
        <f>HYPERLINK("https://klasma.github.io/Logging_0680/tillsynsmail/A 30718-2026 tillsynsbegäran mail.docx", "A 30718-2026")</f>
        <v/>
      </c>
    </row>
    <row r="118" ht="15" customHeight="1">
      <c r="A118" t="inlineStr">
        <is>
          <t>A 47040-2023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45201</v>
      </c>
      <c r="E118" s="1" t="n">
        <v>46216</v>
      </c>
      <c r="F118" t="inlineStr">
        <is>
          <t>JÖNKÖPINGS LÄN</t>
        </is>
      </c>
      <c r="G118" t="inlineStr">
        <is>
          <t>JÖNKÖPING</t>
        </is>
      </c>
      <c r="I118" t="n">
        <v>2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Nordfladdermus</t>
        </is>
      </c>
      <c r="V118">
        <f>HYPERLINK("https://klasma.github.io/Logging_0680/artfynd/A 47040-2023 artfynd.xlsx", "A 47040-2023")</f>
        <v/>
      </c>
      <c r="W118">
        <f>HYPERLINK("https://klasma.github.io/Logging_0680/kartor/A 47040-2023 karta.png", "A 47040-2023")</f>
        <v/>
      </c>
      <c r="Y118">
        <f>HYPERLINK("https://klasma.github.io/Logging_0680/klagomål/A 47040-2023 FSC-klagomål.docx", "A 47040-2023")</f>
        <v/>
      </c>
      <c r="Z118">
        <f>HYPERLINK("https://klasma.github.io/Logging_0680/klagomålsmail/A 47040-2023 FSC-klagomål mail.docx", "A 47040-2023")</f>
        <v/>
      </c>
      <c r="AA118">
        <f>HYPERLINK("https://klasma.github.io/Logging_0680/tillsyn/A 47040-2023 tillsynsbegäran.docx", "A 47040-2023")</f>
        <v/>
      </c>
      <c r="AB118">
        <f>HYPERLINK("https://klasma.github.io/Logging_0680/tillsynsmail/A 47040-2023 tillsynsbegäran mail.docx", "A 47040-2023")</f>
        <v/>
      </c>
    </row>
    <row r="119" ht="15" customHeight="1">
      <c r="A119" t="inlineStr">
        <is>
          <t>A 30868-2026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46212</v>
      </c>
      <c r="E119" s="1" t="n">
        <v>46216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2.5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Grönvit nattviol</t>
        </is>
      </c>
      <c r="V119">
        <f>HYPERLINK("https://klasma.github.io/Logging_0680/artfynd/A 30868-2026 artfynd.xlsx", "A 30868-2026")</f>
        <v/>
      </c>
      <c r="W119">
        <f>HYPERLINK("https://klasma.github.io/Logging_0680/kartor/A 30868-2026 karta.png", "A 30868-2026")</f>
        <v/>
      </c>
      <c r="Y119">
        <f>HYPERLINK("https://klasma.github.io/Logging_0680/klagomål/A 30868-2026 FSC-klagomål.docx", "A 30868-2026")</f>
        <v/>
      </c>
      <c r="Z119">
        <f>HYPERLINK("https://klasma.github.io/Logging_0680/klagomålsmail/A 30868-2026 FSC-klagomål mail.docx", "A 30868-2026")</f>
        <v/>
      </c>
      <c r="AA119">
        <f>HYPERLINK("https://klasma.github.io/Logging_0680/tillsyn/A 30868-2026 tillsynsbegäran.docx", "A 30868-2026")</f>
        <v/>
      </c>
      <c r="AB119">
        <f>HYPERLINK("https://klasma.github.io/Logging_0680/tillsynsmail/A 30868-2026 tillsynsbegäran mail.docx", "A 30868-2026")</f>
        <v/>
      </c>
    </row>
    <row r="120" ht="15" customHeight="1">
      <c r="A120" t="inlineStr">
        <is>
          <t>A 71504-2021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44540</v>
      </c>
      <c r="E120" s="1" t="n">
        <v>46216</v>
      </c>
      <c r="F120" t="inlineStr">
        <is>
          <t>JÖNKÖPINGS LÄN</t>
        </is>
      </c>
      <c r="G120" t="inlineStr">
        <is>
          <t>JÖNKÖPING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s="2" t="inlineStr">
        <is>
          <t>Igelkott</t>
        </is>
      </c>
      <c r="V120">
        <f>HYPERLINK("https://klasma.github.io/Logging_0680/artfynd/A 71504-2021 artfynd.xlsx", "A 71504-2021")</f>
        <v/>
      </c>
      <c r="W120">
        <f>HYPERLINK("https://klasma.github.io/Logging_0680/kartor/A 71504-2021 karta.png", "A 71504-2021")</f>
        <v/>
      </c>
      <c r="Y120">
        <f>HYPERLINK("https://klasma.github.io/Logging_0680/klagomål/A 71504-2021 FSC-klagomål.docx", "A 71504-2021")</f>
        <v/>
      </c>
      <c r="Z120">
        <f>HYPERLINK("https://klasma.github.io/Logging_0680/klagomålsmail/A 71504-2021 FSC-klagomål mail.docx", "A 71504-2021")</f>
        <v/>
      </c>
      <c r="AA120">
        <f>HYPERLINK("https://klasma.github.io/Logging_0680/tillsyn/A 71504-2021 tillsynsbegäran.docx", "A 71504-2021")</f>
        <v/>
      </c>
      <c r="AB120">
        <f>HYPERLINK("https://klasma.github.io/Logging_0680/tillsynsmail/A 71504-2021 tillsynsbegäran mail.docx", "A 71504-2021")</f>
        <v/>
      </c>
    </row>
    <row r="121" ht="15" customHeight="1">
      <c r="A121" t="inlineStr">
        <is>
          <t>A 14221-2025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46216</v>
      </c>
      <c r="F121" t="inlineStr">
        <is>
          <t>JÖNKÖPINGS LÄN</t>
        </is>
      </c>
      <c r="G121" t="inlineStr">
        <is>
          <t>JÖNKÖPING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s="2" t="inlineStr">
        <is>
          <t>Gaffelglim</t>
        </is>
      </c>
      <c r="V121">
        <f>HYPERLINK("https://klasma.github.io/Logging_0680/artfynd/A 14221-2025 artfynd.xlsx", "A 14221-2025")</f>
        <v/>
      </c>
      <c r="W121">
        <f>HYPERLINK("https://klasma.github.io/Logging_0680/kartor/A 14221-2025 karta.png", "A 14221-2025")</f>
        <v/>
      </c>
      <c r="Y121">
        <f>HYPERLINK("https://klasma.github.io/Logging_0680/klagomål/A 14221-2025 FSC-klagomål.docx", "A 14221-2025")</f>
        <v/>
      </c>
      <c r="Z121">
        <f>HYPERLINK("https://klasma.github.io/Logging_0680/klagomålsmail/A 14221-2025 FSC-klagomål mail.docx", "A 14221-2025")</f>
        <v/>
      </c>
      <c r="AA121">
        <f>HYPERLINK("https://klasma.github.io/Logging_0680/tillsyn/A 14221-2025 tillsynsbegäran.docx", "A 14221-2025")</f>
        <v/>
      </c>
      <c r="AB121">
        <f>HYPERLINK("https://klasma.github.io/Logging_0680/tillsynsmail/A 14221-2025 tillsynsbegäran mail.docx", "A 14221-2025")</f>
        <v/>
      </c>
    </row>
    <row r="122" ht="15" customHeight="1">
      <c r="A122" t="inlineStr">
        <is>
          <t>S 1134-2024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45393</v>
      </c>
      <c r="E122" s="1" t="n">
        <v>46216</v>
      </c>
      <c r="F122" t="inlineStr">
        <is>
          <t>JÖNKÖPINGS LÄN</t>
        </is>
      </c>
      <c r="G122" t="inlineStr">
        <is>
          <t>JÖNKÖPING</t>
        </is>
      </c>
      <c r="I122" t="n">
        <v>70.5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s="2" t="inlineStr">
        <is>
          <t>Ask</t>
        </is>
      </c>
      <c r="V122">
        <f>HYPERLINK("https://klasma.github.io/Logging_0680/artfynd/S 1134-2024 artfynd.xlsx", "S 1134-2024")</f>
        <v/>
      </c>
      <c r="W122">
        <f>HYPERLINK("https://klasma.github.io/Logging_0680/kartor/S 1134-2024 karta.png", "S 1134-2024")</f>
        <v/>
      </c>
      <c r="Y122">
        <f>HYPERLINK("https://klasma.github.io/Logging_0680/klagomål/S 1134-2024 FSC-klagomål.docx", "S 1134-2024")</f>
        <v/>
      </c>
      <c r="Z122">
        <f>HYPERLINK("https://klasma.github.io/Logging_0680/klagomålsmail/S 1134-2024 FSC-klagomål mail.docx", "S 1134-2024")</f>
        <v/>
      </c>
      <c r="AA122">
        <f>HYPERLINK("https://klasma.github.io/Logging_0680/tillsyn/S 1134-2024 tillsynsbegäran.docx", "S 1134-2024")</f>
        <v/>
      </c>
      <c r="AB122">
        <f>HYPERLINK("https://klasma.github.io/Logging_0680/tillsynsmail/S 1134-2024 tillsynsbegäran mail.docx", "S 1134-2024")</f>
        <v/>
      </c>
    </row>
    <row r="123" ht="15" customHeight="1">
      <c r="A123" t="inlineStr">
        <is>
          <t>S 273-2023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44955</v>
      </c>
      <c r="E123" s="1" t="n">
        <v>46216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26.3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s="2" t="inlineStr">
        <is>
          <t>Hållav</t>
        </is>
      </c>
      <c r="V123">
        <f>HYPERLINK("https://klasma.github.io/Logging_0680/artfynd/S 273-2023 artfynd.xlsx", "S 273-2023")</f>
        <v/>
      </c>
      <c r="W123">
        <f>HYPERLINK("https://klasma.github.io/Logging_0680/kartor/S 273-2023 karta.png", "S 273-2023")</f>
        <v/>
      </c>
      <c r="Y123">
        <f>HYPERLINK("https://klasma.github.io/Logging_0680/klagomål/S 273-2023 FSC-klagomål.docx", "S 273-2023")</f>
        <v/>
      </c>
      <c r="Z123">
        <f>HYPERLINK("https://klasma.github.io/Logging_0680/klagomålsmail/S 273-2023 FSC-klagomål mail.docx", "S 273-2023")</f>
        <v/>
      </c>
      <c r="AA123">
        <f>HYPERLINK("https://klasma.github.io/Logging_0680/tillsyn/S 273-2023 tillsynsbegäran.docx", "S 273-2023")</f>
        <v/>
      </c>
      <c r="AB123">
        <f>HYPERLINK("https://klasma.github.io/Logging_0680/tillsynsmail/S 273-2023 tillsynsbegäran mail.docx", "S 273-2023")</f>
        <v/>
      </c>
    </row>
    <row r="124" ht="15" customHeight="1">
      <c r="A124" t="inlineStr">
        <is>
          <t>S 1266-2023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45029</v>
      </c>
      <c r="E124" s="1" t="n">
        <v>46216</v>
      </c>
      <c r="F124" t="inlineStr">
        <is>
          <t>JÖNKÖPINGS LÄN</t>
        </is>
      </c>
      <c r="G124" t="inlineStr">
        <is>
          <t>JÖNKÖPING</t>
        </is>
      </c>
      <c r="I124" t="n">
        <v>16.7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Grönsångare</t>
        </is>
      </c>
      <c r="V124">
        <f>HYPERLINK("https://klasma.github.io/Logging_0680/artfynd/S 1266-2023 artfynd.xlsx", "S 1266-2023")</f>
        <v/>
      </c>
      <c r="W124">
        <f>HYPERLINK("https://klasma.github.io/Logging_0680/kartor/S 1266-2023 karta.png", "S 1266-2023")</f>
        <v/>
      </c>
      <c r="Y124">
        <f>HYPERLINK("https://klasma.github.io/Logging_0680/klagomål/S 1266-2023 FSC-klagomål.docx", "S 1266-2023")</f>
        <v/>
      </c>
      <c r="Z124">
        <f>HYPERLINK("https://klasma.github.io/Logging_0680/klagomålsmail/S 1266-2023 FSC-klagomål mail.docx", "S 1266-2023")</f>
        <v/>
      </c>
      <c r="AA124">
        <f>HYPERLINK("https://klasma.github.io/Logging_0680/tillsyn/S 1266-2023 tillsynsbegäran.docx", "S 1266-2023")</f>
        <v/>
      </c>
      <c r="AB124">
        <f>HYPERLINK("https://klasma.github.io/Logging_0680/tillsynsmail/S 1266-2023 tillsynsbegäran mail.docx", "S 1266-2023")</f>
        <v/>
      </c>
      <c r="AC124">
        <f>HYPERLINK("https://klasma.github.io/Logging_0680/fåglar/S 1266-2023 prioriterade fågelarter.docx", "S 1266-2023")</f>
        <v/>
      </c>
    </row>
    <row r="125" ht="15" customHeight="1">
      <c r="A125" t="inlineStr">
        <is>
          <t>S 2902-2022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44711</v>
      </c>
      <c r="E125" s="1" t="n">
        <v>46216</v>
      </c>
      <c r="F125" t="inlineStr">
        <is>
          <t>JÖNKÖPINGS LÄN</t>
        </is>
      </c>
      <c r="G125" t="inlineStr">
        <is>
          <t>JÖNKÖPING</t>
        </is>
      </c>
      <c r="I125" t="n">
        <v>38.4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Garnlav</t>
        </is>
      </c>
      <c r="V125">
        <f>HYPERLINK("https://klasma.github.io/Logging_0680/artfynd/S 2902-2022 artfynd.xlsx", "S 2902-2022")</f>
        <v/>
      </c>
      <c r="W125">
        <f>HYPERLINK("https://klasma.github.io/Logging_0680/kartor/S 2902-2022 karta.png", "S 2902-2022")</f>
        <v/>
      </c>
      <c r="Y125">
        <f>HYPERLINK("https://klasma.github.io/Logging_0680/klagomål/S 2902-2022 FSC-klagomål.docx", "S 2902-2022")</f>
        <v/>
      </c>
      <c r="Z125">
        <f>HYPERLINK("https://klasma.github.io/Logging_0680/klagomålsmail/S 2902-2022 FSC-klagomål mail.docx", "S 2902-2022")</f>
        <v/>
      </c>
      <c r="AA125">
        <f>HYPERLINK("https://klasma.github.io/Logging_0680/tillsyn/S 2902-2022 tillsynsbegäran.docx", "S 2902-2022")</f>
        <v/>
      </c>
      <c r="AB125">
        <f>HYPERLINK("https://klasma.github.io/Logging_0680/tillsynsmail/S 2902-2022 tillsynsbegäran mail.docx", "S 2902-2022")</f>
        <v/>
      </c>
    </row>
    <row r="126" ht="15" customHeight="1">
      <c r="A126" t="inlineStr">
        <is>
          <t>S 1317-2022</t>
        </is>
      </c>
      <c r="B126" t="inlineStr">
        <is>
          <t>samrådsanmälan</t>
        </is>
      </c>
      <c r="C126" t="inlineStr">
        <is>
          <t>Åtgärd i nyckelbiotop</t>
        </is>
      </c>
      <c r="D126" s="1" t="n">
        <v>44628</v>
      </c>
      <c r="E126" s="1" t="n">
        <v>46216</v>
      </c>
      <c r="F126" t="inlineStr">
        <is>
          <t>JÖNKÖPINGS LÄN</t>
        </is>
      </c>
      <c r="G126" t="inlineStr">
        <is>
          <t>JÖNKÖPING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4</v>
      </c>
      <c r="U126" s="2" t="inlineStr">
        <is>
          <t>Ask</t>
        </is>
      </c>
      <c r="V126">
        <f>HYPERLINK("https://klasma.github.io/Logging_0680/artfynd/S 1317-2022 artfynd.xlsx", "S 1317-2022")</f>
        <v/>
      </c>
      <c r="W126">
        <f>HYPERLINK("https://klasma.github.io/Logging_0680/kartor/S 1317-2022 karta.png", "S 1317-2022")</f>
        <v/>
      </c>
      <c r="Y126">
        <f>HYPERLINK("https://klasma.github.io/Logging_0680/klagomål/S 1317-2022 FSC-klagomål.docx", "S 1317-2022")</f>
        <v/>
      </c>
      <c r="Z126">
        <f>HYPERLINK("https://klasma.github.io/Logging_0680/klagomålsmail/S 1317-2022 FSC-klagomål mail.docx", "S 1317-2022")</f>
        <v/>
      </c>
      <c r="AA126">
        <f>HYPERLINK("https://klasma.github.io/Logging_0680/tillsyn/S 1317-2022 tillsynsbegäran.docx", "S 1317-2022")</f>
        <v/>
      </c>
      <c r="AB126">
        <f>HYPERLINK("https://klasma.github.io/Logging_0680/tillsynsmail/S 1317-2022 tillsynsbegäran mail.docx", "S 1317-2022")</f>
        <v/>
      </c>
    </row>
    <row r="127" ht="15" customHeight="1">
      <c r="A127" t="inlineStr">
        <is>
          <t>S 575-2025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46216</v>
      </c>
      <c r="F127" t="inlineStr">
        <is>
          <t>JÖNKÖPINGS LÄN</t>
        </is>
      </c>
      <c r="G127" t="inlineStr">
        <is>
          <t>JÖNKÖPING</t>
        </is>
      </c>
      <c r="I127" t="n">
        <v>14.1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Gullpudra</t>
        </is>
      </c>
      <c r="V127">
        <f>HYPERLINK("https://klasma.github.io/Logging_0680/artfynd/S 575-2025 artfynd.xlsx", "S 575-2025")</f>
        <v/>
      </c>
      <c r="W127">
        <f>HYPERLINK("https://klasma.github.io/Logging_0680/kartor/S 575-2025 karta.png", "S 575-2025")</f>
        <v/>
      </c>
      <c r="Y127">
        <f>HYPERLINK("https://klasma.github.io/Logging_0680/klagomål/S 575-2025 FSC-klagomål.docx", "S 575-2025")</f>
        <v/>
      </c>
      <c r="Z127">
        <f>HYPERLINK("https://klasma.github.io/Logging_0680/klagomålsmail/S 575-2025 FSC-klagomål mail.docx", "S 575-2025")</f>
        <v/>
      </c>
      <c r="AA127">
        <f>HYPERLINK("https://klasma.github.io/Logging_0680/tillsyn/S 575-2025 tillsynsbegäran.docx", "S 575-2025")</f>
        <v/>
      </c>
      <c r="AB127">
        <f>HYPERLINK("https://klasma.github.io/Logging_0680/tillsynsmail/S 575-2025 tillsynsbegäran mail.docx", "S 575-2025")</f>
        <v/>
      </c>
    </row>
    <row r="128" ht="15" customHeight="1">
      <c r="A128" t="inlineStr">
        <is>
          <t>S 571-2025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46216</v>
      </c>
      <c r="F128" t="inlineStr">
        <is>
          <t>JÖNKÖPINGS LÄN</t>
        </is>
      </c>
      <c r="G128" t="inlineStr">
        <is>
          <t>JÖNKÖPING</t>
        </is>
      </c>
      <c r="I128" t="n">
        <v>34.2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Tjäder</t>
        </is>
      </c>
      <c r="V128">
        <f>HYPERLINK("https://klasma.github.io/Logging_0680/artfynd/S 571-2025 artfynd.xlsx", "S 571-2025")</f>
        <v/>
      </c>
      <c r="W128">
        <f>HYPERLINK("https://klasma.github.io/Logging_0680/kartor/S 571-2025 karta.png", "S 571-2025")</f>
        <v/>
      </c>
      <c r="Y128">
        <f>HYPERLINK("https://klasma.github.io/Logging_0680/klagomål/S 571-2025 FSC-klagomål.docx", "S 571-2025")</f>
        <v/>
      </c>
      <c r="Z128">
        <f>HYPERLINK("https://klasma.github.io/Logging_0680/klagomålsmail/S 571-2025 FSC-klagomål mail.docx", "S 571-2025")</f>
        <v/>
      </c>
      <c r="AA128">
        <f>HYPERLINK("https://klasma.github.io/Logging_0680/tillsyn/S 571-2025 tillsynsbegäran.docx", "S 571-2025")</f>
        <v/>
      </c>
      <c r="AB128">
        <f>HYPERLINK("https://klasma.github.io/Logging_0680/tillsynsmail/S 571-2025 tillsynsbegäran mail.docx", "S 571-2025")</f>
        <v/>
      </c>
      <c r="AC128">
        <f>HYPERLINK("https://klasma.github.io/Logging_0680/fåglar/S 571-2025 prioriterade fågelarter.docx", "S 571-2025")</f>
        <v/>
      </c>
    </row>
    <row r="129" ht="15" customHeight="1">
      <c r="A129" t="inlineStr">
        <is>
          <t>S 2136-2025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45846</v>
      </c>
      <c r="E129" s="1" t="n">
        <v>46216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60.1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Nattskärra</t>
        </is>
      </c>
      <c r="V129">
        <f>HYPERLINK("https://klasma.github.io/Logging_0680/artfynd/S 2136-2025 artfynd.xlsx", "S 2136-2025")</f>
        <v/>
      </c>
      <c r="W129">
        <f>HYPERLINK("https://klasma.github.io/Logging_0680/kartor/S 2136-2025 karta.png", "S 2136-2025")</f>
        <v/>
      </c>
      <c r="Y129">
        <f>HYPERLINK("https://klasma.github.io/Logging_0680/klagomål/S 2136-2025 FSC-klagomål.docx", "S 2136-2025")</f>
        <v/>
      </c>
      <c r="Z129">
        <f>HYPERLINK("https://klasma.github.io/Logging_0680/klagomålsmail/S 2136-2025 FSC-klagomål mail.docx", "S 2136-2025")</f>
        <v/>
      </c>
      <c r="AA129">
        <f>HYPERLINK("https://klasma.github.io/Logging_0680/tillsyn/S 2136-2025 tillsynsbegäran.docx", "S 2136-2025")</f>
        <v/>
      </c>
      <c r="AB129">
        <f>HYPERLINK("https://klasma.github.io/Logging_0680/tillsynsmail/S 2136-2025 tillsynsbegäran mail.docx", "S 2136-2025")</f>
        <v/>
      </c>
      <c r="AC129">
        <f>HYPERLINK("https://klasma.github.io/Logging_0680/fåglar/S 2136-2025 prioriterade fågelarter.docx", "S 2136-2025")</f>
        <v/>
      </c>
    </row>
    <row r="130" ht="15" customHeight="1">
      <c r="A130" t="inlineStr">
        <is>
          <t>S 713-2026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46092</v>
      </c>
      <c r="E130" s="1" t="n">
        <v>46216</v>
      </c>
      <c r="F130" t="inlineStr">
        <is>
          <t>JÖNKÖPINGS LÄN</t>
        </is>
      </c>
      <c r="G130" t="inlineStr">
        <is>
          <t>JÖNKÖPING</t>
        </is>
      </c>
      <c r="I130" t="n">
        <v>29.7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s="2" t="inlineStr">
        <is>
          <t>Utter</t>
        </is>
      </c>
      <c r="V130">
        <f>HYPERLINK("https://klasma.github.io/Logging_0680/artfynd/S 713-2026 artfynd.xlsx", "S 713-2026")</f>
        <v/>
      </c>
      <c r="W130">
        <f>HYPERLINK("https://klasma.github.io/Logging_0680/kartor/S 713-2026 karta.png", "S 713-2026")</f>
        <v/>
      </c>
      <c r="Y130">
        <f>HYPERLINK("https://klasma.github.io/Logging_0680/klagomål/S 713-2026 FSC-klagomål.docx", "S 713-2026")</f>
        <v/>
      </c>
      <c r="Z130">
        <f>HYPERLINK("https://klasma.github.io/Logging_0680/klagomålsmail/S 713-2026 FSC-klagomål mail.docx", "S 713-2026")</f>
        <v/>
      </c>
      <c r="AA130">
        <f>HYPERLINK("https://klasma.github.io/Logging_0680/tillsyn/S 713-2026 tillsynsbegäran.docx", "S 713-2026")</f>
        <v/>
      </c>
      <c r="AB130">
        <f>HYPERLINK("https://klasma.github.io/Logging_0680/tillsynsmail/S 713-2026 tillsynsbegäran mail.docx", "S 713-2026")</f>
        <v/>
      </c>
    </row>
    <row r="131" ht="15" customHeight="1">
      <c r="A131" t="inlineStr">
        <is>
          <t>A 60720-2021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46216</v>
      </c>
      <c r="F131" t="inlineStr">
        <is>
          <t>JÖNKÖPINGS LÄN</t>
        </is>
      </c>
      <c r="G131" t="inlineStr">
        <is>
          <t>JÖNKÖPING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38082-2021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44404</v>
      </c>
      <c r="E132" s="1" t="n">
        <v>46216</v>
      </c>
      <c r="F132" t="inlineStr">
        <is>
          <t>JÖNKÖPINGS LÄN</t>
        </is>
      </c>
      <c r="G132" t="inlineStr">
        <is>
          <t>JÖNKÖPING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38083-2021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44404</v>
      </c>
      <c r="E133" s="1" t="n">
        <v>46216</v>
      </c>
      <c r="F133" t="inlineStr">
        <is>
          <t>JÖNKÖPINGS LÄN</t>
        </is>
      </c>
      <c r="G133" t="inlineStr">
        <is>
          <t>JÖNKÖPING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44575</v>
      </c>
      <c r="E134" s="1" t="n">
        <v>46216</v>
      </c>
      <c r="F134" t="inlineStr">
        <is>
          <t>JÖNKÖPINGS LÄN</t>
        </is>
      </c>
      <c r="G134" t="inlineStr">
        <is>
          <t>JÖNKÖPING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15602-2022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46216</v>
      </c>
      <c r="F135" t="inlineStr">
        <is>
          <t>JÖNKÖPINGS LÄN</t>
        </is>
      </c>
      <c r="G135" t="inlineStr">
        <is>
          <t>JÖNKÖPING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46216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28910-2022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46216</v>
      </c>
      <c r="F137" t="inlineStr">
        <is>
          <t>JÖNKÖPINGS LÄN</t>
        </is>
      </c>
      <c r="G137" t="inlineStr">
        <is>
          <t>JÖNKÖPING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28907-2022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46216</v>
      </c>
      <c r="F138" t="inlineStr">
        <is>
          <t>JÖNKÖPINGS LÄN</t>
        </is>
      </c>
      <c r="G138" t="inlineStr">
        <is>
          <t>JÖNKÖPING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34405-2022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46216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38865-2021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44411</v>
      </c>
      <c r="E140" s="1" t="n">
        <v>46216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46430-2021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46216</v>
      </c>
      <c r="F141" t="inlineStr">
        <is>
          <t>JÖNKÖPINGS LÄN</t>
        </is>
      </c>
      <c r="G141" t="inlineStr">
        <is>
          <t>JÖNKÖPING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46216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46216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46216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40745-2021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44420</v>
      </c>
      <c r="E145" s="1" t="n">
        <v>46216</v>
      </c>
      <c r="F145" t="inlineStr">
        <is>
          <t>JÖNKÖPINGS LÄN</t>
        </is>
      </c>
      <c r="G145" t="inlineStr">
        <is>
          <t>JÖNKÖPING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38081-2021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44404</v>
      </c>
      <c r="E146" s="1" t="n">
        <v>46216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46216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46216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46216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46216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57933-2021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44487</v>
      </c>
      <c r="E151" s="1" t="n">
        <v>46216</v>
      </c>
      <c r="F151" t="inlineStr">
        <is>
          <t>JÖNKÖPINGS LÄN</t>
        </is>
      </c>
      <c r="G151" t="inlineStr">
        <is>
          <t>JÖNKÖPING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57934-2021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46216</v>
      </c>
      <c r="F152" t="inlineStr">
        <is>
          <t>JÖNKÖPINGS LÄN</t>
        </is>
      </c>
      <c r="G152" t="inlineStr">
        <is>
          <t>JÖNKÖPING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46216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46216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46216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46216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46216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55825-2021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46216</v>
      </c>
      <c r="F158" t="inlineStr">
        <is>
          <t>JÖNKÖPINGS LÄN</t>
        </is>
      </c>
      <c r="G158" t="inlineStr">
        <is>
          <t>JÖNKÖPING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47822-2022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44855</v>
      </c>
      <c r="E159" s="1" t="n">
        <v>46216</v>
      </c>
      <c r="F159" t="inlineStr">
        <is>
          <t>JÖNKÖPINGS LÄN</t>
        </is>
      </c>
      <c r="G159" t="inlineStr">
        <is>
          <t>JÖNKÖPING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64610-2021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44511</v>
      </c>
      <c r="E160" s="1" t="n">
        <v>46216</v>
      </c>
      <c r="F160" t="inlineStr">
        <is>
          <t>JÖNKÖPINGS LÄN</t>
        </is>
      </c>
      <c r="G160" t="inlineStr">
        <is>
          <t>JÖNKÖPING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44466</v>
      </c>
      <c r="E161" s="1" t="n">
        <v>46216</v>
      </c>
      <c r="F161" t="inlineStr">
        <is>
          <t>JÖNKÖPINGS LÄN</t>
        </is>
      </c>
      <c r="G161" t="inlineStr">
        <is>
          <t>JÖNKÖPING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45592-2021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44440</v>
      </c>
      <c r="E162" s="1" t="n">
        <v>46216</v>
      </c>
      <c r="F162" t="inlineStr">
        <is>
          <t>JÖNKÖPINGS LÄN</t>
        </is>
      </c>
      <c r="G162" t="inlineStr">
        <is>
          <t>JÖNKÖPING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45340-2022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44840</v>
      </c>
      <c r="E163" s="1" t="n">
        <v>46216</v>
      </c>
      <c r="F163" t="inlineStr">
        <is>
          <t>JÖNKÖPINGS LÄN</t>
        </is>
      </c>
      <c r="G163" t="inlineStr">
        <is>
          <t>JÖNKÖPING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50003-2021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44456</v>
      </c>
      <c r="E164" s="1" t="n">
        <v>46216</v>
      </c>
      <c r="F164" t="inlineStr">
        <is>
          <t>JÖNKÖPINGS LÄN</t>
        </is>
      </c>
      <c r="G164" t="inlineStr">
        <is>
          <t>JÖNKÖPING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70546-2021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44537</v>
      </c>
      <c r="E165" s="1" t="n">
        <v>46216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55968-2021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46216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46216</v>
      </c>
      <c r="F167" t="inlineStr">
        <is>
          <t>JÖNKÖPINGS LÄN</t>
        </is>
      </c>
      <c r="G167" t="inlineStr">
        <is>
          <t>JÖNKÖPING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21897-2022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46216</v>
      </c>
      <c r="F168" t="inlineStr">
        <is>
          <t>JÖNKÖPINGS LÄN</t>
        </is>
      </c>
      <c r="G168" t="inlineStr">
        <is>
          <t>JÖNKÖPING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15368-2022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46216</v>
      </c>
      <c r="F169" t="inlineStr">
        <is>
          <t>JÖNKÖPINGS LÄN</t>
        </is>
      </c>
      <c r="G169" t="inlineStr">
        <is>
          <t>JÖNKÖPING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15383-2022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46216</v>
      </c>
      <c r="F170" t="inlineStr">
        <is>
          <t>JÖNKÖPINGS LÄN</t>
        </is>
      </c>
      <c r="G170" t="inlineStr">
        <is>
          <t>JÖNKÖPING</t>
        </is>
      </c>
      <c r="H170" t="inlineStr">
        <is>
          <t>Sveaskog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49292-2021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44454</v>
      </c>
      <c r="E171" s="1" t="n">
        <v>46216</v>
      </c>
      <c r="F171" t="inlineStr">
        <is>
          <t>JÖNKÖPINGS LÄN</t>
        </is>
      </c>
      <c r="G171" t="inlineStr">
        <is>
          <t>JÖNKÖPING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2323-2022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46216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54822-2021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44474</v>
      </c>
      <c r="E173" s="1" t="n">
        <v>46216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44579</v>
      </c>
      <c r="E174" s="1" t="n">
        <v>46216</v>
      </c>
      <c r="F174" t="inlineStr">
        <is>
          <t>JÖNKÖPINGS LÄN</t>
        </is>
      </c>
      <c r="G174" t="inlineStr">
        <is>
          <t>JÖNKÖPING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74120-2021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44557</v>
      </c>
      <c r="E175" s="1" t="n">
        <v>46216</v>
      </c>
      <c r="F175" t="inlineStr">
        <is>
          <t>JÖNKÖPINGS LÄN</t>
        </is>
      </c>
      <c r="G175" t="inlineStr">
        <is>
          <t>JÖNKÖPING</t>
        </is>
      </c>
      <c r="I175" t="n">
        <v>10.8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9248-2022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44616</v>
      </c>
      <c r="E176" s="1" t="n">
        <v>46216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52340-2021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46216</v>
      </c>
      <c r="F177" t="inlineStr">
        <is>
          <t>JÖNKÖPINGS LÄN</t>
        </is>
      </c>
      <c r="G177" t="inlineStr">
        <is>
          <t>JÖNKÖPING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46216</v>
      </c>
      <c r="F178" t="inlineStr">
        <is>
          <t>JÖNKÖPINGS LÄN</t>
        </is>
      </c>
      <c r="G178" t="inlineStr">
        <is>
          <t>JÖNKÖPING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42710-2021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46216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44575</v>
      </c>
      <c r="E180" s="1" t="n">
        <v>46216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42724-2021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44428</v>
      </c>
      <c r="E181" s="1" t="n">
        <v>46216</v>
      </c>
      <c r="F181" t="inlineStr">
        <is>
          <t>JÖNKÖPINGS LÄN</t>
        </is>
      </c>
      <c r="G181" t="inlineStr">
        <is>
          <t>JÖNKÖPING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39718-2022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46216</v>
      </c>
      <c r="F182" t="inlineStr">
        <is>
          <t>JÖNKÖPINGS LÄN</t>
        </is>
      </c>
      <c r="G182" t="inlineStr">
        <is>
          <t>JÖNKÖPING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39719-2022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46216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67306-2021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44523</v>
      </c>
      <c r="E184" s="1" t="n">
        <v>46216</v>
      </c>
      <c r="F184" t="inlineStr">
        <is>
          <t>JÖNKÖPINGS LÄN</t>
        </is>
      </c>
      <c r="G184" t="inlineStr">
        <is>
          <t>JÖNKÖPING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45957-2022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44846</v>
      </c>
      <c r="E185" s="1" t="n">
        <v>46216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7176-2022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44605</v>
      </c>
      <c r="E186" s="1" t="n">
        <v>46216</v>
      </c>
      <c r="F186" t="inlineStr">
        <is>
          <t>JÖNKÖPINGS LÄN</t>
        </is>
      </c>
      <c r="G186" t="inlineStr">
        <is>
          <t>JÖNKÖPING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11039-2022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44628</v>
      </c>
      <c r="E187" s="1" t="n">
        <v>46216</v>
      </c>
      <c r="F187" t="inlineStr">
        <is>
          <t>JÖNKÖPINGS LÄN</t>
        </is>
      </c>
      <c r="G187" t="inlineStr">
        <is>
          <t>JÖNKÖPING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21923-2022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46216</v>
      </c>
      <c r="F188" t="inlineStr">
        <is>
          <t>JÖNKÖPINGS LÄN</t>
        </is>
      </c>
      <c r="G188" t="inlineStr">
        <is>
          <t>JÖNKÖPING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44780-2022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46216</v>
      </c>
      <c r="F189" t="inlineStr">
        <is>
          <t>JÖNKÖPINGS LÄN</t>
        </is>
      </c>
      <c r="G189" t="inlineStr">
        <is>
          <t>JÖNKÖPING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53027-2021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44467</v>
      </c>
      <c r="E190" s="1" t="n">
        <v>46216</v>
      </c>
      <c r="F190" t="inlineStr">
        <is>
          <t>JÖNKÖPINGS LÄN</t>
        </is>
      </c>
      <c r="G190" t="inlineStr">
        <is>
          <t>JÖNKÖPING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34408-2022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44792</v>
      </c>
      <c r="E191" s="1" t="n">
        <v>46216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39148-2021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44412</v>
      </c>
      <c r="E192" s="1" t="n">
        <v>46216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42242-2022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46216</v>
      </c>
      <c r="F193" t="inlineStr">
        <is>
          <t>JÖNKÖPINGS LÄN</t>
        </is>
      </c>
      <c r="G193" t="inlineStr">
        <is>
          <t>JÖNKÖPING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33259-2022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44787</v>
      </c>
      <c r="E194" s="1" t="n">
        <v>46216</v>
      </c>
      <c r="F194" t="inlineStr">
        <is>
          <t>JÖNKÖPINGS LÄN</t>
        </is>
      </c>
      <c r="G194" t="inlineStr">
        <is>
          <t>JÖNKÖPING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40919-2022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44825</v>
      </c>
      <c r="E195" s="1" t="n">
        <v>46216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8829-2022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44614</v>
      </c>
      <c r="E196" s="1" t="n">
        <v>46216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Kyrkan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3314-2022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44585</v>
      </c>
      <c r="E197" s="1" t="n">
        <v>46216</v>
      </c>
      <c r="F197" t="inlineStr">
        <is>
          <t>JÖNKÖPINGS LÄN</t>
        </is>
      </c>
      <c r="G197" t="inlineStr">
        <is>
          <t>JÖNKÖPING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21944-2022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44711</v>
      </c>
      <c r="E198" s="1" t="n">
        <v>46216</v>
      </c>
      <c r="F198" t="inlineStr">
        <is>
          <t>JÖNKÖPINGS LÄN</t>
        </is>
      </c>
      <c r="G198" t="inlineStr">
        <is>
          <t>JÖNKÖPING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44579</v>
      </c>
      <c r="E199" s="1" t="n">
        <v>46216</v>
      </c>
      <c r="F199" t="inlineStr">
        <is>
          <t>JÖNKÖPINGS LÄN</t>
        </is>
      </c>
      <c r="G199" t="inlineStr">
        <is>
          <t>JÖNKÖPING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58645-2021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44488</v>
      </c>
      <c r="E200" s="1" t="n">
        <v>46216</v>
      </c>
      <c r="F200" t="inlineStr">
        <is>
          <t>JÖNKÖPINGS LÄN</t>
        </is>
      </c>
      <c r="G200" t="inlineStr">
        <is>
          <t>JÖNKÖPING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52342-2021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44464</v>
      </c>
      <c r="E201" s="1" t="n">
        <v>46216</v>
      </c>
      <c r="F201" t="inlineStr">
        <is>
          <t>JÖNKÖPINGS LÄN</t>
        </is>
      </c>
      <c r="G201" t="inlineStr">
        <is>
          <t>JÖNKÖPING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5736-2022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44596</v>
      </c>
      <c r="E202" s="1" t="n">
        <v>46216</v>
      </c>
      <c r="F202" t="inlineStr">
        <is>
          <t>JÖNKÖPINGS LÄN</t>
        </is>
      </c>
      <c r="G202" t="inlineStr">
        <is>
          <t>JÖNKÖPING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61253-2021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44498</v>
      </c>
      <c r="E203" s="1" t="n">
        <v>46216</v>
      </c>
      <c r="F203" t="inlineStr">
        <is>
          <t>JÖNKÖPINGS LÄN</t>
        </is>
      </c>
      <c r="G203" t="inlineStr">
        <is>
          <t>JÖNKÖPING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69558-2021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44532</v>
      </c>
      <c r="E204" s="1" t="n">
        <v>46216</v>
      </c>
      <c r="F204" t="inlineStr">
        <is>
          <t>JÖNKÖPINGS LÄN</t>
        </is>
      </c>
      <c r="G204" t="inlineStr">
        <is>
          <t>JÖNKÖPING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44593</v>
      </c>
      <c r="E205" s="1" t="n">
        <v>46216</v>
      </c>
      <c r="F205" t="inlineStr">
        <is>
          <t>JÖNKÖPINGS LÄN</t>
        </is>
      </c>
      <c r="G205" t="inlineStr">
        <is>
          <t>JÖNKÖPING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25065-2022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44729</v>
      </c>
      <c r="E206" s="1" t="n">
        <v>46216</v>
      </c>
      <c r="F206" t="inlineStr">
        <is>
          <t>JÖNKÖPINGS LÄN</t>
        </is>
      </c>
      <c r="G206" t="inlineStr">
        <is>
          <t>JÖNKÖPING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36861-2022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44805</v>
      </c>
      <c r="E207" s="1" t="n">
        <v>46216</v>
      </c>
      <c r="F207" t="inlineStr">
        <is>
          <t>JÖNKÖPINGS LÄN</t>
        </is>
      </c>
      <c r="G207" t="inlineStr">
        <is>
          <t>JÖNKÖPING</t>
        </is>
      </c>
      <c r="H207" t="inlineStr">
        <is>
          <t>Sveaskog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37851-2022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44811</v>
      </c>
      <c r="E208" s="1" t="n">
        <v>46216</v>
      </c>
      <c r="F208" t="inlineStr">
        <is>
          <t>JÖNKÖPINGS LÄN</t>
        </is>
      </c>
      <c r="G208" t="inlineStr">
        <is>
          <t>JÖNKÖPING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47314-2022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44853</v>
      </c>
      <c r="E209" s="1" t="n">
        <v>46216</v>
      </c>
      <c r="F209" t="inlineStr">
        <is>
          <t>JÖNKÖPINGS LÄN</t>
        </is>
      </c>
      <c r="G209" t="inlineStr">
        <is>
          <t>JÖNKÖPING</t>
        </is>
      </c>
      <c r="H209" t="inlineStr">
        <is>
          <t>Kyrkan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20388-2024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45435</v>
      </c>
      <c r="E210" s="1" t="n">
        <v>46216</v>
      </c>
      <c r="F210" t="inlineStr">
        <is>
          <t>JÖNKÖPINGS LÄN</t>
        </is>
      </c>
      <c r="G210" t="inlineStr">
        <is>
          <t>JÖNKÖPING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62892-2023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45272</v>
      </c>
      <c r="E211" s="1" t="n">
        <v>46216</v>
      </c>
      <c r="F211" t="inlineStr">
        <is>
          <t>JÖNKÖPINGS LÄN</t>
        </is>
      </c>
      <c r="G211" t="inlineStr">
        <is>
          <t>JÖNKÖPING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21935-2022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44711</v>
      </c>
      <c r="E212" s="1" t="n">
        <v>46216</v>
      </c>
      <c r="F212" t="inlineStr">
        <is>
          <t>JÖNKÖPINGS LÄN</t>
        </is>
      </c>
      <c r="G212" t="inlineStr">
        <is>
          <t>JÖNKÖPING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54431-2024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46216</v>
      </c>
      <c r="F213" t="inlineStr">
        <is>
          <t>JÖNKÖPINGS LÄN</t>
        </is>
      </c>
      <c r="G213" t="inlineStr">
        <is>
          <t>JÖNKÖPING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31383-2023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45114</v>
      </c>
      <c r="E214" s="1" t="n">
        <v>46216</v>
      </c>
      <c r="F214" t="inlineStr">
        <is>
          <t>JÖNKÖPINGS LÄN</t>
        </is>
      </c>
      <c r="G214" t="inlineStr">
        <is>
          <t>JÖNKÖPING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18771-2025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45764</v>
      </c>
      <c r="E215" s="1" t="n">
        <v>46216</v>
      </c>
      <c r="F215" t="inlineStr">
        <is>
          <t>JÖNKÖPINGS LÄN</t>
        </is>
      </c>
      <c r="G215" t="inlineStr">
        <is>
          <t>JÖNKÖPING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26397-2024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45469</v>
      </c>
      <c r="E216" s="1" t="n">
        <v>46216</v>
      </c>
      <c r="F216" t="inlineStr">
        <is>
          <t>JÖNKÖPINGS LÄN</t>
        </is>
      </c>
      <c r="G216" t="inlineStr">
        <is>
          <t>JÖNKÖPING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14372-2023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45012</v>
      </c>
      <c r="E217" s="1" t="n">
        <v>46216</v>
      </c>
      <c r="F217" t="inlineStr">
        <is>
          <t>JÖNKÖPINGS LÄN</t>
        </is>
      </c>
      <c r="G217" t="inlineStr">
        <is>
          <t>JÖNKÖPING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15567-2025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45747</v>
      </c>
      <c r="E218" s="1" t="n">
        <v>46216</v>
      </c>
      <c r="F218" t="inlineStr">
        <is>
          <t>JÖNKÖPINGS LÄN</t>
        </is>
      </c>
      <c r="G218" t="inlineStr">
        <is>
          <t>JÖNKÖPING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15766-2024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45404</v>
      </c>
      <c r="E219" s="1" t="n">
        <v>46216</v>
      </c>
      <c r="F219" t="inlineStr">
        <is>
          <t>JÖNKÖPINGS LÄN</t>
        </is>
      </c>
      <c r="G219" t="inlineStr">
        <is>
          <t>JÖNKÖPING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6077-2025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45697</v>
      </c>
      <c r="E220" s="1" t="n">
        <v>46216</v>
      </c>
      <c r="F220" t="inlineStr">
        <is>
          <t>JÖNKÖPINGS LÄN</t>
        </is>
      </c>
      <c r="G220" t="inlineStr">
        <is>
          <t>JÖNKÖPING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40291-2023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45169</v>
      </c>
      <c r="E221" s="1" t="n">
        <v>46216</v>
      </c>
      <c r="F221" t="inlineStr">
        <is>
          <t>JÖNKÖPINGS LÄN</t>
        </is>
      </c>
      <c r="G221" t="inlineStr">
        <is>
          <t>JÖNKÖPING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19388-2023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45048</v>
      </c>
      <c r="E222" s="1" t="n">
        <v>46216</v>
      </c>
      <c r="F222" t="inlineStr">
        <is>
          <t>JÖNKÖPINGS LÄN</t>
        </is>
      </c>
      <c r="G222" t="inlineStr">
        <is>
          <t>JÖNKÖPING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51643-2024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45605</v>
      </c>
      <c r="E223" s="1" t="n">
        <v>46216</v>
      </c>
      <c r="F223" t="inlineStr">
        <is>
          <t>JÖNKÖPINGS LÄN</t>
        </is>
      </c>
      <c r="G223" t="inlineStr">
        <is>
          <t>JÖNKÖPING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36346-2023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45152</v>
      </c>
      <c r="E224" s="1" t="n">
        <v>46216</v>
      </c>
      <c r="F224" t="inlineStr">
        <is>
          <t>JÖNKÖPINGS LÄN</t>
        </is>
      </c>
      <c r="G224" t="inlineStr">
        <is>
          <t>JÖNKÖPING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30489-2023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45111</v>
      </c>
      <c r="E225" s="1" t="n">
        <v>46216</v>
      </c>
      <c r="F225" t="inlineStr">
        <is>
          <t>JÖNKÖPINGS LÄN</t>
        </is>
      </c>
      <c r="G225" t="inlineStr">
        <is>
          <t>JÖNKÖPING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11052-2022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44628</v>
      </c>
      <c r="E226" s="1" t="n">
        <v>46216</v>
      </c>
      <c r="F226" t="inlineStr">
        <is>
          <t>JÖNKÖPINGS LÄN</t>
        </is>
      </c>
      <c r="G226" t="inlineStr">
        <is>
          <t>JÖNKÖPING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44589</v>
      </c>
      <c r="E227" s="1" t="n">
        <v>46216</v>
      </c>
      <c r="F227" t="inlineStr">
        <is>
          <t>JÖNKÖPINGS LÄN</t>
        </is>
      </c>
      <c r="G227" t="inlineStr">
        <is>
          <t>JÖNKÖPING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35109-2023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45145</v>
      </c>
      <c r="E228" s="1" t="n">
        <v>46216</v>
      </c>
      <c r="F228" t="inlineStr">
        <is>
          <t>JÖNKÖPINGS LÄN</t>
        </is>
      </c>
      <c r="G228" t="inlineStr">
        <is>
          <t>JÖNKÖPING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1856-2024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45307</v>
      </c>
      <c r="E229" s="1" t="n">
        <v>46216</v>
      </c>
      <c r="F229" t="inlineStr">
        <is>
          <t>JÖNKÖPINGS LÄN</t>
        </is>
      </c>
      <c r="G229" t="inlineStr">
        <is>
          <t>JÖNKÖPING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11284-2025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45726</v>
      </c>
      <c r="E230" s="1" t="n">
        <v>46216</v>
      </c>
      <c r="F230" t="inlineStr">
        <is>
          <t>JÖNKÖPINGS LÄN</t>
        </is>
      </c>
      <c r="G230" t="inlineStr">
        <is>
          <t>JÖNKÖPING</t>
        </is>
      </c>
      <c r="H230" t="inlineStr">
        <is>
          <t>Övriga Aktiebolag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12092-2023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44998</v>
      </c>
      <c r="E231" s="1" t="n">
        <v>46216</v>
      </c>
      <c r="F231" t="inlineStr">
        <is>
          <t>JÖNKÖPINGS LÄN</t>
        </is>
      </c>
      <c r="G231" t="inlineStr">
        <is>
          <t>JÖNKÖPING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55168-2024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45621</v>
      </c>
      <c r="E232" s="1" t="n">
        <v>46216</v>
      </c>
      <c r="F232" t="inlineStr">
        <is>
          <t>JÖNKÖPINGS LÄN</t>
        </is>
      </c>
      <c r="G232" t="inlineStr">
        <is>
          <t>JÖNKÖPING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55171-2024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45621</v>
      </c>
      <c r="E233" s="1" t="n">
        <v>46216</v>
      </c>
      <c r="F233" t="inlineStr">
        <is>
          <t>JÖNKÖPINGS LÄN</t>
        </is>
      </c>
      <c r="G233" t="inlineStr">
        <is>
          <t>JÖNKÖPING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14397-2023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45012</v>
      </c>
      <c r="E234" s="1" t="n">
        <v>46216</v>
      </c>
      <c r="F234" t="inlineStr">
        <is>
          <t>JÖNKÖPINGS LÄN</t>
        </is>
      </c>
      <c r="G234" t="inlineStr">
        <is>
          <t>JÖNKÖPING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15884-2024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45405</v>
      </c>
      <c r="E235" s="1" t="n">
        <v>46216</v>
      </c>
      <c r="F235" t="inlineStr">
        <is>
          <t>JÖNKÖPINGS LÄN</t>
        </is>
      </c>
      <c r="G235" t="inlineStr">
        <is>
          <t>JÖNKÖPING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15886-2024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45405</v>
      </c>
      <c r="E236" s="1" t="n">
        <v>46216</v>
      </c>
      <c r="F236" t="inlineStr">
        <is>
          <t>JÖNKÖPINGS LÄN</t>
        </is>
      </c>
      <c r="G236" t="inlineStr">
        <is>
          <t>JÖNKÖPING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281-2024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45295</v>
      </c>
      <c r="E237" s="1" t="n">
        <v>46216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26441-2023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45092</v>
      </c>
      <c r="E238" s="1" t="n">
        <v>46216</v>
      </c>
      <c r="F238" t="inlineStr">
        <is>
          <t>JÖNKÖPINGS LÄN</t>
        </is>
      </c>
      <c r="G238" t="inlineStr">
        <is>
          <t>JÖNKÖPING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55260-2024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45621</v>
      </c>
      <c r="E239" s="1" t="n">
        <v>46216</v>
      </c>
      <c r="F239" t="inlineStr">
        <is>
          <t>JÖNKÖPINGS LÄN</t>
        </is>
      </c>
      <c r="G239" t="inlineStr">
        <is>
          <t>JÖNKÖPING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14078-2024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45392</v>
      </c>
      <c r="E240" s="1" t="n">
        <v>46216</v>
      </c>
      <c r="F240" t="inlineStr">
        <is>
          <t>JÖNKÖPINGS LÄN</t>
        </is>
      </c>
      <c r="G240" t="inlineStr">
        <is>
          <t>JÖNKÖPING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44943</v>
      </c>
      <c r="E241" s="1" t="n">
        <v>46216</v>
      </c>
      <c r="F241" t="inlineStr">
        <is>
          <t>JÖNKÖPINGS LÄN</t>
        </is>
      </c>
      <c r="G241" t="inlineStr">
        <is>
          <t>JÖNKÖPING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61127-2024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45645</v>
      </c>
      <c r="E242" s="1" t="n">
        <v>46216</v>
      </c>
      <c r="F242" t="inlineStr">
        <is>
          <t>JÖNKÖPINGS LÄN</t>
        </is>
      </c>
      <c r="G242" t="inlineStr">
        <is>
          <t>JÖNKÖPING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17381-2025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45757</v>
      </c>
      <c r="E243" s="1" t="n">
        <v>46216</v>
      </c>
      <c r="F243" t="inlineStr">
        <is>
          <t>JÖNKÖPINGS LÄN</t>
        </is>
      </c>
      <c r="G243" t="inlineStr">
        <is>
          <t>JÖNKÖPING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2513-2023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44943</v>
      </c>
      <c r="E244" s="1" t="n">
        <v>46216</v>
      </c>
      <c r="F244" t="inlineStr">
        <is>
          <t>JÖNKÖPINGS LÄN</t>
        </is>
      </c>
      <c r="G244" t="inlineStr">
        <is>
          <t>JÖNKÖPING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1752-2023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44938</v>
      </c>
      <c r="E245" s="1" t="n">
        <v>46216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Kyrkan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59370-2023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45253</v>
      </c>
      <c r="E246" s="1" t="n">
        <v>46216</v>
      </c>
      <c r="F246" t="inlineStr">
        <is>
          <t>JÖNKÖPINGS LÄN</t>
        </is>
      </c>
      <c r="G246" t="inlineStr">
        <is>
          <t>JÖNKÖPING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5291-2024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45331</v>
      </c>
      <c r="E247" s="1" t="n">
        <v>46216</v>
      </c>
      <c r="F247" t="inlineStr">
        <is>
          <t>JÖNKÖPINGS LÄN</t>
        </is>
      </c>
      <c r="G247" t="inlineStr">
        <is>
          <t>JÖNKÖPING</t>
        </is>
      </c>
      <c r="I247" t="n">
        <v>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44696-2023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45184</v>
      </c>
      <c r="E248" s="1" t="n">
        <v>46216</v>
      </c>
      <c r="F248" t="inlineStr">
        <is>
          <t>JÖNKÖPINGS LÄN</t>
        </is>
      </c>
      <c r="G248" t="inlineStr">
        <is>
          <t>JÖNKÖPING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31518-2023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45116</v>
      </c>
      <c r="E249" s="1" t="n">
        <v>46216</v>
      </c>
      <c r="F249" t="inlineStr">
        <is>
          <t>JÖNKÖPINGS LÄN</t>
        </is>
      </c>
      <c r="G249" t="inlineStr">
        <is>
          <t>JÖNKÖPING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3381-2023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44949</v>
      </c>
      <c r="E250" s="1" t="n">
        <v>46216</v>
      </c>
      <c r="F250" t="inlineStr">
        <is>
          <t>JÖNKÖPINGS LÄN</t>
        </is>
      </c>
      <c r="G250" t="inlineStr">
        <is>
          <t>JÖNKÖPING</t>
        </is>
      </c>
      <c r="I250" t="n">
        <v>14.5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38225-2024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45545</v>
      </c>
      <c r="E251" s="1" t="n">
        <v>46216</v>
      </c>
      <c r="F251" t="inlineStr">
        <is>
          <t>JÖNKÖPINGS LÄN</t>
        </is>
      </c>
      <c r="G251" t="inlineStr">
        <is>
          <t>JÖNKÖPING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59195-2022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44904</v>
      </c>
      <c r="E252" s="1" t="n">
        <v>46216</v>
      </c>
      <c r="F252" t="inlineStr">
        <is>
          <t>JÖNKÖPINGS LÄN</t>
        </is>
      </c>
      <c r="G252" t="inlineStr">
        <is>
          <t>JÖNKÖPING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59269-2022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44904</v>
      </c>
      <c r="E253" s="1" t="n">
        <v>46216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Kommuner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59293-2022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46216</v>
      </c>
      <c r="F254" t="inlineStr">
        <is>
          <t>JÖNKÖPINGS LÄN</t>
        </is>
      </c>
      <c r="G254" t="inlineStr">
        <is>
          <t>JÖNKÖPING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59294-2022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44904</v>
      </c>
      <c r="E255" s="1" t="n">
        <v>46216</v>
      </c>
      <c r="F255" t="inlineStr">
        <is>
          <t>JÖNKÖPINGS LÄN</t>
        </is>
      </c>
      <c r="G255" t="inlineStr">
        <is>
          <t>JÖNKÖPING</t>
        </is>
      </c>
      <c r="H255" t="inlineStr">
        <is>
          <t>Kommuner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57095-2021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44482</v>
      </c>
      <c r="E256" s="1" t="n">
        <v>46216</v>
      </c>
      <c r="F256" t="inlineStr">
        <is>
          <t>JÖNKÖPINGS LÄN</t>
        </is>
      </c>
      <c r="G256" t="inlineStr">
        <is>
          <t>JÖNKÖPING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49379-2022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44861</v>
      </c>
      <c r="E257" s="1" t="n">
        <v>46216</v>
      </c>
      <c r="F257" t="inlineStr">
        <is>
          <t>JÖNKÖPINGS LÄN</t>
        </is>
      </c>
      <c r="G257" t="inlineStr">
        <is>
          <t>JÖNKÖPING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49396-2022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44861</v>
      </c>
      <c r="E258" s="1" t="n">
        <v>46216</v>
      </c>
      <c r="F258" t="inlineStr">
        <is>
          <t>JÖNKÖPINGS LÄN</t>
        </is>
      </c>
      <c r="G258" t="inlineStr">
        <is>
          <t>JÖNKÖPING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15605-2022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44662</v>
      </c>
      <c r="E259" s="1" t="n">
        <v>46216</v>
      </c>
      <c r="F259" t="inlineStr">
        <is>
          <t>JÖNKÖPINGS LÄN</t>
        </is>
      </c>
      <c r="G259" t="inlineStr">
        <is>
          <t>JÖNKÖPING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11561-2025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45727</v>
      </c>
      <c r="E260" s="1" t="n">
        <v>46216</v>
      </c>
      <c r="F260" t="inlineStr">
        <is>
          <t>JÖNKÖPINGS LÄN</t>
        </is>
      </c>
      <c r="G260" t="inlineStr">
        <is>
          <t>JÖNKÖPING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16184-2024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45406</v>
      </c>
      <c r="E261" s="1" t="n">
        <v>46216</v>
      </c>
      <c r="F261" t="inlineStr">
        <is>
          <t>JÖNKÖPINGS LÄN</t>
        </is>
      </c>
      <c r="G261" t="inlineStr">
        <is>
          <t>JÖNKÖPING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38901-2025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45887</v>
      </c>
      <c r="E262" s="1" t="n">
        <v>46216</v>
      </c>
      <c r="F262" t="inlineStr">
        <is>
          <t>JÖNKÖPINGS LÄN</t>
        </is>
      </c>
      <c r="G262" t="inlineStr">
        <is>
          <t>JÖNKÖPING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24146-2024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45456</v>
      </c>
      <c r="E263" s="1" t="n">
        <v>46216</v>
      </c>
      <c r="F263" t="inlineStr">
        <is>
          <t>JÖNKÖPINGS LÄN</t>
        </is>
      </c>
      <c r="G263" t="inlineStr">
        <is>
          <t>JÖNKÖPING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13144-2025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45735</v>
      </c>
      <c r="E264" s="1" t="n">
        <v>46216</v>
      </c>
      <c r="F264" t="inlineStr">
        <is>
          <t>JÖNKÖPINGS LÄN</t>
        </is>
      </c>
      <c r="G264" t="inlineStr">
        <is>
          <t>JÖNKÖPING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12933-2025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45734</v>
      </c>
      <c r="E265" s="1" t="n">
        <v>46216</v>
      </c>
      <c r="F265" t="inlineStr">
        <is>
          <t>JÖNKÖPINGS LÄN</t>
        </is>
      </c>
      <c r="G265" t="inlineStr">
        <is>
          <t>JÖNKÖPING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228-2026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46026</v>
      </c>
      <c r="E266" s="1" t="n">
        <v>46216</v>
      </c>
      <c r="F266" t="inlineStr">
        <is>
          <t>JÖNKÖPINGS LÄN</t>
        </is>
      </c>
      <c r="G266" t="inlineStr">
        <is>
          <t>JÖNKÖPING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46026</v>
      </c>
      <c r="E267" s="1" t="n">
        <v>46216</v>
      </c>
      <c r="F267" t="inlineStr">
        <is>
          <t>JÖNKÖPINGS LÄN</t>
        </is>
      </c>
      <c r="G267" t="inlineStr">
        <is>
          <t>JÖNKÖPING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41143-2021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44423</v>
      </c>
      <c r="E268" s="1" t="n">
        <v>46216</v>
      </c>
      <c r="F268" t="inlineStr">
        <is>
          <t>JÖNKÖPINGS LÄN</t>
        </is>
      </c>
      <c r="G268" t="inlineStr">
        <is>
          <t>JÖNKÖPING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55294-2022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44882</v>
      </c>
      <c r="E269" s="1" t="n">
        <v>46216</v>
      </c>
      <c r="F269" t="inlineStr">
        <is>
          <t>JÖNKÖPINGS LÄN</t>
        </is>
      </c>
      <c r="G269" t="inlineStr">
        <is>
          <t>JÖNKÖPING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11255-2023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44992</v>
      </c>
      <c r="E270" s="1" t="n">
        <v>46216</v>
      </c>
      <c r="F270" t="inlineStr">
        <is>
          <t>JÖNKÖPINGS LÄN</t>
        </is>
      </c>
      <c r="G270" t="inlineStr">
        <is>
          <t>JÖNKÖPING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46216</v>
      </c>
      <c r="F271" t="inlineStr">
        <is>
          <t>JÖNKÖPINGS LÄN</t>
        </is>
      </c>
      <c r="G271" t="inlineStr">
        <is>
          <t>JÖNKÖPING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43290-2023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45183</v>
      </c>
      <c r="E272" s="1" t="n">
        <v>46216</v>
      </c>
      <c r="F272" t="inlineStr">
        <is>
          <t>JÖNKÖPINGS LÄN</t>
        </is>
      </c>
      <c r="G272" t="inlineStr">
        <is>
          <t>JÖNKÖPING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26274-2025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45805</v>
      </c>
      <c r="E273" s="1" t="n">
        <v>46216</v>
      </c>
      <c r="F273" t="inlineStr">
        <is>
          <t>JÖNKÖPINGS LÄN</t>
        </is>
      </c>
      <c r="G273" t="inlineStr">
        <is>
          <t>JÖNKÖPING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1241-2026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46216</v>
      </c>
      <c r="F274" t="inlineStr">
        <is>
          <t>JÖNKÖPINGS LÄN</t>
        </is>
      </c>
      <c r="G274" t="inlineStr">
        <is>
          <t>JÖNKÖPING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11700-2024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45373</v>
      </c>
      <c r="E275" s="1" t="n">
        <v>46216</v>
      </c>
      <c r="F275" t="inlineStr">
        <is>
          <t>JÖNKÖPINGS LÄN</t>
        </is>
      </c>
      <c r="G275" t="inlineStr">
        <is>
          <t>JÖNKÖPING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26279-2025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45805</v>
      </c>
      <c r="E276" s="1" t="n">
        <v>46216</v>
      </c>
      <c r="F276" t="inlineStr">
        <is>
          <t>JÖNKÖPINGS LÄN</t>
        </is>
      </c>
      <c r="G276" t="inlineStr">
        <is>
          <t>JÖNKÖPING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858-2022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44571</v>
      </c>
      <c r="E277" s="1" t="n">
        <v>46216</v>
      </c>
      <c r="F277" t="inlineStr">
        <is>
          <t>JÖNKÖPINGS LÄN</t>
        </is>
      </c>
      <c r="G277" t="inlineStr">
        <is>
          <t>JÖNKÖPING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831-2026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46030</v>
      </c>
      <c r="E278" s="1" t="n">
        <v>46216</v>
      </c>
      <c r="F278" t="inlineStr">
        <is>
          <t>JÖNKÖPINGS LÄN</t>
        </is>
      </c>
      <c r="G278" t="inlineStr">
        <is>
          <t>JÖNKÖPING</t>
        </is>
      </c>
      <c r="H278" t="inlineStr">
        <is>
          <t>Sveaskog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1244-2026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46031</v>
      </c>
      <c r="E279" s="1" t="n">
        <v>46216</v>
      </c>
      <c r="F279" t="inlineStr">
        <is>
          <t>JÖNKÖPINGS LÄN</t>
        </is>
      </c>
      <c r="G279" t="inlineStr">
        <is>
          <t>JÖNKÖPING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26358-2025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45806</v>
      </c>
      <c r="E280" s="1" t="n">
        <v>46216</v>
      </c>
      <c r="F280" t="inlineStr">
        <is>
          <t>JÖNKÖPINGS LÄN</t>
        </is>
      </c>
      <c r="G280" t="inlineStr">
        <is>
          <t>JÖNKÖPING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37003-2024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45539</v>
      </c>
      <c r="E281" s="1" t="n">
        <v>46216</v>
      </c>
      <c r="F281" t="inlineStr">
        <is>
          <t>JÖNKÖPINGS LÄN</t>
        </is>
      </c>
      <c r="G281" t="inlineStr">
        <is>
          <t>JÖNKÖPING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49836-2024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45597</v>
      </c>
      <c r="E282" s="1" t="n">
        <v>46216</v>
      </c>
      <c r="F282" t="inlineStr">
        <is>
          <t>JÖNKÖPINGS LÄN</t>
        </is>
      </c>
      <c r="G282" t="inlineStr">
        <is>
          <t>JÖNKÖPING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27134-2025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45811</v>
      </c>
      <c r="E283" s="1" t="n">
        <v>46216</v>
      </c>
      <c r="F283" t="inlineStr">
        <is>
          <t>JÖNKÖPINGS LÄN</t>
        </is>
      </c>
      <c r="G283" t="inlineStr">
        <is>
          <t>JÖNKÖPING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4592-2022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44592</v>
      </c>
      <c r="E284" s="1" t="n">
        <v>46216</v>
      </c>
      <c r="F284" t="inlineStr">
        <is>
          <t>JÖNKÖPINGS LÄN</t>
        </is>
      </c>
      <c r="G284" t="inlineStr">
        <is>
          <t>JÖNKÖPING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38918-2024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45547</v>
      </c>
      <c r="E285" s="1" t="n">
        <v>46216</v>
      </c>
      <c r="F285" t="inlineStr">
        <is>
          <t>JÖNKÖPINGS LÄN</t>
        </is>
      </c>
      <c r="G285" t="inlineStr">
        <is>
          <t>JÖNKÖPING</t>
        </is>
      </c>
      <c r="H285" t="inlineStr">
        <is>
          <t>Sveaskog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23794-2024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45455</v>
      </c>
      <c r="E286" s="1" t="n">
        <v>46216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Sveaskog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43054-2023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45182</v>
      </c>
      <c r="E287" s="1" t="n">
        <v>46216</v>
      </c>
      <c r="F287" t="inlineStr">
        <is>
          <t>JÖNKÖPINGS LÄN</t>
        </is>
      </c>
      <c r="G287" t="inlineStr">
        <is>
          <t>JÖNKÖPING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60557-2024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45643</v>
      </c>
      <c r="E288" s="1" t="n">
        <v>46216</v>
      </c>
      <c r="F288" t="inlineStr">
        <is>
          <t>JÖNKÖPINGS LÄN</t>
        </is>
      </c>
      <c r="G288" t="inlineStr">
        <is>
          <t>JÖNKÖPING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24972-2024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45461</v>
      </c>
      <c r="E289" s="1" t="n">
        <v>46216</v>
      </c>
      <c r="F289" t="inlineStr">
        <is>
          <t>JÖNKÖPINGS LÄN</t>
        </is>
      </c>
      <c r="G289" t="inlineStr">
        <is>
          <t>JÖNKÖPING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42053-2024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45561</v>
      </c>
      <c r="E290" s="1" t="n">
        <v>46216</v>
      </c>
      <c r="F290" t="inlineStr">
        <is>
          <t>JÖNKÖPINGS LÄN</t>
        </is>
      </c>
      <c r="G290" t="inlineStr">
        <is>
          <t>JÖNKÖPING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39957-2025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45892</v>
      </c>
      <c r="E291" s="1" t="n">
        <v>46216</v>
      </c>
      <c r="F291" t="inlineStr">
        <is>
          <t>JÖNKÖPINGS LÄN</t>
        </is>
      </c>
      <c r="G291" t="inlineStr">
        <is>
          <t>JÖNKÖPING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10204-2022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44622</v>
      </c>
      <c r="E292" s="1" t="n">
        <v>46216</v>
      </c>
      <c r="F292" t="inlineStr">
        <is>
          <t>JÖNKÖPINGS LÄN</t>
        </is>
      </c>
      <c r="G292" t="inlineStr">
        <is>
          <t>JÖNKÖPING</t>
        </is>
      </c>
      <c r="I292" t="n">
        <v>9.699999999999999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58351-2022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44893</v>
      </c>
      <c r="E293" s="1" t="n">
        <v>46216</v>
      </c>
      <c r="F293" t="inlineStr">
        <is>
          <t>JÖNKÖPINGS LÄN</t>
        </is>
      </c>
      <c r="G293" t="inlineStr">
        <is>
          <t>JÖNKÖPING</t>
        </is>
      </c>
      <c r="H293" t="inlineStr">
        <is>
          <t>Övriga statliga verk och myndigheter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39953-2025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45892</v>
      </c>
      <c r="E294" s="1" t="n">
        <v>46216</v>
      </c>
      <c r="F294" t="inlineStr">
        <is>
          <t>JÖNKÖPINGS LÄN</t>
        </is>
      </c>
      <c r="G294" t="inlineStr">
        <is>
          <t>JÖNKÖPING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39954-2025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45892</v>
      </c>
      <c r="E295" s="1" t="n">
        <v>46216</v>
      </c>
      <c r="F295" t="inlineStr">
        <is>
          <t>JÖNKÖPINGS LÄN</t>
        </is>
      </c>
      <c r="G295" t="inlineStr">
        <is>
          <t>JÖNKÖPING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17846-2023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45037</v>
      </c>
      <c r="E296" s="1" t="n">
        <v>46216</v>
      </c>
      <c r="F296" t="inlineStr">
        <is>
          <t>JÖNKÖPINGS LÄN</t>
        </is>
      </c>
      <c r="G296" t="inlineStr">
        <is>
          <t>JÖNKÖPING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50192-2024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45600</v>
      </c>
      <c r="E297" s="1" t="n">
        <v>46216</v>
      </c>
      <c r="F297" t="inlineStr">
        <is>
          <t>JÖNKÖPINGS LÄN</t>
        </is>
      </c>
      <c r="G297" t="inlineStr">
        <is>
          <t>JÖNKÖPING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50193-2024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45600</v>
      </c>
      <c r="E298" s="1" t="n">
        <v>46216</v>
      </c>
      <c r="F298" t="inlineStr">
        <is>
          <t>JÖNKÖPINGS LÄN</t>
        </is>
      </c>
      <c r="G298" t="inlineStr">
        <is>
          <t>JÖNKÖPING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1867-2026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46035</v>
      </c>
      <c r="E299" s="1" t="n">
        <v>46216</v>
      </c>
      <c r="F299" t="inlineStr">
        <is>
          <t>JÖNKÖPINGS LÄN</t>
        </is>
      </c>
      <c r="G299" t="inlineStr">
        <is>
          <t>JÖNKÖPING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40248-2025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45895</v>
      </c>
      <c r="E300" s="1" t="n">
        <v>46216</v>
      </c>
      <c r="F300" t="inlineStr">
        <is>
          <t>JÖNKÖPINGS LÄN</t>
        </is>
      </c>
      <c r="G300" t="inlineStr">
        <is>
          <t>JÖNKÖPING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6893-2025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45701</v>
      </c>
      <c r="E301" s="1" t="n">
        <v>46216</v>
      </c>
      <c r="F301" t="inlineStr">
        <is>
          <t>JÖNKÖPINGS LÄN</t>
        </is>
      </c>
      <c r="G301" t="inlineStr">
        <is>
          <t>JÖNKÖPING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11311-2025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45726</v>
      </c>
      <c r="E302" s="1" t="n">
        <v>46216</v>
      </c>
      <c r="F302" t="inlineStr">
        <is>
          <t>JÖNKÖPINGS LÄN</t>
        </is>
      </c>
      <c r="G302" t="inlineStr">
        <is>
          <t>JÖNKÖPING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50168-2023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45215</v>
      </c>
      <c r="E303" s="1" t="n">
        <v>46216</v>
      </c>
      <c r="F303" t="inlineStr">
        <is>
          <t>JÖNKÖPINGS LÄN</t>
        </is>
      </c>
      <c r="G303" t="inlineStr">
        <is>
          <t>JÖNKÖPING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28556-2025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45819</v>
      </c>
      <c r="E304" s="1" t="n">
        <v>46216</v>
      </c>
      <c r="F304" t="inlineStr">
        <is>
          <t>JÖNKÖPINGS LÄN</t>
        </is>
      </c>
      <c r="G304" t="inlineStr">
        <is>
          <t>JÖNKÖPING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41116-2025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45898</v>
      </c>
      <c r="E305" s="1" t="n">
        <v>46216</v>
      </c>
      <c r="F305" t="inlineStr">
        <is>
          <t>JÖNKÖPINGS LÄN</t>
        </is>
      </c>
      <c r="G305" t="inlineStr">
        <is>
          <t>JÖNKÖPING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26108-2024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45468</v>
      </c>
      <c r="E306" s="1" t="n">
        <v>46216</v>
      </c>
      <c r="F306" t="inlineStr">
        <is>
          <t>JÖNKÖPINGS LÄN</t>
        </is>
      </c>
      <c r="G306" t="inlineStr">
        <is>
          <t>JÖNKÖPING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11236-2024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45371</v>
      </c>
      <c r="E307" s="1" t="n">
        <v>46216</v>
      </c>
      <c r="F307" t="inlineStr">
        <is>
          <t>JÖNKÖPINGS LÄN</t>
        </is>
      </c>
      <c r="G307" t="inlineStr">
        <is>
          <t>JÖNKÖPING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41827-2025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45902</v>
      </c>
      <c r="E308" s="1" t="n">
        <v>46216</v>
      </c>
      <c r="F308" t="inlineStr">
        <is>
          <t>JÖNKÖPINGS LÄN</t>
        </is>
      </c>
      <c r="G308" t="inlineStr">
        <is>
          <t>JÖNKÖPING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45682</v>
      </c>
      <c r="E309" s="1" t="n">
        <v>46216</v>
      </c>
      <c r="F309" t="inlineStr">
        <is>
          <t>JÖNKÖPINGS LÄN</t>
        </is>
      </c>
      <c r="G309" t="inlineStr">
        <is>
          <t>JÖNKÖPING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8346-2023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44977</v>
      </c>
      <c r="E310" s="1" t="n">
        <v>46216</v>
      </c>
      <c r="F310" t="inlineStr">
        <is>
          <t>JÖNKÖPINGS LÄN</t>
        </is>
      </c>
      <c r="G310" t="inlineStr">
        <is>
          <t>JÖNKÖPING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42358-2025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46216</v>
      </c>
      <c r="F311" t="inlineStr">
        <is>
          <t>JÖNKÖPINGS LÄN</t>
        </is>
      </c>
      <c r="G311" t="inlineStr">
        <is>
          <t>JÖNKÖPING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30217-2025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45826</v>
      </c>
      <c r="E312" s="1" t="n">
        <v>46216</v>
      </c>
      <c r="F312" t="inlineStr">
        <is>
          <t>JÖNKÖPINGS LÄN</t>
        </is>
      </c>
      <c r="G312" t="inlineStr">
        <is>
          <t>JÖNKÖPING</t>
        </is>
      </c>
      <c r="I312" t="n">
        <v>11.9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54642-2024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45617</v>
      </c>
      <c r="E313" s="1" t="n">
        <v>46216</v>
      </c>
      <c r="F313" t="inlineStr">
        <is>
          <t>JÖNKÖPINGS LÄN</t>
        </is>
      </c>
      <c r="G313" t="inlineStr">
        <is>
          <t>JÖNKÖPING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42922-2025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46216</v>
      </c>
      <c r="F314" t="inlineStr">
        <is>
          <t>JÖNKÖPINGS LÄN</t>
        </is>
      </c>
      <c r="G314" t="inlineStr">
        <is>
          <t>JÖNKÖPING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42924-2025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45908</v>
      </c>
      <c r="E315" s="1" t="n">
        <v>46216</v>
      </c>
      <c r="F315" t="inlineStr">
        <is>
          <t>JÖNKÖPINGS LÄN</t>
        </is>
      </c>
      <c r="G315" t="inlineStr">
        <is>
          <t>JÖNKÖPING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42923-2025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45908</v>
      </c>
      <c r="E316" s="1" t="n">
        <v>46216</v>
      </c>
      <c r="F316" t="inlineStr">
        <is>
          <t>JÖNKÖPINGS LÄN</t>
        </is>
      </c>
      <c r="G316" t="inlineStr">
        <is>
          <t>JÖNKÖPING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42925-2025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45908</v>
      </c>
      <c r="E317" s="1" t="n">
        <v>46216</v>
      </c>
      <c r="F317" t="inlineStr">
        <is>
          <t>JÖNKÖPINGS LÄN</t>
        </is>
      </c>
      <c r="G317" t="inlineStr">
        <is>
          <t>JÖNKÖPING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3427-2022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44585</v>
      </c>
      <c r="E318" s="1" t="n">
        <v>46216</v>
      </c>
      <c r="F318" t="inlineStr">
        <is>
          <t>JÖNKÖPINGS LÄN</t>
        </is>
      </c>
      <c r="G318" t="inlineStr">
        <is>
          <t>JÖNKÖPING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36272-2023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45152</v>
      </c>
      <c r="E319" s="1" t="n">
        <v>46216</v>
      </c>
      <c r="F319" t="inlineStr">
        <is>
          <t>JÖNKÖPINGS LÄN</t>
        </is>
      </c>
      <c r="G319" t="inlineStr">
        <is>
          <t>JÖNKÖPING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5641-2025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45693</v>
      </c>
      <c r="E320" s="1" t="n">
        <v>46216</v>
      </c>
      <c r="F320" t="inlineStr">
        <is>
          <t>JÖNKÖPINGS LÄN</t>
        </is>
      </c>
      <c r="G320" t="inlineStr">
        <is>
          <t>JÖNKÖPING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2038-2026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46216</v>
      </c>
      <c r="F321" t="inlineStr">
        <is>
          <t>JÖNKÖPINGS LÄN</t>
        </is>
      </c>
      <c r="G321" t="inlineStr">
        <is>
          <t>JÖNKÖPING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8185-2024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45351</v>
      </c>
      <c r="E322" s="1" t="n">
        <v>46216</v>
      </c>
      <c r="F322" t="inlineStr">
        <is>
          <t>JÖNKÖPINGS LÄN</t>
        </is>
      </c>
      <c r="G322" t="inlineStr">
        <is>
          <t>JÖNKÖPING</t>
        </is>
      </c>
      <c r="H322" t="inlineStr">
        <is>
          <t>Sveaskog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45976-2022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44846</v>
      </c>
      <c r="E323" s="1" t="n">
        <v>46216</v>
      </c>
      <c r="F323" t="inlineStr">
        <is>
          <t>JÖNKÖPINGS LÄN</t>
        </is>
      </c>
      <c r="G323" t="inlineStr">
        <is>
          <t>JÖNKÖPING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42073-2025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45902</v>
      </c>
      <c r="E324" s="1" t="n">
        <v>46216</v>
      </c>
      <c r="F324" t="inlineStr">
        <is>
          <t>JÖNKÖPINGS LÄN</t>
        </is>
      </c>
      <c r="G324" t="inlineStr">
        <is>
          <t>JÖNKÖPING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17363-2025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45756</v>
      </c>
      <c r="E325" s="1" t="n">
        <v>46216</v>
      </c>
      <c r="F325" t="inlineStr">
        <is>
          <t>JÖNKÖPINGS LÄN</t>
        </is>
      </c>
      <c r="G325" t="inlineStr">
        <is>
          <t>JÖNKÖPING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31046-2024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45502</v>
      </c>
      <c r="E326" s="1" t="n">
        <v>46216</v>
      </c>
      <c r="F326" t="inlineStr">
        <is>
          <t>JÖNKÖPINGS LÄN</t>
        </is>
      </c>
      <c r="G326" t="inlineStr">
        <is>
          <t>JÖNKÖPING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44775-2025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46216</v>
      </c>
      <c r="F327" t="inlineStr">
        <is>
          <t>JÖNKÖPINGS LÄN</t>
        </is>
      </c>
      <c r="G327" t="inlineStr">
        <is>
          <t>JÖNKÖPING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33846-2025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45842</v>
      </c>
      <c r="E328" s="1" t="n">
        <v>46216</v>
      </c>
      <c r="F328" t="inlineStr">
        <is>
          <t>JÖNKÖPINGS LÄN</t>
        </is>
      </c>
      <c r="G328" t="inlineStr">
        <is>
          <t>JÖNKÖPING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59110-2022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44904</v>
      </c>
      <c r="E329" s="1" t="n">
        <v>46216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Kommuner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24329-2025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45797</v>
      </c>
      <c r="E330" s="1" t="n">
        <v>46216</v>
      </c>
      <c r="F330" t="inlineStr">
        <is>
          <t>JÖNKÖPINGS LÄN</t>
        </is>
      </c>
      <c r="G330" t="inlineStr">
        <is>
          <t>JÖNKÖPING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33849-2025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45842</v>
      </c>
      <c r="E331" s="1" t="n">
        <v>46216</v>
      </c>
      <c r="F331" t="inlineStr">
        <is>
          <t>JÖNKÖPINGS LÄN</t>
        </is>
      </c>
      <c r="G331" t="inlineStr">
        <is>
          <t>JÖNKÖPING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33850-2025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45842</v>
      </c>
      <c r="E332" s="1" t="n">
        <v>46216</v>
      </c>
      <c r="F332" t="inlineStr">
        <is>
          <t>JÖNKÖPINGS LÄN</t>
        </is>
      </c>
      <c r="G332" t="inlineStr">
        <is>
          <t>JÖNKÖPING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47401-2024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45587</v>
      </c>
      <c r="E333" s="1" t="n">
        <v>46216</v>
      </c>
      <c r="F333" t="inlineStr">
        <is>
          <t>JÖNKÖPINGS LÄN</t>
        </is>
      </c>
      <c r="G333" t="inlineStr">
        <is>
          <t>JÖNKÖPING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44416-2023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46216</v>
      </c>
      <c r="F334" t="inlineStr">
        <is>
          <t>JÖNKÖPINGS LÄN</t>
        </is>
      </c>
      <c r="G334" t="inlineStr">
        <is>
          <t>JÖNKÖPING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34600-2025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45846</v>
      </c>
      <c r="E335" s="1" t="n">
        <v>46216</v>
      </c>
      <c r="F335" t="inlineStr">
        <is>
          <t>JÖNKÖPINGS LÄN</t>
        </is>
      </c>
      <c r="G335" t="inlineStr">
        <is>
          <t>JÖNKÖPING</t>
        </is>
      </c>
      <c r="H335" t="inlineStr">
        <is>
          <t>Kyrkan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46374-2025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45925</v>
      </c>
      <c r="E336" s="1" t="n">
        <v>46216</v>
      </c>
      <c r="F336" t="inlineStr">
        <is>
          <t>JÖNKÖPINGS LÄN</t>
        </is>
      </c>
      <c r="G336" t="inlineStr">
        <is>
          <t>JÖNKÖPING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34605-2025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45846</v>
      </c>
      <c r="E337" s="1" t="n">
        <v>46216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Kyrkan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63207-2021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44507</v>
      </c>
      <c r="E338" s="1" t="n">
        <v>46216</v>
      </c>
      <c r="F338" t="inlineStr">
        <is>
          <t>JÖNKÖPINGS LÄN</t>
        </is>
      </c>
      <c r="G338" t="inlineStr">
        <is>
          <t>JÖNKÖPING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9268-2024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45358</v>
      </c>
      <c r="E339" s="1" t="n">
        <v>46216</v>
      </c>
      <c r="F339" t="inlineStr">
        <is>
          <t>JÖNKÖPINGS LÄN</t>
        </is>
      </c>
      <c r="G339" t="inlineStr">
        <is>
          <t>JÖNKÖPING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48064-2021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44449</v>
      </c>
      <c r="E340" s="1" t="n">
        <v>46216</v>
      </c>
      <c r="F340" t="inlineStr">
        <is>
          <t>JÖNKÖPINGS LÄN</t>
        </is>
      </c>
      <c r="G340" t="inlineStr">
        <is>
          <t>JÖNKÖPING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16500-2025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45751</v>
      </c>
      <c r="E341" s="1" t="n">
        <v>46216</v>
      </c>
      <c r="F341" t="inlineStr">
        <is>
          <t>JÖNKÖPINGS LÄN</t>
        </is>
      </c>
      <c r="G341" t="inlineStr">
        <is>
          <t>JÖNKÖPING</t>
        </is>
      </c>
      <c r="H341" t="inlineStr">
        <is>
          <t>Sveaskog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304-2024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45294</v>
      </c>
      <c r="E342" s="1" t="n">
        <v>46216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Kyrkan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25250-2023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45079</v>
      </c>
      <c r="E343" s="1" t="n">
        <v>46216</v>
      </c>
      <c r="F343" t="inlineStr">
        <is>
          <t>JÖNKÖPINGS LÄN</t>
        </is>
      </c>
      <c r="G343" t="inlineStr">
        <is>
          <t>JÖNKÖPING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57509-2024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45630</v>
      </c>
      <c r="E344" s="1" t="n">
        <v>46216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Sveaskog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7033-2025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45701</v>
      </c>
      <c r="E345" s="1" t="n">
        <v>46216</v>
      </c>
      <c r="F345" t="inlineStr">
        <is>
          <t>JÖNKÖPINGS LÄN</t>
        </is>
      </c>
      <c r="G345" t="inlineStr">
        <is>
          <t>JÖNKÖPING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47009-2025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45929</v>
      </c>
      <c r="E346" s="1" t="n">
        <v>46216</v>
      </c>
      <c r="F346" t="inlineStr">
        <is>
          <t>JÖNKÖPINGS LÄN</t>
        </is>
      </c>
      <c r="G346" t="inlineStr">
        <is>
          <t>JÖNKÖPING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22541-2025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45788</v>
      </c>
      <c r="E347" s="1" t="n">
        <v>46216</v>
      </c>
      <c r="F347" t="inlineStr">
        <is>
          <t>JÖNKÖPINGS LÄN</t>
        </is>
      </c>
      <c r="G347" t="inlineStr">
        <is>
          <t>JÖNKÖPING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35820-2025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45861</v>
      </c>
      <c r="E348" s="1" t="n">
        <v>46216</v>
      </c>
      <c r="F348" t="inlineStr">
        <is>
          <t>JÖNKÖPINGS LÄN</t>
        </is>
      </c>
      <c r="G348" t="inlineStr">
        <is>
          <t>JÖNKÖPING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17237-2023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45035</v>
      </c>
      <c r="E349" s="1" t="n">
        <v>46216</v>
      </c>
      <c r="F349" t="inlineStr">
        <is>
          <t>JÖNKÖPINGS LÄN</t>
        </is>
      </c>
      <c r="G349" t="inlineStr">
        <is>
          <t>JÖNKÖPING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3520-2023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44950</v>
      </c>
      <c r="E350" s="1" t="n">
        <v>46216</v>
      </c>
      <c r="F350" t="inlineStr">
        <is>
          <t>JÖNKÖPINGS LÄN</t>
        </is>
      </c>
      <c r="G350" t="inlineStr">
        <is>
          <t>JÖNKÖPING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56062-2023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45240</v>
      </c>
      <c r="E351" s="1" t="n">
        <v>46216</v>
      </c>
      <c r="F351" t="inlineStr">
        <is>
          <t>JÖNKÖPINGS LÄN</t>
        </is>
      </c>
      <c r="G351" t="inlineStr">
        <is>
          <t>JÖNKÖPING</t>
        </is>
      </c>
      <c r="I351" t="n">
        <v>13.6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3233-2026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46041</v>
      </c>
      <c r="E352" s="1" t="n">
        <v>46216</v>
      </c>
      <c r="F352" t="inlineStr">
        <is>
          <t>JÖNKÖPINGS LÄN</t>
        </is>
      </c>
      <c r="G352" t="inlineStr">
        <is>
          <t>JÖNKÖPING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10720-2022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44626</v>
      </c>
      <c r="E353" s="1" t="n">
        <v>46216</v>
      </c>
      <c r="F353" t="inlineStr">
        <is>
          <t>JÖNKÖPINGS LÄN</t>
        </is>
      </c>
      <c r="G353" t="inlineStr">
        <is>
          <t>JÖNKÖPING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57567-2023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45246</v>
      </c>
      <c r="E354" s="1" t="n">
        <v>46216</v>
      </c>
      <c r="F354" t="inlineStr">
        <is>
          <t>JÖNKÖPINGS LÄN</t>
        </is>
      </c>
      <c r="G354" t="inlineStr">
        <is>
          <t>JÖNKÖPING</t>
        </is>
      </c>
      <c r="H354" t="inlineStr">
        <is>
          <t>Kyrkan</t>
        </is>
      </c>
      <c r="I354" t="n">
        <v>7.6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21250-2023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45058</v>
      </c>
      <c r="E355" s="1" t="n">
        <v>46216</v>
      </c>
      <c r="F355" t="inlineStr">
        <is>
          <t>JÖNKÖPINGS LÄN</t>
        </is>
      </c>
      <c r="G355" t="inlineStr">
        <is>
          <t>JÖNKÖPING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22542-2025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45788</v>
      </c>
      <c r="E356" s="1" t="n">
        <v>46216</v>
      </c>
      <c r="F356" t="inlineStr">
        <is>
          <t>JÖNKÖPINGS LÄN</t>
        </is>
      </c>
      <c r="G356" t="inlineStr">
        <is>
          <t>JÖNKÖPING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36618-2025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45870</v>
      </c>
      <c r="E357" s="1" t="n">
        <v>46216</v>
      </c>
      <c r="F357" t="inlineStr">
        <is>
          <t>JÖNKÖPINGS LÄN</t>
        </is>
      </c>
      <c r="G357" t="inlineStr">
        <is>
          <t>JÖNKÖPING</t>
        </is>
      </c>
      <c r="H357" t="inlineStr">
        <is>
          <t>Sveaskog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48413-2025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45934</v>
      </c>
      <c r="E358" s="1" t="n">
        <v>46216</v>
      </c>
      <c r="F358" t="inlineStr">
        <is>
          <t>JÖNKÖPINGS LÄN</t>
        </is>
      </c>
      <c r="G358" t="inlineStr">
        <is>
          <t>JÖNKÖPING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32035-2023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45119</v>
      </c>
      <c r="E359" s="1" t="n">
        <v>46216</v>
      </c>
      <c r="F359" t="inlineStr">
        <is>
          <t>JÖNKÖPINGS LÄN</t>
        </is>
      </c>
      <c r="G359" t="inlineStr">
        <is>
          <t>JÖNKÖPING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42734-2024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45566</v>
      </c>
      <c r="E360" s="1" t="n">
        <v>46216</v>
      </c>
      <c r="F360" t="inlineStr">
        <is>
          <t>JÖNKÖPINGS LÄN</t>
        </is>
      </c>
      <c r="G360" t="inlineStr">
        <is>
          <t>JÖNKÖPING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42736-2024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45566</v>
      </c>
      <c r="E361" s="1" t="n">
        <v>46216</v>
      </c>
      <c r="F361" t="inlineStr">
        <is>
          <t>JÖNKÖPINGS LÄN</t>
        </is>
      </c>
      <c r="G361" t="inlineStr">
        <is>
          <t>JÖNKÖPING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37149-2025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45875</v>
      </c>
      <c r="E362" s="1" t="n">
        <v>46216</v>
      </c>
      <c r="F362" t="inlineStr">
        <is>
          <t>JÖNKÖPINGS LÄN</t>
        </is>
      </c>
      <c r="G362" t="inlineStr">
        <is>
          <t>JÖNKÖPING</t>
        </is>
      </c>
      <c r="H362" t="inlineStr">
        <is>
          <t>Kommuner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12938-2025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45734</v>
      </c>
      <c r="E363" s="1" t="n">
        <v>46216</v>
      </c>
      <c r="F363" t="inlineStr">
        <is>
          <t>JÖNKÖPINGS LÄN</t>
        </is>
      </c>
      <c r="G363" t="inlineStr">
        <is>
          <t>JÖNKÖPING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31048-2024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45502</v>
      </c>
      <c r="E364" s="1" t="n">
        <v>46216</v>
      </c>
      <c r="F364" t="inlineStr">
        <is>
          <t>JÖNKÖPINGS LÄN</t>
        </is>
      </c>
      <c r="G364" t="inlineStr">
        <is>
          <t>JÖNKÖPING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43668-2022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44837</v>
      </c>
      <c r="E365" s="1" t="n">
        <v>46216</v>
      </c>
      <c r="F365" t="inlineStr">
        <is>
          <t>JÖNKÖPINGS LÄN</t>
        </is>
      </c>
      <c r="G365" t="inlineStr">
        <is>
          <t>JÖNKÖPING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37617-2025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45880</v>
      </c>
      <c r="E366" s="1" t="n">
        <v>46216</v>
      </c>
      <c r="F366" t="inlineStr">
        <is>
          <t>JÖNKÖPINGS LÄN</t>
        </is>
      </c>
      <c r="G366" t="inlineStr">
        <is>
          <t>JÖNKÖPING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49059-2023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45210</v>
      </c>
      <c r="E367" s="1" t="n">
        <v>46216</v>
      </c>
      <c r="F367" t="inlineStr">
        <is>
          <t>JÖNKÖPINGS LÄN</t>
        </is>
      </c>
      <c r="G367" t="inlineStr">
        <is>
          <t>JÖNKÖPING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50628-2025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46216</v>
      </c>
      <c r="F368" t="inlineStr">
        <is>
          <t>JÖNKÖPINGS LÄN</t>
        </is>
      </c>
      <c r="G368" t="inlineStr">
        <is>
          <t>JÖNKÖPING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8864-2022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44614</v>
      </c>
      <c r="E369" s="1" t="n">
        <v>46216</v>
      </c>
      <c r="F369" t="inlineStr">
        <is>
          <t>JÖNKÖPINGS LÄN</t>
        </is>
      </c>
      <c r="G369" t="inlineStr">
        <is>
          <t>JÖNKÖPING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38403-2025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45883</v>
      </c>
      <c r="E370" s="1" t="n">
        <v>46216</v>
      </c>
      <c r="F370" t="inlineStr">
        <is>
          <t>JÖNKÖPINGS LÄN</t>
        </is>
      </c>
      <c r="G370" t="inlineStr">
        <is>
          <t>JÖNKÖPING</t>
        </is>
      </c>
      <c r="I370" t="n">
        <v>7.4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38407-2025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45883</v>
      </c>
      <c r="E371" s="1" t="n">
        <v>46216</v>
      </c>
      <c r="F371" t="inlineStr">
        <is>
          <t>JÖNKÖPINGS LÄN</t>
        </is>
      </c>
      <c r="G371" t="inlineStr">
        <is>
          <t>JÖNKÖPING</t>
        </is>
      </c>
      <c r="I371" t="n">
        <v>8.6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38415-2025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45883</v>
      </c>
      <c r="E372" s="1" t="n">
        <v>46216</v>
      </c>
      <c r="F372" t="inlineStr">
        <is>
          <t>JÖNKÖPINGS LÄN</t>
        </is>
      </c>
      <c r="G372" t="inlineStr">
        <is>
          <t>JÖNKÖPING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16049-2023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45021</v>
      </c>
      <c r="E373" s="1" t="n">
        <v>46216</v>
      </c>
      <c r="F373" t="inlineStr">
        <is>
          <t>JÖNKÖPINGS LÄN</t>
        </is>
      </c>
      <c r="G373" t="inlineStr">
        <is>
          <t>JÖNKÖPING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38414-2025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45883</v>
      </c>
      <c r="E374" s="1" t="n">
        <v>46216</v>
      </c>
      <c r="F374" t="inlineStr">
        <is>
          <t>JÖNKÖPINGS LÄN</t>
        </is>
      </c>
      <c r="G374" t="inlineStr">
        <is>
          <t>JÖNKÖPING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5901-2023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44963</v>
      </c>
      <c r="E375" s="1" t="n">
        <v>46216</v>
      </c>
      <c r="F375" t="inlineStr">
        <is>
          <t>JÖNKÖPINGS LÄN</t>
        </is>
      </c>
      <c r="G375" t="inlineStr">
        <is>
          <t>JÖNKÖPING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44935</v>
      </c>
      <c r="E376" s="1" t="n">
        <v>46216</v>
      </c>
      <c r="F376" t="inlineStr">
        <is>
          <t>JÖNKÖPINGS LÄN</t>
        </is>
      </c>
      <c r="G376" t="inlineStr">
        <is>
          <t>JÖNKÖPING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51876-2022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44867</v>
      </c>
      <c r="E377" s="1" t="n">
        <v>46216</v>
      </c>
      <c r="F377" t="inlineStr">
        <is>
          <t>JÖNKÖPINGS LÄN</t>
        </is>
      </c>
      <c r="G377" t="inlineStr">
        <is>
          <t>JÖNKÖPING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50896-2025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46216</v>
      </c>
      <c r="F378" t="inlineStr">
        <is>
          <t>JÖNKÖPINGS LÄN</t>
        </is>
      </c>
      <c r="G378" t="inlineStr">
        <is>
          <t>JÖNKÖPING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50787-2025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45946</v>
      </c>
      <c r="E379" s="1" t="n">
        <v>46216</v>
      </c>
      <c r="F379" t="inlineStr">
        <is>
          <t>JÖNKÖPINGS LÄN</t>
        </is>
      </c>
      <c r="G379" t="inlineStr">
        <is>
          <t>JÖNKÖPING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2879-2026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46038</v>
      </c>
      <c r="E380" s="1" t="n">
        <v>46216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Sveaskog</t>
        </is>
      </c>
      <c r="I380" t="n">
        <v>7.6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3238-2026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46041</v>
      </c>
      <c r="E381" s="1" t="n">
        <v>46216</v>
      </c>
      <c r="F381" t="inlineStr">
        <is>
          <t>JÖNKÖPINGS LÄN</t>
        </is>
      </c>
      <c r="G381" t="inlineStr">
        <is>
          <t>JÖNKÖPING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43251-2023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45180</v>
      </c>
      <c r="E382" s="1" t="n">
        <v>46216</v>
      </c>
      <c r="F382" t="inlineStr">
        <is>
          <t>JÖNKÖPINGS LÄN</t>
        </is>
      </c>
      <c r="G382" t="inlineStr">
        <is>
          <t>JÖNKÖPING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59312-2022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44904</v>
      </c>
      <c r="E383" s="1" t="n">
        <v>46216</v>
      </c>
      <c r="F383" t="inlineStr">
        <is>
          <t>JÖNKÖPINGS LÄN</t>
        </is>
      </c>
      <c r="G383" t="inlineStr">
        <is>
          <t>JÖNKÖPING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2066-2022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44575</v>
      </c>
      <c r="E384" s="1" t="n">
        <v>46216</v>
      </c>
      <c r="F384" t="inlineStr">
        <is>
          <t>JÖNKÖPINGS LÄN</t>
        </is>
      </c>
      <c r="G384" t="inlineStr">
        <is>
          <t>JÖNKÖPING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51032-2025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45947</v>
      </c>
      <c r="E385" s="1" t="n">
        <v>46216</v>
      </c>
      <c r="F385" t="inlineStr">
        <is>
          <t>JÖNKÖPINGS LÄN</t>
        </is>
      </c>
      <c r="G385" t="inlineStr">
        <is>
          <t>JÖNKÖPING</t>
        </is>
      </c>
      <c r="I385" t="n">
        <v>7.8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50855-2025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45946</v>
      </c>
      <c r="E386" s="1" t="n">
        <v>46216</v>
      </c>
      <c r="F386" t="inlineStr">
        <is>
          <t>JÖNKÖPINGS LÄN</t>
        </is>
      </c>
      <c r="G386" t="inlineStr">
        <is>
          <t>JÖNKÖPING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3691-2026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46043</v>
      </c>
      <c r="E387" s="1" t="n">
        <v>46216</v>
      </c>
      <c r="F387" t="inlineStr">
        <is>
          <t>JÖNKÖPINGS LÄN</t>
        </is>
      </c>
      <c r="G387" t="inlineStr">
        <is>
          <t>JÖNKÖPING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3667-2026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46043</v>
      </c>
      <c r="E388" s="1" t="n">
        <v>46216</v>
      </c>
      <c r="F388" t="inlineStr">
        <is>
          <t>JÖNKÖPINGS LÄN</t>
        </is>
      </c>
      <c r="G388" t="inlineStr">
        <is>
          <t>JÖNKÖPING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7425-2026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46059</v>
      </c>
      <c r="E389" s="1" t="n">
        <v>46216</v>
      </c>
      <c r="F389" t="inlineStr">
        <is>
          <t>JÖNKÖPINGS LÄN</t>
        </is>
      </c>
      <c r="G389" t="inlineStr">
        <is>
          <t>JÖNKÖPING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3325-2026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46041</v>
      </c>
      <c r="E390" s="1" t="n">
        <v>46216</v>
      </c>
      <c r="F390" t="inlineStr">
        <is>
          <t>JÖNKÖPINGS LÄN</t>
        </is>
      </c>
      <c r="G390" t="inlineStr">
        <is>
          <t>JÖNKÖPING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38923-2025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45887</v>
      </c>
      <c r="E391" s="1" t="n">
        <v>46216</v>
      </c>
      <c r="F391" t="inlineStr">
        <is>
          <t>JÖNKÖPINGS LÄN</t>
        </is>
      </c>
      <c r="G391" t="inlineStr">
        <is>
          <t>JÖNKÖPING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38962-2025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45887</v>
      </c>
      <c r="E392" s="1" t="n">
        <v>46216</v>
      </c>
      <c r="F392" t="inlineStr">
        <is>
          <t>JÖNKÖPINGS LÄN</t>
        </is>
      </c>
      <c r="G392" t="inlineStr">
        <is>
          <t>JÖNKÖPING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60829-2023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45260</v>
      </c>
      <c r="E393" s="1" t="n">
        <v>46216</v>
      </c>
      <c r="F393" t="inlineStr">
        <is>
          <t>JÖNKÖPINGS LÄN</t>
        </is>
      </c>
      <c r="G393" t="inlineStr">
        <is>
          <t>JÖNKÖPING</t>
        </is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4167-2026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46044</v>
      </c>
      <c r="E394" s="1" t="n">
        <v>46216</v>
      </c>
      <c r="F394" t="inlineStr">
        <is>
          <t>JÖNKÖPINGS LÄN</t>
        </is>
      </c>
      <c r="G394" t="inlineStr">
        <is>
          <t>JÖNKÖPING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4143-2026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46044</v>
      </c>
      <c r="E395" s="1" t="n">
        <v>46216</v>
      </c>
      <c r="F395" t="inlineStr">
        <is>
          <t>JÖNKÖPINGS LÄN</t>
        </is>
      </c>
      <c r="G395" t="inlineStr">
        <is>
          <t>JÖNKÖPING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13967-2023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45008</v>
      </c>
      <c r="E396" s="1" t="n">
        <v>46216</v>
      </c>
      <c r="F396" t="inlineStr">
        <is>
          <t>JÖNKÖPINGS LÄN</t>
        </is>
      </c>
      <c r="G396" t="inlineStr">
        <is>
          <t>JÖNKÖPING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29091-2023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45105</v>
      </c>
      <c r="E397" s="1" t="n">
        <v>46216</v>
      </c>
      <c r="F397" t="inlineStr">
        <is>
          <t>JÖNKÖPINGS LÄN</t>
        </is>
      </c>
      <c r="G397" t="inlineStr">
        <is>
          <t>JÖNKÖPING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27608-2024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45474</v>
      </c>
      <c r="E398" s="1" t="n">
        <v>46216</v>
      </c>
      <c r="F398" t="inlineStr">
        <is>
          <t>JÖNKÖPINGS LÄN</t>
        </is>
      </c>
      <c r="G398" t="inlineStr">
        <is>
          <t>JÖNKÖPING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32840-2023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45124</v>
      </c>
      <c r="E399" s="1" t="n">
        <v>46216</v>
      </c>
      <c r="F399" t="inlineStr">
        <is>
          <t>JÖNKÖPINGS LÄN</t>
        </is>
      </c>
      <c r="G399" t="inlineStr">
        <is>
          <t>JÖNKÖPING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4150-2026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46044</v>
      </c>
      <c r="E400" s="1" t="n">
        <v>46216</v>
      </c>
      <c r="F400" t="inlineStr">
        <is>
          <t>JÖNKÖPINGS LÄN</t>
        </is>
      </c>
      <c r="G400" t="inlineStr">
        <is>
          <t>JÖNKÖPING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17928-2025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45759</v>
      </c>
      <c r="E401" s="1" t="n">
        <v>46216</v>
      </c>
      <c r="F401" t="inlineStr">
        <is>
          <t>JÖNKÖPINGS LÄN</t>
        </is>
      </c>
      <c r="G401" t="inlineStr">
        <is>
          <t>JÖNKÖPING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53281-2025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45958</v>
      </c>
      <c r="E402" s="1" t="n">
        <v>46216</v>
      </c>
      <c r="F402" t="inlineStr">
        <is>
          <t>JÖNKÖPINGS LÄN</t>
        </is>
      </c>
      <c r="G402" t="inlineStr">
        <is>
          <t>JÖNKÖPING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19661-2023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45051</v>
      </c>
      <c r="E403" s="1" t="n">
        <v>46216</v>
      </c>
      <c r="F403" t="inlineStr">
        <is>
          <t>JÖNKÖPINGS LÄN</t>
        </is>
      </c>
      <c r="G403" t="inlineStr">
        <is>
          <t>JÖNKÖPING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53280-2025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45958</v>
      </c>
      <c r="E404" s="1" t="n">
        <v>46216</v>
      </c>
      <c r="F404" t="inlineStr">
        <is>
          <t>JÖNKÖPINGS LÄN</t>
        </is>
      </c>
      <c r="G404" t="inlineStr">
        <is>
          <t>JÖNKÖPING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53283-2025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45958</v>
      </c>
      <c r="E405" s="1" t="n">
        <v>46216</v>
      </c>
      <c r="F405" t="inlineStr">
        <is>
          <t>JÖNKÖPINGS LÄN</t>
        </is>
      </c>
      <c r="G405" t="inlineStr">
        <is>
          <t>JÖNKÖPING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4581-2026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46216</v>
      </c>
      <c r="F406" t="inlineStr">
        <is>
          <t>JÖNKÖPINGS LÄN</t>
        </is>
      </c>
      <c r="G406" t="inlineStr">
        <is>
          <t>JÖNKÖPING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26378-2022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44735</v>
      </c>
      <c r="E407" s="1" t="n">
        <v>46216</v>
      </c>
      <c r="F407" t="inlineStr">
        <is>
          <t>JÖNKÖPINGS LÄN</t>
        </is>
      </c>
      <c r="G407" t="inlineStr">
        <is>
          <t>JÖNKÖPING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57930-2021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44487</v>
      </c>
      <c r="E408" s="1" t="n">
        <v>46216</v>
      </c>
      <c r="F408" t="inlineStr">
        <is>
          <t>JÖNKÖPINGS LÄN</t>
        </is>
      </c>
      <c r="G408" t="inlineStr">
        <is>
          <t>JÖNKÖPING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4577-2026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46216</v>
      </c>
      <c r="F409" t="inlineStr">
        <is>
          <t>JÖNKÖPINGS LÄN</t>
        </is>
      </c>
      <c r="G409" t="inlineStr">
        <is>
          <t>JÖNKÖPING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5118-2026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46049</v>
      </c>
      <c r="E410" s="1" t="n">
        <v>46216</v>
      </c>
      <c r="F410" t="inlineStr">
        <is>
          <t>JÖNKÖPINGS LÄN</t>
        </is>
      </c>
      <c r="G410" t="inlineStr">
        <is>
          <t>JÖNKÖPING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4583-2026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46216</v>
      </c>
      <c r="F411" t="inlineStr">
        <is>
          <t>JÖNKÖPINGS LÄN</t>
        </is>
      </c>
      <c r="G411" t="inlineStr">
        <is>
          <t>JÖNKÖPING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5121-2026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46049</v>
      </c>
      <c r="E412" s="1" t="n">
        <v>46216</v>
      </c>
      <c r="F412" t="inlineStr">
        <is>
          <t>JÖNKÖPINGS LÄN</t>
        </is>
      </c>
      <c r="G412" t="inlineStr">
        <is>
          <t>JÖNKÖPING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3112-2024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45316</v>
      </c>
      <c r="E413" s="1" t="n">
        <v>46216</v>
      </c>
      <c r="F413" t="inlineStr">
        <is>
          <t>JÖNKÖPINGS LÄN</t>
        </is>
      </c>
      <c r="G413" t="inlineStr">
        <is>
          <t>JÖNKÖPING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4575-2026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46048</v>
      </c>
      <c r="E414" s="1" t="n">
        <v>46216</v>
      </c>
      <c r="F414" t="inlineStr">
        <is>
          <t>JÖNKÖPINGS LÄN</t>
        </is>
      </c>
      <c r="G414" t="inlineStr">
        <is>
          <t>JÖNKÖPING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4579-2026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46216</v>
      </c>
      <c r="F415" t="inlineStr">
        <is>
          <t>JÖNKÖPINGS LÄN</t>
        </is>
      </c>
      <c r="G415" t="inlineStr">
        <is>
          <t>JÖNKÖPING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11497-2022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44631</v>
      </c>
      <c r="E416" s="1" t="n">
        <v>46216</v>
      </c>
      <c r="F416" t="inlineStr">
        <is>
          <t>JÖNKÖPINGS LÄN</t>
        </is>
      </c>
      <c r="G416" t="inlineStr">
        <is>
          <t>JÖNKÖPING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4805-2026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46048</v>
      </c>
      <c r="E417" s="1" t="n">
        <v>46216</v>
      </c>
      <c r="F417" t="inlineStr">
        <is>
          <t>JÖNKÖPINGS LÄN</t>
        </is>
      </c>
      <c r="G417" t="inlineStr">
        <is>
          <t>JÖNKÖPING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5062-2026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46216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Övriga Aktiebolag</t>
        </is>
      </c>
      <c r="I418" t="n">
        <v>5.4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39650-2024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45552</v>
      </c>
      <c r="E419" s="1" t="n">
        <v>46216</v>
      </c>
      <c r="F419" t="inlineStr">
        <is>
          <t>JÖNKÖPINGS LÄN</t>
        </is>
      </c>
      <c r="G419" t="inlineStr">
        <is>
          <t>JÖNKÖPING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54306-2025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45965</v>
      </c>
      <c r="E420" s="1" t="n">
        <v>46216</v>
      </c>
      <c r="F420" t="inlineStr">
        <is>
          <t>JÖNKÖPINGS LÄN</t>
        </is>
      </c>
      <c r="G420" t="inlineStr">
        <is>
          <t>JÖNKÖPING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54774-2025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45966</v>
      </c>
      <c r="E421" s="1" t="n">
        <v>46216</v>
      </c>
      <c r="F421" t="inlineStr">
        <is>
          <t>JÖNKÖPINGS LÄN</t>
        </is>
      </c>
      <c r="G421" t="inlineStr">
        <is>
          <t>JÖNKÖPING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54727-2025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45966</v>
      </c>
      <c r="E422" s="1" t="n">
        <v>46216</v>
      </c>
      <c r="F422" t="inlineStr">
        <is>
          <t>JÖNKÖPINGS LÄN</t>
        </is>
      </c>
      <c r="G422" t="inlineStr">
        <is>
          <t>JÖNKÖPING</t>
        </is>
      </c>
      <c r="I422" t="n">
        <v>9.699999999999999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54753-2025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45966</v>
      </c>
      <c r="E423" s="1" t="n">
        <v>46216</v>
      </c>
      <c r="F423" t="inlineStr">
        <is>
          <t>JÖNKÖPINGS LÄN</t>
        </is>
      </c>
      <c r="G423" t="inlineStr">
        <is>
          <t>JÖNKÖPING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54769-2025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45966</v>
      </c>
      <c r="E424" s="1" t="n">
        <v>46216</v>
      </c>
      <c r="F424" t="inlineStr">
        <is>
          <t>JÖNKÖPINGS LÄN</t>
        </is>
      </c>
      <c r="G424" t="inlineStr">
        <is>
          <t>JÖNKÖPING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54654-2025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45966</v>
      </c>
      <c r="E425" s="1" t="n">
        <v>46216</v>
      </c>
      <c r="F425" t="inlineStr">
        <is>
          <t>JÖNKÖPINGS LÄN</t>
        </is>
      </c>
      <c r="G425" t="inlineStr">
        <is>
          <t>JÖNKÖPING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5332-2026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46050</v>
      </c>
      <c r="E426" s="1" t="n">
        <v>46216</v>
      </c>
      <c r="F426" t="inlineStr">
        <is>
          <t>JÖNKÖPINGS LÄN</t>
        </is>
      </c>
      <c r="G426" t="inlineStr">
        <is>
          <t>JÖNKÖPING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55198-2025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45968</v>
      </c>
      <c r="E427" s="1" t="n">
        <v>46216</v>
      </c>
      <c r="F427" t="inlineStr">
        <is>
          <t>JÖNKÖPINGS LÄN</t>
        </is>
      </c>
      <c r="G427" t="inlineStr">
        <is>
          <t>JÖNKÖPING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57413-2021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44483</v>
      </c>
      <c r="E428" s="1" t="n">
        <v>46216</v>
      </c>
      <c r="F428" t="inlineStr">
        <is>
          <t>JÖNKÖPINGS LÄN</t>
        </is>
      </c>
      <c r="G428" t="inlineStr">
        <is>
          <t>JÖNKÖPING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6167-2026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46055</v>
      </c>
      <c r="E429" s="1" t="n">
        <v>46216</v>
      </c>
      <c r="F429" t="inlineStr">
        <is>
          <t>JÖNKÖPINGS LÄN</t>
        </is>
      </c>
      <c r="G429" t="inlineStr">
        <is>
          <t>JÖNKÖPING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40271-2023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45169</v>
      </c>
      <c r="E430" s="1" t="n">
        <v>46216</v>
      </c>
      <c r="F430" t="inlineStr">
        <is>
          <t>JÖNKÖPINGS LÄN</t>
        </is>
      </c>
      <c r="G430" t="inlineStr">
        <is>
          <t>JÖNKÖPING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3364-2025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45679</v>
      </c>
      <c r="E431" s="1" t="n">
        <v>46216</v>
      </c>
      <c r="F431" t="inlineStr">
        <is>
          <t>JÖNKÖPINGS LÄN</t>
        </is>
      </c>
      <c r="G431" t="inlineStr">
        <is>
          <t>JÖNKÖPING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6422-2026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46055</v>
      </c>
      <c r="E432" s="1" t="n">
        <v>46216</v>
      </c>
      <c r="F432" t="inlineStr">
        <is>
          <t>JÖNKÖPINGS LÄN</t>
        </is>
      </c>
      <c r="G432" t="inlineStr">
        <is>
          <t>JÖNKÖPING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6423-2026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46055</v>
      </c>
      <c r="E433" s="1" t="n">
        <v>46216</v>
      </c>
      <c r="F433" t="inlineStr">
        <is>
          <t>JÖNKÖPINGS LÄN</t>
        </is>
      </c>
      <c r="G433" t="inlineStr">
        <is>
          <t>JÖNKÖPING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6424-2026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46055</v>
      </c>
      <c r="E434" s="1" t="n">
        <v>46216</v>
      </c>
      <c r="F434" t="inlineStr">
        <is>
          <t>JÖNKÖPINGS LÄN</t>
        </is>
      </c>
      <c r="G434" t="inlineStr">
        <is>
          <t>JÖNKÖPING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56262-2025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46216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Sveaskog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56292-2025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46216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56338-2025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45974</v>
      </c>
      <c r="E437" s="1" t="n">
        <v>46216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Sveaskog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56327-2025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46216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Sveaskog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56251-2025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45974</v>
      </c>
      <c r="E439" s="1" t="n">
        <v>46216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56408-2025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45975</v>
      </c>
      <c r="E440" s="1" t="n">
        <v>46216</v>
      </c>
      <c r="F440" t="inlineStr">
        <is>
          <t>JÖNKÖPINGS LÄN</t>
        </is>
      </c>
      <c r="G440" t="inlineStr">
        <is>
          <t>JÖNKÖPING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39155-2021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44412</v>
      </c>
      <c r="E441" s="1" t="n">
        <v>46216</v>
      </c>
      <c r="F441" t="inlineStr">
        <is>
          <t>JÖNKÖPINGS LÄN</t>
        </is>
      </c>
      <c r="G441" t="inlineStr">
        <is>
          <t>JÖNKÖPING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56248-2025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46216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Sveaskog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56285-2025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46216</v>
      </c>
      <c r="F443" t="inlineStr">
        <is>
          <t>JÖNKÖPINGS LÄN</t>
        </is>
      </c>
      <c r="G443" t="inlineStr">
        <is>
          <t>JÖNKÖPING</t>
        </is>
      </c>
      <c r="H443" t="inlineStr">
        <is>
          <t>Sveaskog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56345-2025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46216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Sveaskog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62332-2022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44923</v>
      </c>
      <c r="E445" s="1" t="n">
        <v>46216</v>
      </c>
      <c r="F445" t="inlineStr">
        <is>
          <t>JÖNKÖPINGS LÄN</t>
        </is>
      </c>
      <c r="G445" t="inlineStr">
        <is>
          <t>JÖNKÖPING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57090-2025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45979</v>
      </c>
      <c r="E446" s="1" t="n">
        <v>46216</v>
      </c>
      <c r="F446" t="inlineStr">
        <is>
          <t>JÖNKÖPINGS LÄN</t>
        </is>
      </c>
      <c r="G446" t="inlineStr">
        <is>
          <t>JÖNKÖPING</t>
        </is>
      </c>
      <c r="I446" t="n">
        <v>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56781-2025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46216</v>
      </c>
      <c r="F447" t="inlineStr">
        <is>
          <t>JÖNKÖPINGS LÄN</t>
        </is>
      </c>
      <c r="G447" t="inlineStr">
        <is>
          <t>JÖNKÖPING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18774-2025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45764</v>
      </c>
      <c r="E448" s="1" t="n">
        <v>46216</v>
      </c>
      <c r="F448" t="inlineStr">
        <is>
          <t>JÖNKÖPINGS LÄN</t>
        </is>
      </c>
      <c r="G448" t="inlineStr">
        <is>
          <t>JÖNKÖPING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902-2024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45300</v>
      </c>
      <c r="E449" s="1" t="n">
        <v>46216</v>
      </c>
      <c r="F449" t="inlineStr">
        <is>
          <t>JÖNKÖPINGS LÄN</t>
        </is>
      </c>
      <c r="G449" t="inlineStr">
        <is>
          <t>JÖNKÖPING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6572-2026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46216</v>
      </c>
      <c r="F450" t="inlineStr">
        <is>
          <t>JÖNKÖPINGS LÄN</t>
        </is>
      </c>
      <c r="G450" t="inlineStr">
        <is>
          <t>JÖNKÖPING</t>
        </is>
      </c>
      <c r="I450" t="n">
        <v>7.4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7504-2026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46059</v>
      </c>
      <c r="E451" s="1" t="n">
        <v>46216</v>
      </c>
      <c r="F451" t="inlineStr">
        <is>
          <t>JÖNKÖPINGS LÄN</t>
        </is>
      </c>
      <c r="G451" t="inlineStr">
        <is>
          <t>JÖNKÖPING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7492-2026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46059</v>
      </c>
      <c r="E452" s="1" t="n">
        <v>46216</v>
      </c>
      <c r="F452" t="inlineStr">
        <is>
          <t>JÖNKÖPINGS LÄN</t>
        </is>
      </c>
      <c r="G452" t="inlineStr">
        <is>
          <t>JÖNKÖPING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7441-2026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46059</v>
      </c>
      <c r="E453" s="1" t="n">
        <v>46216</v>
      </c>
      <c r="F453" t="inlineStr">
        <is>
          <t>JÖNKÖPINGS LÄN</t>
        </is>
      </c>
      <c r="G453" t="inlineStr">
        <is>
          <t>JÖNKÖPING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7442-2026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46059</v>
      </c>
      <c r="E454" s="1" t="n">
        <v>46216</v>
      </c>
      <c r="F454" t="inlineStr">
        <is>
          <t>JÖNKÖPINGS LÄN</t>
        </is>
      </c>
      <c r="G454" t="inlineStr">
        <is>
          <t>JÖNKÖPING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7551-2026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46059</v>
      </c>
      <c r="E455" s="1" t="n">
        <v>46216</v>
      </c>
      <c r="F455" t="inlineStr">
        <is>
          <t>JÖNKÖPINGS LÄN</t>
        </is>
      </c>
      <c r="G455" t="inlineStr">
        <is>
          <t>JÖNKÖPING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7552-2026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46059</v>
      </c>
      <c r="E456" s="1" t="n">
        <v>46216</v>
      </c>
      <c r="F456" t="inlineStr">
        <is>
          <t>JÖNKÖPINGS LÄN</t>
        </is>
      </c>
      <c r="G456" t="inlineStr">
        <is>
          <t>JÖNKÖPING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3724-2025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45681</v>
      </c>
      <c r="E457" s="1" t="n">
        <v>46216</v>
      </c>
      <c r="F457" t="inlineStr">
        <is>
          <t>JÖNKÖPINGS LÄN</t>
        </is>
      </c>
      <c r="G457" t="inlineStr">
        <is>
          <t>JÖNKÖPING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7494-2026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46059</v>
      </c>
      <c r="E458" s="1" t="n">
        <v>46216</v>
      </c>
      <c r="F458" t="inlineStr">
        <is>
          <t>JÖNKÖPINGS LÄN</t>
        </is>
      </c>
      <c r="G458" t="inlineStr">
        <is>
          <t>JÖNKÖPING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7512-2026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46059</v>
      </c>
      <c r="E459" s="1" t="n">
        <v>46216</v>
      </c>
      <c r="F459" t="inlineStr">
        <is>
          <t>JÖNKÖPINGS LÄN</t>
        </is>
      </c>
      <c r="G459" t="inlineStr">
        <is>
          <t>JÖNKÖPING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15384-2022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44659</v>
      </c>
      <c r="E460" s="1" t="n">
        <v>46216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8004-2026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46063</v>
      </c>
      <c r="E461" s="1" t="n">
        <v>46216</v>
      </c>
      <c r="F461" t="inlineStr">
        <is>
          <t>JÖNKÖPINGS LÄN</t>
        </is>
      </c>
      <c r="G461" t="inlineStr">
        <is>
          <t>JÖNKÖPING</t>
        </is>
      </c>
      <c r="I461" t="n">
        <v>5.7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7817-2026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46062</v>
      </c>
      <c r="E462" s="1" t="n">
        <v>46216</v>
      </c>
      <c r="F462" t="inlineStr">
        <is>
          <t>JÖNKÖPINGS LÄN</t>
        </is>
      </c>
      <c r="G462" t="inlineStr">
        <is>
          <t>JÖNKÖPING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7821-2026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46062</v>
      </c>
      <c r="E463" s="1" t="n">
        <v>46216</v>
      </c>
      <c r="F463" t="inlineStr">
        <is>
          <t>JÖNKÖPINGS LÄN</t>
        </is>
      </c>
      <c r="G463" t="inlineStr">
        <is>
          <t>JÖNKÖPING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23783-2024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45455</v>
      </c>
      <c r="E464" s="1" t="n">
        <v>46216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Sveaskog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7999-2026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46062</v>
      </c>
      <c r="E465" s="1" t="n">
        <v>46216</v>
      </c>
      <c r="F465" t="inlineStr">
        <is>
          <t>JÖNKÖPINGS LÄN</t>
        </is>
      </c>
      <c r="G465" t="inlineStr">
        <is>
          <t>JÖNKÖPING</t>
        </is>
      </c>
      <c r="I465" t="n">
        <v>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7823-2026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46062</v>
      </c>
      <c r="E466" s="1" t="n">
        <v>46216</v>
      </c>
      <c r="F466" t="inlineStr">
        <is>
          <t>JÖNKÖPINGS LÄN</t>
        </is>
      </c>
      <c r="G466" t="inlineStr">
        <is>
          <t>JÖNKÖPING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56131-2022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44889</v>
      </c>
      <c r="E467" s="1" t="n">
        <v>46216</v>
      </c>
      <c r="F467" t="inlineStr">
        <is>
          <t>JÖNKÖPINGS LÄN</t>
        </is>
      </c>
      <c r="G467" t="inlineStr">
        <is>
          <t>JÖNKÖPING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8072-2026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46063</v>
      </c>
      <c r="E468" s="1" t="n">
        <v>46216</v>
      </c>
      <c r="F468" t="inlineStr">
        <is>
          <t>JÖNKÖPINGS LÄN</t>
        </is>
      </c>
      <c r="G468" t="inlineStr">
        <is>
          <t>JÖNKÖPING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59017-2025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45988</v>
      </c>
      <c r="E469" s="1" t="n">
        <v>46216</v>
      </c>
      <c r="F469" t="inlineStr">
        <is>
          <t>JÖNKÖPINGS LÄN</t>
        </is>
      </c>
      <c r="G469" t="inlineStr">
        <is>
          <t>JÖNKÖPING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48308-2022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44853</v>
      </c>
      <c r="E470" s="1" t="n">
        <v>46216</v>
      </c>
      <c r="F470" t="inlineStr">
        <is>
          <t>JÖNKÖPINGS LÄN</t>
        </is>
      </c>
      <c r="G470" t="inlineStr">
        <is>
          <t>JÖNKÖPING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4270-2026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46045</v>
      </c>
      <c r="E471" s="1" t="n">
        <v>46216</v>
      </c>
      <c r="F471" t="inlineStr">
        <is>
          <t>JÖNKÖPINGS LÄN</t>
        </is>
      </c>
      <c r="G471" t="inlineStr">
        <is>
          <t>JÖNKÖPING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15407-2024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45401</v>
      </c>
      <c r="E472" s="1" t="n">
        <v>46216</v>
      </c>
      <c r="F472" t="inlineStr">
        <is>
          <t>JÖNKÖPINGS LÄN</t>
        </is>
      </c>
      <c r="G472" t="inlineStr">
        <is>
          <t>JÖNKÖPING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10563-2023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44988</v>
      </c>
      <c r="E473" s="1" t="n">
        <v>46216</v>
      </c>
      <c r="F473" t="inlineStr">
        <is>
          <t>JÖNKÖPINGS LÄN</t>
        </is>
      </c>
      <c r="G473" t="inlineStr">
        <is>
          <t>JÖNKÖPING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9067-2026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46069</v>
      </c>
      <c r="E474" s="1" t="n">
        <v>46216</v>
      </c>
      <c r="F474" t="inlineStr">
        <is>
          <t>JÖNKÖPINGS LÄN</t>
        </is>
      </c>
      <c r="G474" t="inlineStr">
        <is>
          <t>JÖNKÖPING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9073-2026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46069</v>
      </c>
      <c r="E475" s="1" t="n">
        <v>46216</v>
      </c>
      <c r="F475" t="inlineStr">
        <is>
          <t>JÖNKÖPINGS LÄN</t>
        </is>
      </c>
      <c r="G475" t="inlineStr">
        <is>
          <t>JÖNKÖPING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27012-2024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45471</v>
      </c>
      <c r="E476" s="1" t="n">
        <v>46216</v>
      </c>
      <c r="F476" t="inlineStr">
        <is>
          <t>JÖNKÖPINGS LÄN</t>
        </is>
      </c>
      <c r="G476" t="inlineStr">
        <is>
          <t>JÖNKÖPING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46738-2023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45198</v>
      </c>
      <c r="E477" s="1" t="n">
        <v>46216</v>
      </c>
      <c r="F477" t="inlineStr">
        <is>
          <t>JÖNKÖPINGS LÄN</t>
        </is>
      </c>
      <c r="G477" t="inlineStr">
        <is>
          <t>JÖNKÖPING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9020-2026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46069</v>
      </c>
      <c r="E478" s="1" t="n">
        <v>46216</v>
      </c>
      <c r="F478" t="inlineStr">
        <is>
          <t>JÖNKÖPINGS LÄN</t>
        </is>
      </c>
      <c r="G478" t="inlineStr">
        <is>
          <t>JÖNKÖPING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39443-2021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44414</v>
      </c>
      <c r="E479" s="1" t="n">
        <v>46216</v>
      </c>
      <c r="F479" t="inlineStr">
        <is>
          <t>JÖNKÖPINGS LÄN</t>
        </is>
      </c>
      <c r="G479" t="inlineStr">
        <is>
          <t>JÖNKÖPING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9374-2026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46070</v>
      </c>
      <c r="E480" s="1" t="n">
        <v>46216</v>
      </c>
      <c r="F480" t="inlineStr">
        <is>
          <t>JÖNKÖPINGS LÄN</t>
        </is>
      </c>
      <c r="G480" t="inlineStr">
        <is>
          <t>JÖNKÖPING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10074-2024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45364</v>
      </c>
      <c r="E481" s="1" t="n">
        <v>46216</v>
      </c>
      <c r="F481" t="inlineStr">
        <is>
          <t>JÖNKÖPINGS LÄN</t>
        </is>
      </c>
      <c r="G481" t="inlineStr">
        <is>
          <t>JÖNKÖPING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44003-2023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45188</v>
      </c>
      <c r="E482" s="1" t="n">
        <v>46216</v>
      </c>
      <c r="F482" t="inlineStr">
        <is>
          <t>JÖNKÖPINGS LÄN</t>
        </is>
      </c>
      <c r="G482" t="inlineStr">
        <is>
          <t>JÖNKÖPING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60569-2025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46216</v>
      </c>
      <c r="F483" t="inlineStr">
        <is>
          <t>JÖNKÖPINGS LÄN</t>
        </is>
      </c>
      <c r="G483" t="inlineStr">
        <is>
          <t>JÖNKÖPING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8809-2024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45356</v>
      </c>
      <c r="E484" s="1" t="n">
        <v>46216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Sveaskog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9375-2026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46070</v>
      </c>
      <c r="E485" s="1" t="n">
        <v>46216</v>
      </c>
      <c r="F485" t="inlineStr">
        <is>
          <t>JÖNKÖPINGS LÄN</t>
        </is>
      </c>
      <c r="G485" t="inlineStr">
        <is>
          <t>JÖNKÖPING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42634-2023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45181</v>
      </c>
      <c r="E486" s="1" t="n">
        <v>46216</v>
      </c>
      <c r="F486" t="inlineStr">
        <is>
          <t>JÖNKÖPINGS LÄN</t>
        </is>
      </c>
      <c r="G486" t="inlineStr">
        <is>
          <t>JÖNKÖPING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54451-2022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44882</v>
      </c>
      <c r="E487" s="1" t="n">
        <v>46216</v>
      </c>
      <c r="F487" t="inlineStr">
        <is>
          <t>JÖNKÖPINGS LÄN</t>
        </is>
      </c>
      <c r="G487" t="inlineStr">
        <is>
          <t>JÖNKÖPING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9376-2026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46070</v>
      </c>
      <c r="E488" s="1" t="n">
        <v>46216</v>
      </c>
      <c r="F488" t="inlineStr">
        <is>
          <t>JÖNKÖPINGS LÄN</t>
        </is>
      </c>
      <c r="G488" t="inlineStr">
        <is>
          <t>JÖNKÖPING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9926-2026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46073</v>
      </c>
      <c r="E489" s="1" t="n">
        <v>46216</v>
      </c>
      <c r="F489" t="inlineStr">
        <is>
          <t>JÖNKÖPINGS LÄN</t>
        </is>
      </c>
      <c r="G489" t="inlineStr">
        <is>
          <t>JÖNKÖPING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6428-2023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44965</v>
      </c>
      <c r="E490" s="1" t="n">
        <v>46216</v>
      </c>
      <c r="F490" t="inlineStr">
        <is>
          <t>JÖNKÖPINGS LÄN</t>
        </is>
      </c>
      <c r="G490" t="inlineStr">
        <is>
          <t>JÖNKÖPING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61236-2025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46216</v>
      </c>
      <c r="F491" t="inlineStr">
        <is>
          <t>JÖNKÖPINGS LÄN</t>
        </is>
      </c>
      <c r="G491" t="inlineStr">
        <is>
          <t>JÖNKÖPING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16072-2025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45749</v>
      </c>
      <c r="E492" s="1" t="n">
        <v>46216</v>
      </c>
      <c r="F492" t="inlineStr">
        <is>
          <t>JÖNKÖPINGS LÄN</t>
        </is>
      </c>
      <c r="G492" t="inlineStr">
        <is>
          <t>JÖNKÖPING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13691-2022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44648</v>
      </c>
      <c r="E493" s="1" t="n">
        <v>46216</v>
      </c>
      <c r="F493" t="inlineStr">
        <is>
          <t>JÖNKÖPINGS LÄN</t>
        </is>
      </c>
      <c r="G493" t="inlineStr">
        <is>
          <t>JÖNKÖPING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62486-2025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46007</v>
      </c>
      <c r="E494" s="1" t="n">
        <v>46216</v>
      </c>
      <c r="F494" t="inlineStr">
        <is>
          <t>JÖNKÖPINGS LÄN</t>
        </is>
      </c>
      <c r="G494" t="inlineStr">
        <is>
          <t>JÖNKÖPING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63076-2025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46009</v>
      </c>
      <c r="E495" s="1" t="n">
        <v>46216</v>
      </c>
      <c r="F495" t="inlineStr">
        <is>
          <t>JÖNKÖPINGS LÄN</t>
        </is>
      </c>
      <c r="G495" t="inlineStr">
        <is>
          <t>JÖNKÖPING</t>
        </is>
      </c>
      <c r="H495" t="inlineStr">
        <is>
          <t>Sveaskog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11066-2026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46079</v>
      </c>
      <c r="E496" s="1" t="n">
        <v>46216</v>
      </c>
      <c r="F496" t="inlineStr">
        <is>
          <t>JÖNKÖPINGS LÄN</t>
        </is>
      </c>
      <c r="G496" t="inlineStr">
        <is>
          <t>JÖNKÖPING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62876-2025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46008</v>
      </c>
      <c r="E497" s="1" t="n">
        <v>46216</v>
      </c>
      <c r="F497" t="inlineStr">
        <is>
          <t>JÖNKÖPINGS LÄN</t>
        </is>
      </c>
      <c r="G497" t="inlineStr">
        <is>
          <t>JÖNKÖPING</t>
        </is>
      </c>
      <c r="H497" t="inlineStr">
        <is>
          <t>Sveaskog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45406-2023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45194</v>
      </c>
      <c r="E498" s="1" t="n">
        <v>46216</v>
      </c>
      <c r="F498" t="inlineStr">
        <is>
          <t>JÖNKÖPINGS LÄN</t>
        </is>
      </c>
      <c r="G498" t="inlineStr">
        <is>
          <t>JÖNKÖPING</t>
        </is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63435-2025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46013</v>
      </c>
      <c r="E499" s="1" t="n">
        <v>46216</v>
      </c>
      <c r="F499" t="inlineStr">
        <is>
          <t>JÖNKÖPINGS LÄN</t>
        </is>
      </c>
      <c r="G499" t="inlineStr">
        <is>
          <t>JÖNKÖPING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18604-2025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45763</v>
      </c>
      <c r="E500" s="1" t="n">
        <v>46216</v>
      </c>
      <c r="F500" t="inlineStr">
        <is>
          <t>JÖNKÖPINGS LÄN</t>
        </is>
      </c>
      <c r="G500" t="inlineStr">
        <is>
          <t>JÖNKÖPING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2461-2023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44943</v>
      </c>
      <c r="E501" s="1" t="n">
        <v>46216</v>
      </c>
      <c r="F501" t="inlineStr">
        <is>
          <t>JÖNKÖPINGS LÄN</t>
        </is>
      </c>
      <c r="G501" t="inlineStr">
        <is>
          <t>JÖNKÖPING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2464-2023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44943</v>
      </c>
      <c r="E502" s="1" t="n">
        <v>46216</v>
      </c>
      <c r="F502" t="inlineStr">
        <is>
          <t>JÖNKÖPINGS LÄN</t>
        </is>
      </c>
      <c r="G502" t="inlineStr">
        <is>
          <t>JÖNKÖPING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53282-2025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45958</v>
      </c>
      <c r="E503" s="1" t="n">
        <v>46216</v>
      </c>
      <c r="F503" t="inlineStr">
        <is>
          <t>JÖNKÖPINGS LÄN</t>
        </is>
      </c>
      <c r="G503" t="inlineStr">
        <is>
          <t>JÖNKÖPING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63564-2025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46013</v>
      </c>
      <c r="E504" s="1" t="n">
        <v>46216</v>
      </c>
      <c r="F504" t="inlineStr">
        <is>
          <t>JÖNKÖPINGS LÄN</t>
        </is>
      </c>
      <c r="G504" t="inlineStr">
        <is>
          <t>JÖNKÖPING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63346-2025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46010</v>
      </c>
      <c r="E505" s="1" t="n">
        <v>46216</v>
      </c>
      <c r="F505" t="inlineStr">
        <is>
          <t>JÖNKÖPINGS LÄN</t>
        </is>
      </c>
      <c r="G505" t="inlineStr">
        <is>
          <t>JÖNKÖPING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47427-2024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45587</v>
      </c>
      <c r="E506" s="1" t="n">
        <v>46216</v>
      </c>
      <c r="F506" t="inlineStr">
        <is>
          <t>JÖNKÖPINGS LÄN</t>
        </is>
      </c>
      <c r="G506" t="inlineStr">
        <is>
          <t>JÖNKÖPING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63540-2025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46013</v>
      </c>
      <c r="E507" s="1" t="n">
        <v>46216</v>
      </c>
      <c r="F507" t="inlineStr">
        <is>
          <t>JÖNKÖPINGS LÄN</t>
        </is>
      </c>
      <c r="G507" t="inlineStr">
        <is>
          <t>JÖNKÖPING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63542-2025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46013</v>
      </c>
      <c r="E508" s="1" t="n">
        <v>46216</v>
      </c>
      <c r="F508" t="inlineStr">
        <is>
          <t>JÖNKÖPINGS LÄN</t>
        </is>
      </c>
      <c r="G508" t="inlineStr">
        <is>
          <t>JÖNKÖPING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63126-2025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46009</v>
      </c>
      <c r="E509" s="1" t="n">
        <v>46216</v>
      </c>
      <c r="F509" t="inlineStr">
        <is>
          <t>JÖNKÖPINGS LÄN</t>
        </is>
      </c>
      <c r="G509" t="inlineStr">
        <is>
          <t>JÖNKÖPING</t>
        </is>
      </c>
      <c r="H509" t="inlineStr">
        <is>
          <t>Sveaskog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63432-2025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46013</v>
      </c>
      <c r="E510" s="1" t="n">
        <v>46216</v>
      </c>
      <c r="F510" t="inlineStr">
        <is>
          <t>JÖNKÖPINGS LÄN</t>
        </is>
      </c>
      <c r="G510" t="inlineStr">
        <is>
          <t>JÖNKÖPING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63127-2025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46009</v>
      </c>
      <c r="E511" s="1" t="n">
        <v>46216</v>
      </c>
      <c r="F511" t="inlineStr">
        <is>
          <t>JÖNKÖPINGS LÄN</t>
        </is>
      </c>
      <c r="G511" t="inlineStr">
        <is>
          <t>JÖNKÖPING</t>
        </is>
      </c>
      <c r="H511" t="inlineStr">
        <is>
          <t>Sveaskog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63125-2025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46009</v>
      </c>
      <c r="E512" s="1" t="n">
        <v>46216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Sveaskog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63452-2025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46013</v>
      </c>
      <c r="E513" s="1" t="n">
        <v>46216</v>
      </c>
      <c r="F513" t="inlineStr">
        <is>
          <t>JÖNKÖPINGS LÄN</t>
        </is>
      </c>
      <c r="G513" t="inlineStr">
        <is>
          <t>JÖNKÖPING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63563-2025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46013</v>
      </c>
      <c r="E514" s="1" t="n">
        <v>46216</v>
      </c>
      <c r="F514" t="inlineStr">
        <is>
          <t>JÖNKÖPINGS LÄN</t>
        </is>
      </c>
      <c r="G514" t="inlineStr">
        <is>
          <t>JÖNKÖPING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60284-2024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45642</v>
      </c>
      <c r="E515" s="1" t="n">
        <v>46216</v>
      </c>
      <c r="F515" t="inlineStr">
        <is>
          <t>JÖNKÖPINGS LÄN</t>
        </is>
      </c>
      <c r="G515" t="inlineStr">
        <is>
          <t>JÖNKÖPING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63119-2025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46009</v>
      </c>
      <c r="E516" s="1" t="n">
        <v>46216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Sveaskog</t>
        </is>
      </c>
      <c r="I516" t="n">
        <v>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63577-2025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46013</v>
      </c>
      <c r="E517" s="1" t="n">
        <v>46216</v>
      </c>
      <c r="F517" t="inlineStr">
        <is>
          <t>JÖNKÖPINGS LÄN</t>
        </is>
      </c>
      <c r="G517" t="inlineStr">
        <is>
          <t>JÖNKÖPING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13061-2025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45734</v>
      </c>
      <c r="E518" s="1" t="n">
        <v>46216</v>
      </c>
      <c r="F518" t="inlineStr">
        <is>
          <t>JÖNKÖPINGS LÄN</t>
        </is>
      </c>
      <c r="G518" t="inlineStr">
        <is>
          <t>JÖNKÖPING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18606-2023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45043</v>
      </c>
      <c r="E519" s="1" t="n">
        <v>46216</v>
      </c>
      <c r="F519" t="inlineStr">
        <is>
          <t>JÖNKÖPINGS LÄN</t>
        </is>
      </c>
      <c r="G519" t="inlineStr">
        <is>
          <t>JÖNKÖPING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38854-2021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44411</v>
      </c>
      <c r="E520" s="1" t="n">
        <v>46216</v>
      </c>
      <c r="F520" t="inlineStr">
        <is>
          <t>JÖNKÖPINGS LÄN</t>
        </is>
      </c>
      <c r="G520" t="inlineStr">
        <is>
          <t>JÖNKÖPING</t>
        </is>
      </c>
      <c r="I520" t="n">
        <v>10.1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14112-2024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45392</v>
      </c>
      <c r="E521" s="1" t="n">
        <v>46216</v>
      </c>
      <c r="F521" t="inlineStr">
        <is>
          <t>JÖNKÖPINGS LÄN</t>
        </is>
      </c>
      <c r="G521" t="inlineStr">
        <is>
          <t>JÖNKÖPING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12256-2026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46087</v>
      </c>
      <c r="E522" s="1" t="n">
        <v>46216</v>
      </c>
      <c r="F522" t="inlineStr">
        <is>
          <t>JÖNKÖPINGS LÄN</t>
        </is>
      </c>
      <c r="G522" t="inlineStr">
        <is>
          <t>JÖNKÖPING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62909-2023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45271</v>
      </c>
      <c r="E523" s="1" t="n">
        <v>46216</v>
      </c>
      <c r="F523" t="inlineStr">
        <is>
          <t>JÖNKÖPINGS LÄN</t>
        </is>
      </c>
      <c r="G523" t="inlineStr">
        <is>
          <t>JÖNKÖPING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12674-2026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46090</v>
      </c>
      <c r="E524" s="1" t="n">
        <v>46216</v>
      </c>
      <c r="F524" t="inlineStr">
        <is>
          <t>JÖNKÖPINGS LÄN</t>
        </is>
      </c>
      <c r="G524" t="inlineStr">
        <is>
          <t>JÖNKÖPING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50173-2023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45215</v>
      </c>
      <c r="E525" s="1" t="n">
        <v>46216</v>
      </c>
      <c r="F525" t="inlineStr">
        <is>
          <t>JÖNKÖPINGS LÄN</t>
        </is>
      </c>
      <c r="G525" t="inlineStr">
        <is>
          <t>JÖNKÖPING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36189-2022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44803</v>
      </c>
      <c r="E526" s="1" t="n">
        <v>46216</v>
      </c>
      <c r="F526" t="inlineStr">
        <is>
          <t>JÖNKÖPINGS LÄN</t>
        </is>
      </c>
      <c r="G526" t="inlineStr">
        <is>
          <t>JÖNKÖPING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12657-2026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46091</v>
      </c>
      <c r="E527" s="1" t="n">
        <v>46216</v>
      </c>
      <c r="F527" t="inlineStr">
        <is>
          <t>JÖNKÖPINGS LÄN</t>
        </is>
      </c>
      <c r="G527" t="inlineStr">
        <is>
          <t>JÖNKÖPING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2364-2025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45673</v>
      </c>
      <c r="E528" s="1" t="n">
        <v>46216</v>
      </c>
      <c r="F528" t="inlineStr">
        <is>
          <t>JÖNKÖPINGS LÄN</t>
        </is>
      </c>
      <c r="G528" t="inlineStr">
        <is>
          <t>JÖNKÖPING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4643-2023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44957</v>
      </c>
      <c r="E529" s="1" t="n">
        <v>46216</v>
      </c>
      <c r="F529" t="inlineStr">
        <is>
          <t>JÖNKÖPINGS LÄN</t>
        </is>
      </c>
      <c r="G529" t="inlineStr">
        <is>
          <t>JÖNKÖPING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24554-2024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45460</v>
      </c>
      <c r="E530" s="1" t="n">
        <v>46216</v>
      </c>
      <c r="F530" t="inlineStr">
        <is>
          <t>JÖNKÖPINGS LÄN</t>
        </is>
      </c>
      <c r="G530" t="inlineStr">
        <is>
          <t>JÖNKÖPING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16652-2023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45030</v>
      </c>
      <c r="E531" s="1" t="n">
        <v>46216</v>
      </c>
      <c r="F531" t="inlineStr">
        <is>
          <t>JÖNKÖPINGS LÄN</t>
        </is>
      </c>
      <c r="G531" t="inlineStr">
        <is>
          <t>JÖNKÖPING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8347-2023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44977</v>
      </c>
      <c r="E532" s="1" t="n">
        <v>46216</v>
      </c>
      <c r="F532" t="inlineStr">
        <is>
          <t>JÖNKÖPINGS LÄN</t>
        </is>
      </c>
      <c r="G532" t="inlineStr">
        <is>
          <t>JÖNKÖPING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17171-2023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45034</v>
      </c>
      <c r="E533" s="1" t="n">
        <v>46216</v>
      </c>
      <c r="F533" t="inlineStr">
        <is>
          <t>JÖNKÖPINGS LÄN</t>
        </is>
      </c>
      <c r="G533" t="inlineStr">
        <is>
          <t>JÖNKÖPING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53256-2021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44468</v>
      </c>
      <c r="E534" s="1" t="n">
        <v>46216</v>
      </c>
      <c r="F534" t="inlineStr">
        <is>
          <t>JÖNKÖPINGS LÄN</t>
        </is>
      </c>
      <c r="G534" t="inlineStr">
        <is>
          <t>JÖNKÖPING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7885-2024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45349</v>
      </c>
      <c r="E535" s="1" t="n">
        <v>46216</v>
      </c>
      <c r="F535" t="inlineStr">
        <is>
          <t>JÖNKÖPINGS LÄN</t>
        </is>
      </c>
      <c r="G535" t="inlineStr">
        <is>
          <t>JÖNKÖPING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42838-2023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45182</v>
      </c>
      <c r="E536" s="1" t="n">
        <v>46216</v>
      </c>
      <c r="F536" t="inlineStr">
        <is>
          <t>JÖNKÖPINGS LÄN</t>
        </is>
      </c>
      <c r="G536" t="inlineStr">
        <is>
          <t>JÖNKÖPING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18607-2025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45763</v>
      </c>
      <c r="E537" s="1" t="n">
        <v>46216</v>
      </c>
      <c r="F537" t="inlineStr">
        <is>
          <t>JÖNKÖPINGS LÄN</t>
        </is>
      </c>
      <c r="G537" t="inlineStr">
        <is>
          <t>JÖNKÖPING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14699-2026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46101</v>
      </c>
      <c r="E538" s="1" t="n">
        <v>46216</v>
      </c>
      <c r="F538" t="inlineStr">
        <is>
          <t>JÖNKÖPINGS LÄN</t>
        </is>
      </c>
      <c r="G538" t="inlineStr">
        <is>
          <t>JÖNKÖPING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61638-2024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45646</v>
      </c>
      <c r="E539" s="1" t="n">
        <v>46216</v>
      </c>
      <c r="F539" t="inlineStr">
        <is>
          <t>JÖNKÖPINGS LÄN</t>
        </is>
      </c>
      <c r="G539" t="inlineStr">
        <is>
          <t>JÖNKÖPING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40273-2023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45169</v>
      </c>
      <c r="E540" s="1" t="n">
        <v>46216</v>
      </c>
      <c r="F540" t="inlineStr">
        <is>
          <t>JÖNKÖPINGS LÄN</t>
        </is>
      </c>
      <c r="G540" t="inlineStr">
        <is>
          <t>JÖNKÖPING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40163-2023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45169</v>
      </c>
      <c r="E541" s="1" t="n">
        <v>46216</v>
      </c>
      <c r="F541" t="inlineStr">
        <is>
          <t>JÖNKÖPINGS LÄN</t>
        </is>
      </c>
      <c r="G541" t="inlineStr">
        <is>
          <t>JÖNKÖPING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21149-2022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44704</v>
      </c>
      <c r="E542" s="1" t="n">
        <v>46216</v>
      </c>
      <c r="F542" t="inlineStr">
        <is>
          <t>JÖNKÖPINGS LÄN</t>
        </is>
      </c>
      <c r="G542" t="inlineStr">
        <is>
          <t>JÖNKÖPING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15455-2024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45401</v>
      </c>
      <c r="E543" s="1" t="n">
        <v>46216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Kommuner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17307-2024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45414</v>
      </c>
      <c r="E544" s="1" t="n">
        <v>46216</v>
      </c>
      <c r="F544" t="inlineStr">
        <is>
          <t>JÖNKÖPINGS LÄN</t>
        </is>
      </c>
      <c r="G544" t="inlineStr">
        <is>
          <t>JÖNKÖPING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17819-2025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45758</v>
      </c>
      <c r="E545" s="1" t="n">
        <v>46216</v>
      </c>
      <c r="F545" t="inlineStr">
        <is>
          <t>JÖNKÖPINGS LÄN</t>
        </is>
      </c>
      <c r="G545" t="inlineStr">
        <is>
          <t>JÖNKÖPING</t>
        </is>
      </c>
      <c r="H545" t="inlineStr">
        <is>
          <t>Kyrkan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46623-2023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45198</v>
      </c>
      <c r="E546" s="1" t="n">
        <v>46216</v>
      </c>
      <c r="F546" t="inlineStr">
        <is>
          <t>JÖNKÖPINGS LÄN</t>
        </is>
      </c>
      <c r="G546" t="inlineStr">
        <is>
          <t>JÖNKÖPING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46628-2023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45198</v>
      </c>
      <c r="E547" s="1" t="n">
        <v>46216</v>
      </c>
      <c r="F547" t="inlineStr">
        <is>
          <t>JÖNKÖPINGS LÄN</t>
        </is>
      </c>
      <c r="G547" t="inlineStr">
        <is>
          <t>JÖNKÖPING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74117-2021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44557</v>
      </c>
      <c r="E548" s="1" t="n">
        <v>46216</v>
      </c>
      <c r="F548" t="inlineStr">
        <is>
          <t>JÖNKÖPINGS LÄN</t>
        </is>
      </c>
      <c r="G548" t="inlineStr">
        <is>
          <t>JÖNKÖPING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54876-2022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44886</v>
      </c>
      <c r="E549" s="1" t="n">
        <v>46216</v>
      </c>
      <c r="F549" t="inlineStr">
        <is>
          <t>JÖNKÖPINGS LÄN</t>
        </is>
      </c>
      <c r="G549" t="inlineStr">
        <is>
          <t>JÖNKÖPING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15190-2022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44658</v>
      </c>
      <c r="E550" s="1" t="n">
        <v>46216</v>
      </c>
      <c r="F550" t="inlineStr">
        <is>
          <t>JÖNKÖPINGS LÄN</t>
        </is>
      </c>
      <c r="G550" t="inlineStr">
        <is>
          <t>JÖNKÖPING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1425-2024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45303</v>
      </c>
      <c r="E551" s="1" t="n">
        <v>46216</v>
      </c>
      <c r="F551" t="inlineStr">
        <is>
          <t>JÖNKÖPINGS LÄN</t>
        </is>
      </c>
      <c r="G551" t="inlineStr">
        <is>
          <t>JÖNKÖPING</t>
        </is>
      </c>
      <c r="H551" t="inlineStr">
        <is>
          <t>Sveaskog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45920-2024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45580</v>
      </c>
      <c r="E552" s="1" t="n">
        <v>46216</v>
      </c>
      <c r="F552" t="inlineStr">
        <is>
          <t>JÖNKÖPINGS LÄN</t>
        </is>
      </c>
      <c r="G552" t="inlineStr">
        <is>
          <t>JÖNKÖPING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73003-2021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44550</v>
      </c>
      <c r="E553" s="1" t="n">
        <v>46216</v>
      </c>
      <c r="F553" t="inlineStr">
        <is>
          <t>JÖNKÖPINGS LÄN</t>
        </is>
      </c>
      <c r="G553" t="inlineStr">
        <is>
          <t>JÖNKÖPING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23788-2024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45455</v>
      </c>
      <c r="E554" s="1" t="n">
        <v>46216</v>
      </c>
      <c r="F554" t="inlineStr">
        <is>
          <t>JÖNKÖPINGS LÄN</t>
        </is>
      </c>
      <c r="G554" t="inlineStr">
        <is>
          <t>JÖNKÖPING</t>
        </is>
      </c>
      <c r="H554" t="inlineStr">
        <is>
          <t>Sveaskog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33448-2023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45130</v>
      </c>
      <c r="E555" s="1" t="n">
        <v>46216</v>
      </c>
      <c r="F555" t="inlineStr">
        <is>
          <t>JÖNKÖPINGS LÄN</t>
        </is>
      </c>
      <c r="G555" t="inlineStr">
        <is>
          <t>JÖNKÖPING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28199-2024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45477</v>
      </c>
      <c r="E556" s="1" t="n">
        <v>46216</v>
      </c>
      <c r="F556" t="inlineStr">
        <is>
          <t>JÖNKÖPINGS LÄN</t>
        </is>
      </c>
      <c r="G556" t="inlineStr">
        <is>
          <t>JÖNKÖPING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38917-2024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45547</v>
      </c>
      <c r="E557" s="1" t="n">
        <v>46216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30578-2023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45112</v>
      </c>
      <c r="E558" s="1" t="n">
        <v>46216</v>
      </c>
      <c r="F558" t="inlineStr">
        <is>
          <t>JÖNKÖPINGS LÄN</t>
        </is>
      </c>
      <c r="G558" t="inlineStr">
        <is>
          <t>JÖNKÖPING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30580-2023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45112</v>
      </c>
      <c r="E559" s="1" t="n">
        <v>46216</v>
      </c>
      <c r="F559" t="inlineStr">
        <is>
          <t>JÖNKÖPINGS LÄN</t>
        </is>
      </c>
      <c r="G559" t="inlineStr">
        <is>
          <t>JÖNKÖPING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41305-2023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45174</v>
      </c>
      <c r="E560" s="1" t="n">
        <v>46216</v>
      </c>
      <c r="F560" t="inlineStr">
        <is>
          <t>JÖNKÖPINGS LÄN</t>
        </is>
      </c>
      <c r="G560" t="inlineStr">
        <is>
          <t>JÖNKÖPING</t>
        </is>
      </c>
      <c r="I560" t="n">
        <v>5.4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17295-2026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46119</v>
      </c>
      <c r="E561" s="1" t="n">
        <v>46216</v>
      </c>
      <c r="F561" t="inlineStr">
        <is>
          <t>JÖNKÖPINGS LÄN</t>
        </is>
      </c>
      <c r="G561" t="inlineStr">
        <is>
          <t>JÖNKÖPING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17325-2026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46119</v>
      </c>
      <c r="E562" s="1" t="n">
        <v>46216</v>
      </c>
      <c r="F562" t="inlineStr">
        <is>
          <t>JÖNKÖPINGS LÄN</t>
        </is>
      </c>
      <c r="G562" t="inlineStr">
        <is>
          <t>JÖNKÖPING</t>
        </is>
      </c>
      <c r="I562" t="n">
        <v>5.6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17532-2026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46120</v>
      </c>
      <c r="E563" s="1" t="n">
        <v>46216</v>
      </c>
      <c r="F563" t="inlineStr">
        <is>
          <t>JÖNKÖPINGS LÄN</t>
        </is>
      </c>
      <c r="G563" t="inlineStr">
        <is>
          <t>JÖNKÖPING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40609-2024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45557</v>
      </c>
      <c r="E564" s="1" t="n">
        <v>46216</v>
      </c>
      <c r="F564" t="inlineStr">
        <is>
          <t>JÖNKÖPINGS LÄN</t>
        </is>
      </c>
      <c r="G564" t="inlineStr">
        <is>
          <t>JÖNKÖPING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17535-2026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46120</v>
      </c>
      <c r="E565" s="1" t="n">
        <v>46216</v>
      </c>
      <c r="F565" t="inlineStr">
        <is>
          <t>JÖNKÖPINGS LÄN</t>
        </is>
      </c>
      <c r="G565" t="inlineStr">
        <is>
          <t>JÖNKÖPING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17543-2026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46120</v>
      </c>
      <c r="E566" s="1" t="n">
        <v>46216</v>
      </c>
      <c r="F566" t="inlineStr">
        <is>
          <t>JÖNKÖPINGS LÄN</t>
        </is>
      </c>
      <c r="G566" t="inlineStr">
        <is>
          <t>JÖNKÖPING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17294-2026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46119</v>
      </c>
      <c r="E567" s="1" t="n">
        <v>46216</v>
      </c>
      <c r="F567" t="inlineStr">
        <is>
          <t>JÖNKÖPINGS LÄN</t>
        </is>
      </c>
      <c r="G567" t="inlineStr">
        <is>
          <t>JÖNKÖPING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8752-2022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44614</v>
      </c>
      <c r="E568" s="1" t="n">
        <v>46216</v>
      </c>
      <c r="F568" t="inlineStr">
        <is>
          <t>JÖNKÖPINGS LÄN</t>
        </is>
      </c>
      <c r="G568" t="inlineStr">
        <is>
          <t>JÖNKÖPING</t>
        </is>
      </c>
      <c r="I568" t="n">
        <v>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25079-2024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45462</v>
      </c>
      <c r="E569" s="1" t="n">
        <v>46216</v>
      </c>
      <c r="F569" t="inlineStr">
        <is>
          <t>JÖNKÖPINGS LÄN</t>
        </is>
      </c>
      <c r="G569" t="inlineStr">
        <is>
          <t>JÖNKÖPING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49392-2022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44861</v>
      </c>
      <c r="E570" s="1" t="n">
        <v>46216</v>
      </c>
      <c r="F570" t="inlineStr">
        <is>
          <t>JÖNKÖPINGS LÄN</t>
        </is>
      </c>
      <c r="G570" t="inlineStr">
        <is>
          <t>JÖNKÖPING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4308-2024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45324</v>
      </c>
      <c r="E571" s="1" t="n">
        <v>46216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Kyrkan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62577-2023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45270</v>
      </c>
      <c r="E572" s="1" t="n">
        <v>46216</v>
      </c>
      <c r="F572" t="inlineStr">
        <is>
          <t>JÖNKÖPINGS LÄN</t>
        </is>
      </c>
      <c r="G572" t="inlineStr">
        <is>
          <t>JÖNKÖPING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42220-2023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45179</v>
      </c>
      <c r="E573" s="1" t="n">
        <v>46216</v>
      </c>
      <c r="F573" t="inlineStr">
        <is>
          <t>JÖNKÖPINGS LÄN</t>
        </is>
      </c>
      <c r="G573" t="inlineStr">
        <is>
          <t>JÖNKÖPING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63176-2021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44507</v>
      </c>
      <c r="E574" s="1" t="n">
        <v>46216</v>
      </c>
      <c r="F574" t="inlineStr">
        <is>
          <t>JÖNKÖPINGS LÄN</t>
        </is>
      </c>
      <c r="G574" t="inlineStr">
        <is>
          <t>JÖNKÖPING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54899-2024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45618</v>
      </c>
      <c r="E575" s="1" t="n">
        <v>46216</v>
      </c>
      <c r="F575" t="inlineStr">
        <is>
          <t>JÖNKÖPINGS LÄN</t>
        </is>
      </c>
      <c r="G575" t="inlineStr">
        <is>
          <t>JÖNKÖPING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63551-2023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45275</v>
      </c>
      <c r="E576" s="1" t="n">
        <v>46216</v>
      </c>
      <c r="F576" t="inlineStr">
        <is>
          <t>JÖNKÖPINGS LÄN</t>
        </is>
      </c>
      <c r="G576" t="inlineStr">
        <is>
          <t>JÖNKÖPING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1306-2023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44936</v>
      </c>
      <c r="E577" s="1" t="n">
        <v>46216</v>
      </c>
      <c r="F577" t="inlineStr">
        <is>
          <t>JÖNKÖPINGS LÄN</t>
        </is>
      </c>
      <c r="G577" t="inlineStr">
        <is>
          <t>JÖNKÖPING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36944-2024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45538</v>
      </c>
      <c r="E578" s="1" t="n">
        <v>46216</v>
      </c>
      <c r="F578" t="inlineStr">
        <is>
          <t>JÖNKÖPINGS LÄN</t>
        </is>
      </c>
      <c r="G578" t="inlineStr">
        <is>
          <t>JÖNKÖPING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1241-2024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45302</v>
      </c>
      <c r="E579" s="1" t="n">
        <v>46216</v>
      </c>
      <c r="F579" t="inlineStr">
        <is>
          <t>JÖNKÖPINGS LÄN</t>
        </is>
      </c>
      <c r="G579" t="inlineStr">
        <is>
          <t>JÖNKÖPING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909-2024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45300</v>
      </c>
      <c r="E580" s="1" t="n">
        <v>46216</v>
      </c>
      <c r="F580" t="inlineStr">
        <is>
          <t>JÖNKÖPINGS LÄN</t>
        </is>
      </c>
      <c r="G580" t="inlineStr">
        <is>
          <t>JÖNKÖPING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17019-2024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45412</v>
      </c>
      <c r="E581" s="1" t="n">
        <v>46216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Övriga Aktiebolag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18846-2025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45764</v>
      </c>
      <c r="E582" s="1" t="n">
        <v>46216</v>
      </c>
      <c r="F582" t="inlineStr">
        <is>
          <t>JÖNKÖPINGS LÄN</t>
        </is>
      </c>
      <c r="G582" t="inlineStr">
        <is>
          <t>JÖNKÖPING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25063-2026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46174</v>
      </c>
      <c r="E583" s="1" t="n">
        <v>46216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Sveaskog</t>
        </is>
      </c>
      <c r="I583" t="n">
        <v>8.300000000000001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25064-2026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46174</v>
      </c>
      <c r="E584" s="1" t="n">
        <v>46216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42818-2023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45182</v>
      </c>
      <c r="E585" s="1" t="n">
        <v>46216</v>
      </c>
      <c r="F585" t="inlineStr">
        <is>
          <t>JÖNKÖPINGS LÄN</t>
        </is>
      </c>
      <c r="G585" t="inlineStr">
        <is>
          <t>JÖNKÖPING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62263-2023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45267</v>
      </c>
      <c r="E586" s="1" t="n">
        <v>46216</v>
      </c>
      <c r="F586" t="inlineStr">
        <is>
          <t>JÖNKÖPINGS LÄN</t>
        </is>
      </c>
      <c r="G586" t="inlineStr">
        <is>
          <t>JÖNKÖPING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36180-2023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45149</v>
      </c>
      <c r="E587" s="1" t="n">
        <v>46216</v>
      </c>
      <c r="F587" t="inlineStr">
        <is>
          <t>JÖNKÖPINGS LÄN</t>
        </is>
      </c>
      <c r="G587" t="inlineStr">
        <is>
          <t>JÖNKÖPING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2453-2023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44943</v>
      </c>
      <c r="E588" s="1" t="n">
        <v>46216</v>
      </c>
      <c r="F588" t="inlineStr">
        <is>
          <t>JÖNKÖPINGS LÄN</t>
        </is>
      </c>
      <c r="G588" t="inlineStr">
        <is>
          <t>JÖNKÖPING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53936-2024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45615</v>
      </c>
      <c r="E589" s="1" t="n">
        <v>46216</v>
      </c>
      <c r="F589" t="inlineStr">
        <is>
          <t>JÖNKÖPINGS LÄN</t>
        </is>
      </c>
      <c r="G589" t="inlineStr">
        <is>
          <t>JÖNKÖPING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53938-2024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45615</v>
      </c>
      <c r="E590" s="1" t="n">
        <v>46216</v>
      </c>
      <c r="F590" t="inlineStr">
        <is>
          <t>JÖNKÖPINGS LÄN</t>
        </is>
      </c>
      <c r="G590" t="inlineStr">
        <is>
          <t>JÖNKÖPING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34024-2024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45523</v>
      </c>
      <c r="E591" s="1" t="n">
        <v>46216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Sveaskog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48038-2021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44449</v>
      </c>
      <c r="E592" s="1" t="n">
        <v>46216</v>
      </c>
      <c r="F592" t="inlineStr">
        <is>
          <t>JÖNKÖPINGS LÄN</t>
        </is>
      </c>
      <c r="G592" t="inlineStr">
        <is>
          <t>JÖNKÖPING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64650-2023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45281</v>
      </c>
      <c r="E593" s="1" t="n">
        <v>46216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Sveaskog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2636-2023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44944</v>
      </c>
      <c r="E594" s="1" t="n">
        <v>46216</v>
      </c>
      <c r="F594" t="inlineStr">
        <is>
          <t>JÖNKÖPINGS LÄN</t>
        </is>
      </c>
      <c r="G594" t="inlineStr">
        <is>
          <t>JÖNKÖPING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8931-2022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44614</v>
      </c>
      <c r="E595" s="1" t="n">
        <v>46216</v>
      </c>
      <c r="F595" t="inlineStr">
        <is>
          <t>JÖNKÖPINGS LÄN</t>
        </is>
      </c>
      <c r="G595" t="inlineStr">
        <is>
          <t>JÖNKÖPING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25067-2022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44729</v>
      </c>
      <c r="E596" s="1" t="n">
        <v>46216</v>
      </c>
      <c r="F596" t="inlineStr">
        <is>
          <t>JÖNKÖPINGS LÄN</t>
        </is>
      </c>
      <c r="G596" t="inlineStr">
        <is>
          <t>JÖNKÖPING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13632-2022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44648</v>
      </c>
      <c r="E597" s="1" t="n">
        <v>46216</v>
      </c>
      <c r="F597" t="inlineStr">
        <is>
          <t>JÖNKÖPINGS LÄN</t>
        </is>
      </c>
      <c r="G597" t="inlineStr">
        <is>
          <t>JÖNKÖPING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42047-2023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45177</v>
      </c>
      <c r="E598" s="1" t="n">
        <v>46216</v>
      </c>
      <c r="F598" t="inlineStr">
        <is>
          <t>JÖNKÖPINGS LÄN</t>
        </is>
      </c>
      <c r="G598" t="inlineStr">
        <is>
          <t>JÖNKÖPING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26888-2025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45810</v>
      </c>
      <c r="E599" s="1" t="n">
        <v>46216</v>
      </c>
      <c r="F599" t="inlineStr">
        <is>
          <t>JÖNKÖPINGS LÄN</t>
        </is>
      </c>
      <c r="G599" t="inlineStr">
        <is>
          <t>JÖNKÖPING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1756-2023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44938</v>
      </c>
      <c r="E600" s="1" t="n">
        <v>46216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Kyrkan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47740-2024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45588</v>
      </c>
      <c r="E601" s="1" t="n">
        <v>46216</v>
      </c>
      <c r="F601" t="inlineStr">
        <is>
          <t>JÖNKÖPINGS LÄN</t>
        </is>
      </c>
      <c r="G601" t="inlineStr">
        <is>
          <t>JÖNKÖPING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14566-2022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44655</v>
      </c>
      <c r="E602" s="1" t="n">
        <v>46216</v>
      </c>
      <c r="F602" t="inlineStr">
        <is>
          <t>JÖNKÖPINGS LÄN</t>
        </is>
      </c>
      <c r="G602" t="inlineStr">
        <is>
          <t>JÖNKÖPING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31757-2025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45834</v>
      </c>
      <c r="E603" s="1" t="n">
        <v>46216</v>
      </c>
      <c r="F603" t="inlineStr">
        <is>
          <t>JÖNKÖPINGS LÄN</t>
        </is>
      </c>
      <c r="G603" t="inlineStr">
        <is>
          <t>JÖNKÖPING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40923-2024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45558</v>
      </c>
      <c r="E604" s="1" t="n">
        <v>46216</v>
      </c>
      <c r="F604" t="inlineStr">
        <is>
          <t>JÖNKÖPINGS LÄN</t>
        </is>
      </c>
      <c r="G604" t="inlineStr">
        <is>
          <t>JÖNKÖPING</t>
        </is>
      </c>
      <c r="H604" t="inlineStr">
        <is>
          <t>Sveaskog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61759-2025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46002</v>
      </c>
      <c r="E605" s="1" t="n">
        <v>46216</v>
      </c>
      <c r="F605" t="inlineStr">
        <is>
          <t>JÖNKÖPINGS LÄN</t>
        </is>
      </c>
      <c r="G605" t="inlineStr">
        <is>
          <t>JÖNKÖPING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44106-2022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44839</v>
      </c>
      <c r="E606" s="1" t="n">
        <v>46216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Sveaskog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26427-2023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45092</v>
      </c>
      <c r="E607" s="1" t="n">
        <v>46216</v>
      </c>
      <c r="F607" t="inlineStr">
        <is>
          <t>JÖNKÖPINGS LÄN</t>
        </is>
      </c>
      <c r="G607" t="inlineStr">
        <is>
          <t>JÖNKÖPING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56599-2022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44893</v>
      </c>
      <c r="E608" s="1" t="n">
        <v>46216</v>
      </c>
      <c r="F608" t="inlineStr">
        <is>
          <t>JÖNKÖPINGS LÄN</t>
        </is>
      </c>
      <c r="G608" t="inlineStr">
        <is>
          <t>JÖNKÖPING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10018-2024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45363</v>
      </c>
      <c r="E609" s="1" t="n">
        <v>46216</v>
      </c>
      <c r="F609" t="inlineStr">
        <is>
          <t>JÖNKÖPINGS LÄN</t>
        </is>
      </c>
      <c r="G609" t="inlineStr">
        <is>
          <t>JÖNKÖPING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2650-2024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45314</v>
      </c>
      <c r="E610" s="1" t="n">
        <v>46216</v>
      </c>
      <c r="F610" t="inlineStr">
        <is>
          <t>JÖNKÖPINGS LÄN</t>
        </is>
      </c>
      <c r="G610" t="inlineStr">
        <is>
          <t>JÖNKÖPING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17829-2025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45758</v>
      </c>
      <c r="E611" s="1" t="n">
        <v>46216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Kyrkan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57719-2021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44484</v>
      </c>
      <c r="E612" s="1" t="n">
        <v>46216</v>
      </c>
      <c r="F612" t="inlineStr">
        <is>
          <t>JÖNKÖPINGS LÄN</t>
        </is>
      </c>
      <c r="G612" t="inlineStr">
        <is>
          <t>JÖNKÖPING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12376-2025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45730</v>
      </c>
      <c r="E613" s="1" t="n">
        <v>46216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52812-2023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45226</v>
      </c>
      <c r="E614" s="1" t="n">
        <v>46216</v>
      </c>
      <c r="F614" t="inlineStr">
        <is>
          <t>JÖNKÖPINGS LÄN</t>
        </is>
      </c>
      <c r="G614" t="inlineStr">
        <is>
          <t>JÖNKÖPING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33417-2025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45841</v>
      </c>
      <c r="E615" s="1" t="n">
        <v>46216</v>
      </c>
      <c r="F615" t="inlineStr">
        <is>
          <t>JÖNKÖPINGS LÄN</t>
        </is>
      </c>
      <c r="G615" t="inlineStr">
        <is>
          <t>JÖNKÖPING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4505-2022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44589</v>
      </c>
      <c r="E616" s="1" t="n">
        <v>46216</v>
      </c>
      <c r="F616" t="inlineStr">
        <is>
          <t>JÖNKÖPINGS LÄN</t>
        </is>
      </c>
      <c r="G616" t="inlineStr">
        <is>
          <t>JÖNKÖPING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2205-2022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44578</v>
      </c>
      <c r="E617" s="1" t="n">
        <v>46216</v>
      </c>
      <c r="F617" t="inlineStr">
        <is>
          <t>JÖNKÖPINGS LÄN</t>
        </is>
      </c>
      <c r="G617" t="inlineStr">
        <is>
          <t>JÖNKÖPING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34450-2025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45846</v>
      </c>
      <c r="E618" s="1" t="n">
        <v>46216</v>
      </c>
      <c r="F618" t="inlineStr">
        <is>
          <t>JÖNKÖPINGS LÄN</t>
        </is>
      </c>
      <c r="G618" t="inlineStr">
        <is>
          <t>JÖNKÖPING</t>
        </is>
      </c>
      <c r="I618" t="n">
        <v>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47569-2024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45587</v>
      </c>
      <c r="E619" s="1" t="n">
        <v>46216</v>
      </c>
      <c r="F619" t="inlineStr">
        <is>
          <t>JÖNKÖPINGS LÄN</t>
        </is>
      </c>
      <c r="G619" t="inlineStr">
        <is>
          <t>JÖNKÖPING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36619-2022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44804</v>
      </c>
      <c r="E620" s="1" t="n">
        <v>46216</v>
      </c>
      <c r="F620" t="inlineStr">
        <is>
          <t>JÖNKÖPINGS LÄN</t>
        </is>
      </c>
      <c r="G620" t="inlineStr">
        <is>
          <t>JÖNKÖPING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18729-2023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45043</v>
      </c>
      <c r="E621" s="1" t="n">
        <v>46216</v>
      </c>
      <c r="F621" t="inlineStr">
        <is>
          <t>JÖNKÖPINGS LÄN</t>
        </is>
      </c>
      <c r="G621" t="inlineStr">
        <is>
          <t>JÖNKÖPING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30872-2023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45113</v>
      </c>
      <c r="E622" s="1" t="n">
        <v>46216</v>
      </c>
      <c r="F622" t="inlineStr">
        <is>
          <t>JÖNKÖPINGS LÄN</t>
        </is>
      </c>
      <c r="G622" t="inlineStr">
        <is>
          <t>JÖNKÖPING</t>
        </is>
      </c>
      <c r="I622" t="n">
        <v>5.3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51363-2025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45947</v>
      </c>
      <c r="E623" s="1" t="n">
        <v>46216</v>
      </c>
      <c r="F623" t="inlineStr">
        <is>
          <t>JÖNKÖPINGS LÄN</t>
        </is>
      </c>
      <c r="G623" t="inlineStr">
        <is>
          <t>JÖNKÖPING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18972-2025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45764</v>
      </c>
      <c r="E624" s="1" t="n">
        <v>46216</v>
      </c>
      <c r="F624" t="inlineStr">
        <is>
          <t>JÖNKÖPINGS LÄN</t>
        </is>
      </c>
      <c r="G624" t="inlineStr">
        <is>
          <t>JÖNKÖPING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6897-2025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45701</v>
      </c>
      <c r="E625" s="1" t="n">
        <v>46216</v>
      </c>
      <c r="F625" t="inlineStr">
        <is>
          <t>JÖNKÖPINGS LÄN</t>
        </is>
      </c>
      <c r="G625" t="inlineStr">
        <is>
          <t>JÖNKÖPING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60822-2024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45644</v>
      </c>
      <c r="E626" s="1" t="n">
        <v>46216</v>
      </c>
      <c r="F626" t="inlineStr">
        <is>
          <t>JÖNKÖPINGS LÄN</t>
        </is>
      </c>
      <c r="G626" t="inlineStr">
        <is>
          <t>JÖNKÖPING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7865-2022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44608</v>
      </c>
      <c r="E627" s="1" t="n">
        <v>46216</v>
      </c>
      <c r="F627" t="inlineStr">
        <is>
          <t>JÖNKÖPINGS LÄN</t>
        </is>
      </c>
      <c r="G627" t="inlineStr">
        <is>
          <t>JÖNKÖPING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26206-2022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44734</v>
      </c>
      <c r="E628" s="1" t="n">
        <v>46216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Kyrkan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26213-2022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44734</v>
      </c>
      <c r="E629" s="1" t="n">
        <v>46216</v>
      </c>
      <c r="F629" t="inlineStr">
        <is>
          <t>JÖNKÖPINGS LÄN</t>
        </is>
      </c>
      <c r="G629" t="inlineStr">
        <is>
          <t>JÖNKÖPING</t>
        </is>
      </c>
      <c r="H629" t="inlineStr">
        <is>
          <t>Kyrkan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59318-2022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44904</v>
      </c>
      <c r="E630" s="1" t="n">
        <v>46216</v>
      </c>
      <c r="F630" t="inlineStr">
        <is>
          <t>JÖNKÖPINGS LÄN</t>
        </is>
      </c>
      <c r="G630" t="inlineStr">
        <is>
          <t>JÖNKÖPING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12932-2025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45734</v>
      </c>
      <c r="E631" s="1" t="n">
        <v>46216</v>
      </c>
      <c r="F631" t="inlineStr">
        <is>
          <t>JÖNKÖPINGS LÄN</t>
        </is>
      </c>
      <c r="G631" t="inlineStr">
        <is>
          <t>JÖNKÖPING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26170-2026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46182</v>
      </c>
      <c r="E632" s="1" t="n">
        <v>46216</v>
      </c>
      <c r="F632" t="inlineStr">
        <is>
          <t>JÖNKÖPINGS LÄN</t>
        </is>
      </c>
      <c r="G632" t="inlineStr">
        <is>
          <t>JÖNKÖPING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46321-2023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45197</v>
      </c>
      <c r="E633" s="1" t="n">
        <v>46216</v>
      </c>
      <c r="F633" t="inlineStr">
        <is>
          <t>JÖNKÖPINGS LÄN</t>
        </is>
      </c>
      <c r="G633" t="inlineStr">
        <is>
          <t>JÖNKÖPING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3749-2024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45321</v>
      </c>
      <c r="E634" s="1" t="n">
        <v>46216</v>
      </c>
      <c r="F634" t="inlineStr">
        <is>
          <t>JÖNKÖPINGS LÄN</t>
        </is>
      </c>
      <c r="G634" t="inlineStr">
        <is>
          <t>JÖNKÖPING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18574-2023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45043</v>
      </c>
      <c r="E635" s="1" t="n">
        <v>46216</v>
      </c>
      <c r="F635" t="inlineStr">
        <is>
          <t>JÖNKÖPINGS LÄN</t>
        </is>
      </c>
      <c r="G635" t="inlineStr">
        <is>
          <t>JÖNKÖPING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11351-2024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45372</v>
      </c>
      <c r="E636" s="1" t="n">
        <v>46216</v>
      </c>
      <c r="F636" t="inlineStr">
        <is>
          <t>JÖNKÖPINGS LÄN</t>
        </is>
      </c>
      <c r="G636" t="inlineStr">
        <is>
          <t>JÖNKÖPING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38258-2024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45545</v>
      </c>
      <c r="E637" s="1" t="n">
        <v>46216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Sveaskog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21924-2022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44711</v>
      </c>
      <c r="E638" s="1" t="n">
        <v>46216</v>
      </c>
      <c r="F638" t="inlineStr">
        <is>
          <t>JÖNKÖPINGS LÄN</t>
        </is>
      </c>
      <c r="G638" t="inlineStr">
        <is>
          <t>JÖNKÖPING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28305-2024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45477</v>
      </c>
      <c r="E639" s="1" t="n">
        <v>46216</v>
      </c>
      <c r="F639" t="inlineStr">
        <is>
          <t>JÖNKÖPINGS LÄN</t>
        </is>
      </c>
      <c r="G639" t="inlineStr">
        <is>
          <t>JÖNKÖPING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28307-2024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45477</v>
      </c>
      <c r="E640" s="1" t="n">
        <v>46216</v>
      </c>
      <c r="F640" t="inlineStr">
        <is>
          <t>JÖNKÖPINGS LÄN</t>
        </is>
      </c>
      <c r="G640" t="inlineStr">
        <is>
          <t>JÖNKÖPING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37170-2025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45875</v>
      </c>
      <c r="E641" s="1" t="n">
        <v>46216</v>
      </c>
      <c r="F641" t="inlineStr">
        <is>
          <t>JÖNKÖPINGS LÄN</t>
        </is>
      </c>
      <c r="G641" t="inlineStr">
        <is>
          <t>JÖNKÖPING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520-2024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45299</v>
      </c>
      <c r="E642" s="1" t="n">
        <v>46216</v>
      </c>
      <c r="F642" t="inlineStr">
        <is>
          <t>JÖNKÖPINGS LÄN</t>
        </is>
      </c>
      <c r="G642" t="inlineStr">
        <is>
          <t>JÖNKÖPING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12301-2023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44998</v>
      </c>
      <c r="E643" s="1" t="n">
        <v>46216</v>
      </c>
      <c r="F643" t="inlineStr">
        <is>
          <t>JÖNKÖPINGS LÄN</t>
        </is>
      </c>
      <c r="G643" t="inlineStr">
        <is>
          <t>JÖNKÖPING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41481-2023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45175</v>
      </c>
      <c r="E644" s="1" t="n">
        <v>46216</v>
      </c>
      <c r="F644" t="inlineStr">
        <is>
          <t>JÖNKÖPINGS LÄN</t>
        </is>
      </c>
      <c r="G644" t="inlineStr">
        <is>
          <t>JÖNKÖPING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20315-2025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45775</v>
      </c>
      <c r="E645" s="1" t="n">
        <v>46216</v>
      </c>
      <c r="F645" t="inlineStr">
        <is>
          <t>JÖNKÖPINGS LÄN</t>
        </is>
      </c>
      <c r="G645" t="inlineStr">
        <is>
          <t>JÖNKÖPING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33492-2023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45118</v>
      </c>
      <c r="E646" s="1" t="n">
        <v>46216</v>
      </c>
      <c r="F646" t="inlineStr">
        <is>
          <t>JÖNKÖPINGS LÄN</t>
        </is>
      </c>
      <c r="G646" t="inlineStr">
        <is>
          <t>JÖNKÖPING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4577-2022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44591</v>
      </c>
      <c r="E647" s="1" t="n">
        <v>46216</v>
      </c>
      <c r="F647" t="inlineStr">
        <is>
          <t>JÖNKÖPINGS LÄN</t>
        </is>
      </c>
      <c r="G647" t="inlineStr">
        <is>
          <t>JÖNKÖPING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8262-2025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45708</v>
      </c>
      <c r="E648" s="1" t="n">
        <v>46216</v>
      </c>
      <c r="F648" t="inlineStr">
        <is>
          <t>JÖNKÖPINGS LÄN</t>
        </is>
      </c>
      <c r="G648" t="inlineStr">
        <is>
          <t>JÖNKÖPING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49343-2023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45211</v>
      </c>
      <c r="E649" s="1" t="n">
        <v>46216</v>
      </c>
      <c r="F649" t="inlineStr">
        <is>
          <t>JÖNKÖPINGS LÄN</t>
        </is>
      </c>
      <c r="G649" t="inlineStr">
        <is>
          <t>JÖNKÖPING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30585-2023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45112</v>
      </c>
      <c r="E650" s="1" t="n">
        <v>46216</v>
      </c>
      <c r="F650" t="inlineStr">
        <is>
          <t>JÖNKÖPINGS LÄN</t>
        </is>
      </c>
      <c r="G650" t="inlineStr">
        <is>
          <t>JÖNKÖPING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26621-2026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46184</v>
      </c>
      <c r="E651" s="1" t="n">
        <v>46216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Kyrkan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11801-2024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45375</v>
      </c>
      <c r="E652" s="1" t="n">
        <v>46216</v>
      </c>
      <c r="F652" t="inlineStr">
        <is>
          <t>JÖNKÖPINGS LÄN</t>
        </is>
      </c>
      <c r="G652" t="inlineStr">
        <is>
          <t>JÖNKÖPING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37498-2024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45541</v>
      </c>
      <c r="E653" s="1" t="n">
        <v>46216</v>
      </c>
      <c r="F653" t="inlineStr">
        <is>
          <t>JÖNKÖPINGS LÄN</t>
        </is>
      </c>
      <c r="G653" t="inlineStr">
        <is>
          <t>JÖNKÖPING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48305-2022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44853</v>
      </c>
      <c r="E654" s="1" t="n">
        <v>46216</v>
      </c>
      <c r="F654" t="inlineStr">
        <is>
          <t>JÖNKÖPINGS LÄN</t>
        </is>
      </c>
      <c r="G654" t="inlineStr">
        <is>
          <t>JÖNKÖPING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30547-2024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45492</v>
      </c>
      <c r="E655" s="1" t="n">
        <v>46216</v>
      </c>
      <c r="F655" t="inlineStr">
        <is>
          <t>JÖNKÖPINGS LÄN</t>
        </is>
      </c>
      <c r="G655" t="inlineStr">
        <is>
          <t>JÖNKÖPING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42110-2024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45562</v>
      </c>
      <c r="E656" s="1" t="n">
        <v>46216</v>
      </c>
      <c r="F656" t="inlineStr">
        <is>
          <t>JÖNKÖPINGS LÄN</t>
        </is>
      </c>
      <c r="G656" t="inlineStr">
        <is>
          <t>JÖNKÖPING</t>
        </is>
      </c>
      <c r="I656" t="n">
        <v>6.1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28232-2024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45477</v>
      </c>
      <c r="E657" s="1" t="n">
        <v>46216</v>
      </c>
      <c r="F657" t="inlineStr">
        <is>
          <t>JÖNKÖPINGS LÄN</t>
        </is>
      </c>
      <c r="G657" t="inlineStr">
        <is>
          <t>JÖNKÖPING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28234-2024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45477</v>
      </c>
      <c r="E658" s="1" t="n">
        <v>46216</v>
      </c>
      <c r="F658" t="inlineStr">
        <is>
          <t>JÖNKÖPINGS LÄN</t>
        </is>
      </c>
      <c r="G658" t="inlineStr">
        <is>
          <t>JÖNKÖPING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25069-2026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46174</v>
      </c>
      <c r="E659" s="1" t="n">
        <v>46216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9462-2024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45359</v>
      </c>
      <c r="E660" s="1" t="n">
        <v>46216</v>
      </c>
      <c r="F660" t="inlineStr">
        <is>
          <t>JÖNKÖPINGS LÄN</t>
        </is>
      </c>
      <c r="G660" t="inlineStr">
        <is>
          <t>JÖNKÖPING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56441-2023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45243</v>
      </c>
      <c r="E661" s="1" t="n">
        <v>46216</v>
      </c>
      <c r="F661" t="inlineStr">
        <is>
          <t>JÖNKÖPINGS LÄN</t>
        </is>
      </c>
      <c r="G661" t="inlineStr">
        <is>
          <t>JÖNKÖPING</t>
        </is>
      </c>
      <c r="H661" t="inlineStr">
        <is>
          <t>Övriga Aktiebolag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44697-2023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45184</v>
      </c>
      <c r="E662" s="1" t="n">
        <v>46216</v>
      </c>
      <c r="F662" t="inlineStr">
        <is>
          <t>JÖNKÖPINGS LÄN</t>
        </is>
      </c>
      <c r="G662" t="inlineStr">
        <is>
          <t>JÖNKÖPING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27228-2026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46188</v>
      </c>
      <c r="E663" s="1" t="n">
        <v>46216</v>
      </c>
      <c r="F663" t="inlineStr">
        <is>
          <t>JÖNKÖPINGS LÄN</t>
        </is>
      </c>
      <c r="G663" t="inlineStr">
        <is>
          <t>JÖNKÖPING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27791-2026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46189</v>
      </c>
      <c r="E664" s="1" t="n">
        <v>46216</v>
      </c>
      <c r="F664" t="inlineStr">
        <is>
          <t>JÖNKÖPINGS LÄN</t>
        </is>
      </c>
      <c r="G664" t="inlineStr">
        <is>
          <t>JÖNKÖPING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3519-2023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44950</v>
      </c>
      <c r="E665" s="1" t="n">
        <v>46216</v>
      </c>
      <c r="F665" t="inlineStr">
        <is>
          <t>JÖNKÖPINGS LÄN</t>
        </is>
      </c>
      <c r="G665" t="inlineStr">
        <is>
          <t>JÖNKÖPING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3522-2023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44950</v>
      </c>
      <c r="E666" s="1" t="n">
        <v>46216</v>
      </c>
      <c r="F666" t="inlineStr">
        <is>
          <t>JÖNKÖPINGS LÄN</t>
        </is>
      </c>
      <c r="G666" t="inlineStr">
        <is>
          <t>JÖNKÖPING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1185-2023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44930</v>
      </c>
      <c r="E667" s="1" t="n">
        <v>46216</v>
      </c>
      <c r="F667" t="inlineStr">
        <is>
          <t>JÖNKÖPINGS LÄN</t>
        </is>
      </c>
      <c r="G667" t="inlineStr">
        <is>
          <t>JÖNKÖPING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35451-2024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45531</v>
      </c>
      <c r="E668" s="1" t="n">
        <v>46216</v>
      </c>
      <c r="F668" t="inlineStr">
        <is>
          <t>JÖNKÖPINGS LÄN</t>
        </is>
      </c>
      <c r="G668" t="inlineStr">
        <is>
          <t>JÖNKÖPING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17384-2025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45757</v>
      </c>
      <c r="E669" s="1" t="n">
        <v>46216</v>
      </c>
      <c r="F669" t="inlineStr">
        <is>
          <t>JÖNKÖPINGS LÄN</t>
        </is>
      </c>
      <c r="G669" t="inlineStr">
        <is>
          <t>JÖNKÖPING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25076-2024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45462</v>
      </c>
      <c r="E670" s="1" t="n">
        <v>46216</v>
      </c>
      <c r="F670" t="inlineStr">
        <is>
          <t>JÖNKÖPINGS LÄN</t>
        </is>
      </c>
      <c r="G670" t="inlineStr">
        <is>
          <t>JÖNKÖPING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47070-2023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45201</v>
      </c>
      <c r="E671" s="1" t="n">
        <v>46216</v>
      </c>
      <c r="F671" t="inlineStr">
        <is>
          <t>JÖNKÖPINGS LÄN</t>
        </is>
      </c>
      <c r="G671" t="inlineStr">
        <is>
          <t>JÖNKÖPING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46971-2023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45201</v>
      </c>
      <c r="E672" s="1" t="n">
        <v>46216</v>
      </c>
      <c r="F672" t="inlineStr">
        <is>
          <t>JÖNKÖPINGS LÄN</t>
        </is>
      </c>
      <c r="G672" t="inlineStr">
        <is>
          <t>JÖNKÖPING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23055-2022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44719</v>
      </c>
      <c r="E673" s="1" t="n">
        <v>46216</v>
      </c>
      <c r="F673" t="inlineStr">
        <is>
          <t>JÖNKÖPINGS LÄN</t>
        </is>
      </c>
      <c r="G673" t="inlineStr">
        <is>
          <t>JÖNKÖPING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5901-2024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45335</v>
      </c>
      <c r="E674" s="1" t="n">
        <v>46216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Kyrkan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26512-2023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45092</v>
      </c>
      <c r="E675" s="1" t="n">
        <v>46216</v>
      </c>
      <c r="F675" t="inlineStr">
        <is>
          <t>JÖNKÖPINGS LÄN</t>
        </is>
      </c>
      <c r="G675" t="inlineStr">
        <is>
          <t>JÖNKÖPING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28334-2023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45099</v>
      </c>
      <c r="E676" s="1" t="n">
        <v>46216</v>
      </c>
      <c r="F676" t="inlineStr">
        <is>
          <t>JÖNKÖPINGS LÄN</t>
        </is>
      </c>
      <c r="G676" t="inlineStr">
        <is>
          <t>JÖNKÖPING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2470-2023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44943</v>
      </c>
      <c r="E677" s="1" t="n">
        <v>46216</v>
      </c>
      <c r="F677" t="inlineStr">
        <is>
          <t>JÖNKÖPINGS LÄN</t>
        </is>
      </c>
      <c r="G677" t="inlineStr">
        <is>
          <t>JÖNKÖPING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48404-2023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45201</v>
      </c>
      <c r="E678" s="1" t="n">
        <v>46216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Kyrkan</t>
        </is>
      </c>
      <c r="I678" t="n">
        <v>5.4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9924-2023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44985</v>
      </c>
      <c r="E679" s="1" t="n">
        <v>46216</v>
      </c>
      <c r="F679" t="inlineStr">
        <is>
          <t>JÖNKÖPINGS LÄN</t>
        </is>
      </c>
      <c r="G679" t="inlineStr">
        <is>
          <t>JÖNKÖPING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57180-2023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45245</v>
      </c>
      <c r="E680" s="1" t="n">
        <v>46216</v>
      </c>
      <c r="F680" t="inlineStr">
        <is>
          <t>JÖNKÖPINGS LÄN</t>
        </is>
      </c>
      <c r="G680" t="inlineStr">
        <is>
          <t>JÖNKÖPING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29884-2023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45107</v>
      </c>
      <c r="E681" s="1" t="n">
        <v>46216</v>
      </c>
      <c r="F681" t="inlineStr">
        <is>
          <t>JÖNKÖPINGS LÄN</t>
        </is>
      </c>
      <c r="G681" t="inlineStr">
        <is>
          <t>JÖNKÖPING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18838-2025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45764</v>
      </c>
      <c r="E682" s="1" t="n">
        <v>46216</v>
      </c>
      <c r="F682" t="inlineStr">
        <is>
          <t>JÖNKÖPINGS LÄN</t>
        </is>
      </c>
      <c r="G682" t="inlineStr">
        <is>
          <t>JÖNKÖPING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2779-2024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45314</v>
      </c>
      <c r="E683" s="1" t="n">
        <v>46216</v>
      </c>
      <c r="F683" t="inlineStr">
        <is>
          <t>JÖNKÖPINGS LÄN</t>
        </is>
      </c>
      <c r="G683" t="inlineStr">
        <is>
          <t>JÖNKÖPING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282-2024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45295</v>
      </c>
      <c r="E684" s="1" t="n">
        <v>46216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Sveaskog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36147-2024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45534</v>
      </c>
      <c r="E685" s="1" t="n">
        <v>46216</v>
      </c>
      <c r="F685" t="inlineStr">
        <is>
          <t>JÖNKÖPINGS LÄN</t>
        </is>
      </c>
      <c r="G685" t="inlineStr">
        <is>
          <t>JÖNKÖPING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54394-2024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45617</v>
      </c>
      <c r="E686" s="1" t="n">
        <v>46216</v>
      </c>
      <c r="F686" t="inlineStr">
        <is>
          <t>JÖNKÖPINGS LÄN</t>
        </is>
      </c>
      <c r="G686" t="inlineStr">
        <is>
          <t>JÖNKÖPING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216-2022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44564</v>
      </c>
      <c r="E687" s="1" t="n">
        <v>46216</v>
      </c>
      <c r="F687" t="inlineStr">
        <is>
          <t>JÖNKÖPINGS LÄN</t>
        </is>
      </c>
      <c r="G687" t="inlineStr">
        <is>
          <t>JÖNKÖPING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12042-2024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45377</v>
      </c>
      <c r="E688" s="1" t="n">
        <v>46216</v>
      </c>
      <c r="F688" t="inlineStr">
        <is>
          <t>JÖNKÖPINGS LÄN</t>
        </is>
      </c>
      <c r="G688" t="inlineStr">
        <is>
          <t>JÖNKÖPING</t>
        </is>
      </c>
      <c r="I688" t="n">
        <v>4.8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51188-2023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45219</v>
      </c>
      <c r="E689" s="1" t="n">
        <v>46216</v>
      </c>
      <c r="F689" t="inlineStr">
        <is>
          <t>JÖNKÖPINGS LÄN</t>
        </is>
      </c>
      <c r="G689" t="inlineStr">
        <is>
          <t>JÖNKÖPING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26896-2024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45470</v>
      </c>
      <c r="E690" s="1" t="n">
        <v>46216</v>
      </c>
      <c r="F690" t="inlineStr">
        <is>
          <t>JÖNKÖPINGS LÄN</t>
        </is>
      </c>
      <c r="G690" t="inlineStr">
        <is>
          <t>JÖNKÖPING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9883-2024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45363</v>
      </c>
      <c r="E691" s="1" t="n">
        <v>46216</v>
      </c>
      <c r="F691" t="inlineStr">
        <is>
          <t>JÖNKÖPINGS LÄN</t>
        </is>
      </c>
      <c r="G691" t="inlineStr">
        <is>
          <t>JÖNKÖPING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56051-2023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45240</v>
      </c>
      <c r="E692" s="1" t="n">
        <v>46216</v>
      </c>
      <c r="F692" t="inlineStr">
        <is>
          <t>JÖNKÖPINGS LÄN</t>
        </is>
      </c>
      <c r="G692" t="inlineStr">
        <is>
          <t>JÖNKÖPING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6634-2023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44966</v>
      </c>
      <c r="E693" s="1" t="n">
        <v>46216</v>
      </c>
      <c r="F693" t="inlineStr">
        <is>
          <t>JÖNKÖPINGS LÄN</t>
        </is>
      </c>
      <c r="G693" t="inlineStr">
        <is>
          <t>JÖNKÖPING</t>
        </is>
      </c>
      <c r="H693" t="inlineStr">
        <is>
          <t>Kyrkan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45408-2023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45194</v>
      </c>
      <c r="E694" s="1" t="n">
        <v>46216</v>
      </c>
      <c r="F694" t="inlineStr">
        <is>
          <t>JÖNKÖPINGS LÄN</t>
        </is>
      </c>
      <c r="G694" t="inlineStr">
        <is>
          <t>JÖNKÖPING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45412-2023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45194</v>
      </c>
      <c r="E695" s="1" t="n">
        <v>46216</v>
      </c>
      <c r="F695" t="inlineStr">
        <is>
          <t>JÖNKÖPINGS LÄN</t>
        </is>
      </c>
      <c r="G695" t="inlineStr">
        <is>
          <t>JÖNKÖPING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30583-2023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45112</v>
      </c>
      <c r="E696" s="1" t="n">
        <v>46216</v>
      </c>
      <c r="F696" t="inlineStr">
        <is>
          <t>JÖNKÖPINGS LÄN</t>
        </is>
      </c>
      <c r="G696" t="inlineStr">
        <is>
          <t>JÖNKÖPING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29880-2023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45107</v>
      </c>
      <c r="E697" s="1" t="n">
        <v>46216</v>
      </c>
      <c r="F697" t="inlineStr">
        <is>
          <t>JÖNKÖPINGS LÄN</t>
        </is>
      </c>
      <c r="G697" t="inlineStr">
        <is>
          <t>JÖNKÖPING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15134-2023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45015</v>
      </c>
      <c r="E698" s="1" t="n">
        <v>46216</v>
      </c>
      <c r="F698" t="inlineStr">
        <is>
          <t>JÖNKÖPINGS LÄN</t>
        </is>
      </c>
      <c r="G698" t="inlineStr">
        <is>
          <t>JÖNKÖPING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59218-2022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44904</v>
      </c>
      <c r="E699" s="1" t="n">
        <v>46216</v>
      </c>
      <c r="F699" t="inlineStr">
        <is>
          <t>JÖNKÖPINGS LÄN</t>
        </is>
      </c>
      <c r="G699" t="inlineStr">
        <is>
          <t>JÖNKÖPING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19356-2023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45049</v>
      </c>
      <c r="E700" s="1" t="n">
        <v>46216</v>
      </c>
      <c r="F700" t="inlineStr">
        <is>
          <t>JÖNKÖPINGS LÄN</t>
        </is>
      </c>
      <c r="G700" t="inlineStr">
        <is>
          <t>JÖNKÖPING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6458-2024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45338</v>
      </c>
      <c r="E701" s="1" t="n">
        <v>46216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Kyrkan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28824-2026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46216</v>
      </c>
      <c r="F702" t="inlineStr">
        <is>
          <t>JÖNKÖPINGS LÄN</t>
        </is>
      </c>
      <c r="G702" t="inlineStr">
        <is>
          <t>JÖNKÖPING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29112-2026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46201</v>
      </c>
      <c r="E703" s="1" t="n">
        <v>46216</v>
      </c>
      <c r="F703" t="inlineStr">
        <is>
          <t>JÖNKÖPINGS LÄN</t>
        </is>
      </c>
      <c r="G703" t="inlineStr">
        <is>
          <t>JÖNKÖPING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29110-2026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46201</v>
      </c>
      <c r="E704" s="1" t="n">
        <v>46216</v>
      </c>
      <c r="F704" t="inlineStr">
        <is>
          <t>JÖNKÖPINGS LÄN</t>
        </is>
      </c>
      <c r="G704" t="inlineStr">
        <is>
          <t>JÖNKÖPING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56747-2022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44894</v>
      </c>
      <c r="E705" s="1" t="n">
        <v>46216</v>
      </c>
      <c r="F705" t="inlineStr">
        <is>
          <t>JÖNKÖPINGS LÄN</t>
        </is>
      </c>
      <c r="G705" t="inlineStr">
        <is>
          <t>JÖNKÖPING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56569-2022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44893</v>
      </c>
      <c r="E706" s="1" t="n">
        <v>46216</v>
      </c>
      <c r="F706" t="inlineStr">
        <is>
          <t>JÖNKÖPINGS LÄN</t>
        </is>
      </c>
      <c r="G706" t="inlineStr">
        <is>
          <t>JÖNKÖPING</t>
        </is>
      </c>
      <c r="H706" t="inlineStr">
        <is>
          <t>Sveaskog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7177-2022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44605</v>
      </c>
      <c r="E707" s="1" t="n">
        <v>46216</v>
      </c>
      <c r="F707" t="inlineStr">
        <is>
          <t>JÖNKÖPINGS LÄN</t>
        </is>
      </c>
      <c r="G707" t="inlineStr">
        <is>
          <t>JÖNKÖPING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46460-2023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45197</v>
      </c>
      <c r="E708" s="1" t="n">
        <v>46216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Sveaskog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16214-2024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45406</v>
      </c>
      <c r="E709" s="1" t="n">
        <v>46216</v>
      </c>
      <c r="F709" t="inlineStr">
        <is>
          <t>JÖNKÖPINGS LÄN</t>
        </is>
      </c>
      <c r="G709" t="inlineStr">
        <is>
          <t>JÖNKÖPING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9897-2023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44985</v>
      </c>
      <c r="E710" s="1" t="n">
        <v>46216</v>
      </c>
      <c r="F710" t="inlineStr">
        <is>
          <t>JÖNKÖPINGS LÄN</t>
        </is>
      </c>
      <c r="G710" t="inlineStr">
        <is>
          <t>JÖNKÖPING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19665-2023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45051</v>
      </c>
      <c r="E711" s="1" t="n">
        <v>46216</v>
      </c>
      <c r="F711" t="inlineStr">
        <is>
          <t>JÖNKÖPINGS LÄN</t>
        </is>
      </c>
      <c r="G711" t="inlineStr">
        <is>
          <t>JÖNKÖPING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57715-2021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44484</v>
      </c>
      <c r="E712" s="1" t="n">
        <v>46216</v>
      </c>
      <c r="F712" t="inlineStr">
        <is>
          <t>JÖNKÖPINGS LÄN</t>
        </is>
      </c>
      <c r="G712" t="inlineStr">
        <is>
          <t>JÖNKÖPING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7847-2025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45706</v>
      </c>
      <c r="E713" s="1" t="n">
        <v>46216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Sveaskog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1780-2025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45671</v>
      </c>
      <c r="E714" s="1" t="n">
        <v>46216</v>
      </c>
      <c r="F714" t="inlineStr">
        <is>
          <t>JÖNKÖPINGS LÄN</t>
        </is>
      </c>
      <c r="G714" t="inlineStr">
        <is>
          <t>JÖNKÖPING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7401-2025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45705</v>
      </c>
      <c r="E715" s="1" t="n">
        <v>46216</v>
      </c>
      <c r="F715" t="inlineStr">
        <is>
          <t>JÖNKÖPINGS LÄN</t>
        </is>
      </c>
      <c r="G715" t="inlineStr">
        <is>
          <t>JÖNKÖPING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29113-2026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46201</v>
      </c>
      <c r="E716" s="1" t="n">
        <v>46216</v>
      </c>
      <c r="F716" t="inlineStr">
        <is>
          <t>JÖNKÖPINGS LÄN</t>
        </is>
      </c>
      <c r="G716" t="inlineStr">
        <is>
          <t>JÖNKÖPING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14228-2025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45740</v>
      </c>
      <c r="E717" s="1" t="n">
        <v>46216</v>
      </c>
      <c r="F717" t="inlineStr">
        <is>
          <t>JÖNKÖPINGS LÄN</t>
        </is>
      </c>
      <c r="G717" t="inlineStr">
        <is>
          <t>JÖNKÖPING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5661-2025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45693</v>
      </c>
      <c r="E718" s="1" t="n">
        <v>46216</v>
      </c>
      <c r="F718" t="inlineStr">
        <is>
          <t>JÖNKÖPINGS LÄN</t>
        </is>
      </c>
      <c r="G718" t="inlineStr">
        <is>
          <t>JÖNKÖPING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29468-2026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46203</v>
      </c>
      <c r="E719" s="1" t="n">
        <v>46216</v>
      </c>
      <c r="F719" t="inlineStr">
        <is>
          <t>JÖNKÖPINGS LÄN</t>
        </is>
      </c>
      <c r="G719" t="inlineStr">
        <is>
          <t>JÖNKÖPING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14227-2023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45009</v>
      </c>
      <c r="E720" s="1" t="n">
        <v>46216</v>
      </c>
      <c r="F720" t="inlineStr">
        <is>
          <t>JÖNKÖPINGS LÄN</t>
        </is>
      </c>
      <c r="G720" t="inlineStr">
        <is>
          <t>JÖNKÖPING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29465-2026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46203</v>
      </c>
      <c r="E721" s="1" t="n">
        <v>46216</v>
      </c>
      <c r="F721" t="inlineStr">
        <is>
          <t>JÖNKÖPINGS LÄN</t>
        </is>
      </c>
      <c r="G721" t="inlineStr">
        <is>
          <t>JÖNKÖPING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29292-2026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46197</v>
      </c>
      <c r="E722" s="1" t="n">
        <v>46216</v>
      </c>
      <c r="F722" t="inlineStr">
        <is>
          <t>JÖNKÖPINGS LÄN</t>
        </is>
      </c>
      <c r="G722" t="inlineStr">
        <is>
          <t>JÖNKÖPING</t>
        </is>
      </c>
      <c r="I722" t="n">
        <v>7.5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33256-2023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45127</v>
      </c>
      <c r="E723" s="1" t="n">
        <v>46216</v>
      </c>
      <c r="F723" t="inlineStr">
        <is>
          <t>JÖNKÖPINGS LÄN</t>
        </is>
      </c>
      <c r="G723" t="inlineStr">
        <is>
          <t>JÖNKÖPING</t>
        </is>
      </c>
      <c r="I723" t="n">
        <v>7.1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23248-2026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46162</v>
      </c>
      <c r="E724" s="1" t="n">
        <v>46216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17203-2022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44677</v>
      </c>
      <c r="E725" s="1" t="n">
        <v>46216</v>
      </c>
      <c r="F725" t="inlineStr">
        <is>
          <t>JÖNKÖPINGS LÄN</t>
        </is>
      </c>
      <c r="G725" t="inlineStr">
        <is>
          <t>JÖNKÖPING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17362-2025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45756</v>
      </c>
      <c r="E726" s="1" t="n">
        <v>46216</v>
      </c>
      <c r="F726" t="inlineStr">
        <is>
          <t>JÖNKÖPINGS LÄN</t>
        </is>
      </c>
      <c r="G726" t="inlineStr">
        <is>
          <t>JÖNKÖPING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23252-2026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46162</v>
      </c>
      <c r="E727" s="1" t="n">
        <v>46216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Sveaskog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4309-2024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45324</v>
      </c>
      <c r="E728" s="1" t="n">
        <v>46216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Kyrkan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4311-2024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45324</v>
      </c>
      <c r="E729" s="1" t="n">
        <v>46216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Kyrkan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1782-2025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45671</v>
      </c>
      <c r="E730" s="1" t="n">
        <v>46216</v>
      </c>
      <c r="F730" t="inlineStr">
        <is>
          <t>JÖNKÖPINGS LÄN</t>
        </is>
      </c>
      <c r="G730" t="inlineStr">
        <is>
          <t>JÖNKÖPING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17299-2024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45414</v>
      </c>
      <c r="E731" s="1" t="n">
        <v>46216</v>
      </c>
      <c r="F731" t="inlineStr">
        <is>
          <t>JÖNKÖPINGS LÄN</t>
        </is>
      </c>
      <c r="G731" t="inlineStr">
        <is>
          <t>JÖNKÖPING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18069-2025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45761</v>
      </c>
      <c r="E732" s="1" t="n">
        <v>46216</v>
      </c>
      <c r="F732" t="inlineStr">
        <is>
          <t>JÖNKÖPINGS LÄN</t>
        </is>
      </c>
      <c r="G732" t="inlineStr">
        <is>
          <t>JÖNKÖPING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23307-2026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46162</v>
      </c>
      <c r="E733" s="1" t="n">
        <v>46216</v>
      </c>
      <c r="F733" t="inlineStr">
        <is>
          <t>JÖNKÖPINGS LÄN</t>
        </is>
      </c>
      <c r="G733" t="inlineStr">
        <is>
          <t>JÖNKÖPING</t>
        </is>
      </c>
      <c r="H733" t="inlineStr">
        <is>
          <t>Sveaskog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27246-2022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44741</v>
      </c>
      <c r="E734" s="1" t="n">
        <v>46216</v>
      </c>
      <c r="F734" t="inlineStr">
        <is>
          <t>JÖNKÖPINGS LÄN</t>
        </is>
      </c>
      <c r="G734" t="inlineStr">
        <is>
          <t>JÖNKÖPING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23255-2026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46162</v>
      </c>
      <c r="E735" s="1" t="n">
        <v>46216</v>
      </c>
      <c r="F735" t="inlineStr">
        <is>
          <t>JÖNKÖPINGS LÄN</t>
        </is>
      </c>
      <c r="G735" t="inlineStr">
        <is>
          <t>JÖNKÖPING</t>
        </is>
      </c>
      <c r="H735" t="inlineStr">
        <is>
          <t>Sveaskog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52058-2023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45223</v>
      </c>
      <c r="E736" s="1" t="n">
        <v>46216</v>
      </c>
      <c r="F736" t="inlineStr">
        <is>
          <t>JÖNKÖPINGS LÄN</t>
        </is>
      </c>
      <c r="G736" t="inlineStr">
        <is>
          <t>JÖNKÖPING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23311-2026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46162</v>
      </c>
      <c r="E737" s="1" t="n">
        <v>46216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37503-2024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45541</v>
      </c>
      <c r="E738" s="1" t="n">
        <v>46216</v>
      </c>
      <c r="F738" t="inlineStr">
        <is>
          <t>JÖNKÖPINGS LÄN</t>
        </is>
      </c>
      <c r="G738" t="inlineStr">
        <is>
          <t>JÖNKÖPING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23316-2026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46162</v>
      </c>
      <c r="E739" s="1" t="n">
        <v>46216</v>
      </c>
      <c r="F739" t="inlineStr">
        <is>
          <t>JÖNKÖPINGS LÄN</t>
        </is>
      </c>
      <c r="G739" t="inlineStr">
        <is>
          <t>JÖNKÖPING</t>
        </is>
      </c>
      <c r="H739" t="inlineStr">
        <is>
          <t>Sveaskog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20384-2024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45435</v>
      </c>
      <c r="E740" s="1" t="n">
        <v>46216</v>
      </c>
      <c r="F740" t="inlineStr">
        <is>
          <t>JÖNKÖPINGS LÄN</t>
        </is>
      </c>
      <c r="G740" t="inlineStr">
        <is>
          <t>JÖNKÖPING</t>
        </is>
      </c>
      <c r="H740" t="inlineStr">
        <is>
          <t>Kyrkan</t>
        </is>
      </c>
      <c r="I740" t="n">
        <v>0.2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23830-2026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46167</v>
      </c>
      <c r="E741" s="1" t="n">
        <v>46216</v>
      </c>
      <c r="F741" t="inlineStr">
        <is>
          <t>JÖNKÖPINGS LÄN</t>
        </is>
      </c>
      <c r="G741" t="inlineStr">
        <is>
          <t>JÖNKÖPING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23832-2026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46167</v>
      </c>
      <c r="E742" s="1" t="n">
        <v>46216</v>
      </c>
      <c r="F742" t="inlineStr">
        <is>
          <t>JÖNKÖPINGS LÄN</t>
        </is>
      </c>
      <c r="G742" t="inlineStr">
        <is>
          <t>JÖNKÖPING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6970-2023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44967</v>
      </c>
      <c r="E743" s="1" t="n">
        <v>46216</v>
      </c>
      <c r="F743" t="inlineStr">
        <is>
          <t>JÖNKÖPINGS LÄN</t>
        </is>
      </c>
      <c r="G743" t="inlineStr">
        <is>
          <t>JÖNKÖPING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26208-2022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44734</v>
      </c>
      <c r="E744" s="1" t="n">
        <v>46216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Kyrkan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30287-2026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46206</v>
      </c>
      <c r="E745" s="1" t="n">
        <v>46216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30281-2026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46206</v>
      </c>
      <c r="E746" s="1" t="n">
        <v>46216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Sveaskog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30277-2026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46206</v>
      </c>
      <c r="E747" s="1" t="n">
        <v>46216</v>
      </c>
      <c r="F747" t="inlineStr">
        <is>
          <t>JÖNKÖPINGS LÄN</t>
        </is>
      </c>
      <c r="G747" t="inlineStr">
        <is>
          <t>JÖNKÖPING</t>
        </is>
      </c>
      <c r="H747" t="inlineStr">
        <is>
          <t>Sveaskog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15315-2025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45747</v>
      </c>
      <c r="E748" s="1" t="n">
        <v>46216</v>
      </c>
      <c r="F748" t="inlineStr">
        <is>
          <t>JÖNKÖPINGS LÄN</t>
        </is>
      </c>
      <c r="G748" t="inlineStr">
        <is>
          <t>JÖNKÖPING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35949-2024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45533</v>
      </c>
      <c r="E749" s="1" t="n">
        <v>46216</v>
      </c>
      <c r="F749" t="inlineStr">
        <is>
          <t>JÖNKÖPINGS LÄN</t>
        </is>
      </c>
      <c r="G749" t="inlineStr">
        <is>
          <t>JÖNKÖPING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7846-2025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45706</v>
      </c>
      <c r="E750" s="1" t="n">
        <v>46216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Sveaskog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30619-2026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46211</v>
      </c>
      <c r="E751" s="1" t="n">
        <v>46216</v>
      </c>
      <c r="F751" t="inlineStr">
        <is>
          <t>JÖNKÖPINGS LÄN</t>
        </is>
      </c>
      <c r="G751" t="inlineStr">
        <is>
          <t>JÖNKÖPING</t>
        </is>
      </c>
      <c r="I751" t="n">
        <v>3.8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24098-2026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46168</v>
      </c>
      <c r="E752" s="1" t="n">
        <v>46216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30621-2026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46211</v>
      </c>
      <c r="E753" s="1" t="n">
        <v>46216</v>
      </c>
      <c r="F753" t="inlineStr">
        <is>
          <t>JÖNKÖPINGS LÄN</t>
        </is>
      </c>
      <c r="G753" t="inlineStr">
        <is>
          <t>JÖNKÖPING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24114-2026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46168</v>
      </c>
      <c r="E754" s="1" t="n">
        <v>46216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Sveaskog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30623-2026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46211</v>
      </c>
      <c r="E755" s="1" t="n">
        <v>46216</v>
      </c>
      <c r="F755" t="inlineStr">
        <is>
          <t>JÖNKÖPINGS LÄN</t>
        </is>
      </c>
      <c r="G755" t="inlineStr">
        <is>
          <t>JÖNKÖPING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30620-2026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46211</v>
      </c>
      <c r="E756" s="1" t="n">
        <v>46216</v>
      </c>
      <c r="F756" t="inlineStr">
        <is>
          <t>JÖNKÖPINGS LÄN</t>
        </is>
      </c>
      <c r="G756" t="inlineStr">
        <is>
          <t>JÖNKÖPING</t>
        </is>
      </c>
      <c r="I756" t="n">
        <v>3.9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30626-2026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46211</v>
      </c>
      <c r="E757" s="1" t="n">
        <v>46216</v>
      </c>
      <c r="F757" t="inlineStr">
        <is>
          <t>JÖNKÖPINGS LÄN</t>
        </is>
      </c>
      <c r="G757" t="inlineStr">
        <is>
          <t>JÖNKÖPING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58437-2024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45635</v>
      </c>
      <c r="E758" s="1" t="n">
        <v>46216</v>
      </c>
      <c r="F758" t="inlineStr">
        <is>
          <t>JÖNKÖPINGS LÄN</t>
        </is>
      </c>
      <c r="G758" t="inlineStr">
        <is>
          <t>JÖNKÖPING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30625-2026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46211</v>
      </c>
      <c r="E759" s="1" t="n">
        <v>46216</v>
      </c>
      <c r="F759" t="inlineStr">
        <is>
          <t>JÖNKÖPINGS LÄN</t>
        </is>
      </c>
      <c r="G759" t="inlineStr">
        <is>
          <t>JÖNKÖPING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37510-2024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45541</v>
      </c>
      <c r="E760" s="1" t="n">
        <v>46216</v>
      </c>
      <c r="F760" t="inlineStr">
        <is>
          <t>JÖNKÖPINGS LÄN</t>
        </is>
      </c>
      <c r="G760" t="inlineStr">
        <is>
          <t>JÖNKÖPING</t>
        </is>
      </c>
      <c r="I760" t="n">
        <v>0.1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47067-2023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45201</v>
      </c>
      <c r="E761" s="1" t="n">
        <v>46216</v>
      </c>
      <c r="F761" t="inlineStr">
        <is>
          <t>JÖNKÖPINGS LÄN</t>
        </is>
      </c>
      <c r="G761" t="inlineStr">
        <is>
          <t>JÖNKÖPING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6663-2024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45341</v>
      </c>
      <c r="E762" s="1" t="n">
        <v>46216</v>
      </c>
      <c r="F762" t="inlineStr">
        <is>
          <t>JÖNKÖPINGS LÄN</t>
        </is>
      </c>
      <c r="G762" t="inlineStr">
        <is>
          <t>JÖNKÖPING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3516-2023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44950</v>
      </c>
      <c r="E763" s="1" t="n">
        <v>46216</v>
      </c>
      <c r="F763" t="inlineStr">
        <is>
          <t>JÖNKÖPINGS LÄN</t>
        </is>
      </c>
      <c r="G763" t="inlineStr">
        <is>
          <t>JÖNKÖPING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28337-2023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45099</v>
      </c>
      <c r="E764" s="1" t="n">
        <v>46216</v>
      </c>
      <c r="F764" t="inlineStr">
        <is>
          <t>JÖNKÖPINGS LÄN</t>
        </is>
      </c>
      <c r="G764" t="inlineStr">
        <is>
          <t>JÖNKÖPING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3746-2025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45681</v>
      </c>
      <c r="E765" s="1" t="n">
        <v>46216</v>
      </c>
      <c r="F765" t="inlineStr">
        <is>
          <t>JÖNKÖPINGS LÄN</t>
        </is>
      </c>
      <c r="G765" t="inlineStr">
        <is>
          <t>JÖNKÖPING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24422-2026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46168</v>
      </c>
      <c r="E766" s="1" t="n">
        <v>46216</v>
      </c>
      <c r="F766" t="inlineStr">
        <is>
          <t>JÖNKÖPINGS LÄN</t>
        </is>
      </c>
      <c r="G766" t="inlineStr">
        <is>
          <t>JÖNKÖPING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9604-2025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45715</v>
      </c>
      <c r="E767" s="1" t="n">
        <v>46216</v>
      </c>
      <c r="F767" t="inlineStr">
        <is>
          <t>JÖNKÖPINGS LÄN</t>
        </is>
      </c>
      <c r="G767" t="inlineStr">
        <is>
          <t>JÖNKÖPING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30616-2026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46211</v>
      </c>
      <c r="E768" s="1" t="n">
        <v>46216</v>
      </c>
      <c r="F768" t="inlineStr">
        <is>
          <t>JÖNKÖPINGS LÄN</t>
        </is>
      </c>
      <c r="G768" t="inlineStr">
        <is>
          <t>JÖNKÖPING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30618-2026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46211</v>
      </c>
      <c r="E769" s="1" t="n">
        <v>46216</v>
      </c>
      <c r="F769" t="inlineStr">
        <is>
          <t>JÖNKÖPINGS LÄN</t>
        </is>
      </c>
      <c r="G769" t="inlineStr">
        <is>
          <t>JÖNKÖPING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30724-2026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46211</v>
      </c>
      <c r="E770" s="1" t="n">
        <v>46216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Sveaskog</t>
        </is>
      </c>
      <c r="I770" t="n">
        <v>6.4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30734-2026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46211</v>
      </c>
      <c r="E771" s="1" t="n">
        <v>46216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Sveaskog</t>
        </is>
      </c>
      <c r="I771" t="n">
        <v>14.5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10760-2022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44627</v>
      </c>
      <c r="E772" s="1" t="n">
        <v>46216</v>
      </c>
      <c r="F772" t="inlineStr">
        <is>
          <t>JÖNKÖPINGS LÄN</t>
        </is>
      </c>
      <c r="G772" t="inlineStr">
        <is>
          <t>JÖNKÖPING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20425-2023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45056</v>
      </c>
      <c r="E773" s="1" t="n">
        <v>46216</v>
      </c>
      <c r="F773" t="inlineStr">
        <is>
          <t>JÖNKÖPINGS LÄN</t>
        </is>
      </c>
      <c r="G773" t="inlineStr">
        <is>
          <t>JÖNKÖPING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30617-2026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46211</v>
      </c>
      <c r="E774" s="1" t="n">
        <v>46216</v>
      </c>
      <c r="F774" t="inlineStr">
        <is>
          <t>JÖNKÖPINGS LÄN</t>
        </is>
      </c>
      <c r="G774" t="inlineStr">
        <is>
          <t>JÖNKÖPING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24486-2026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46170</v>
      </c>
      <c r="E775" s="1" t="n">
        <v>46216</v>
      </c>
      <c r="F775" t="inlineStr">
        <is>
          <t>JÖNKÖPINGS LÄN</t>
        </is>
      </c>
      <c r="G775" t="inlineStr">
        <is>
          <t>JÖNKÖPING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8554-2024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45355</v>
      </c>
      <c r="E776" s="1" t="n">
        <v>46216</v>
      </c>
      <c r="F776" t="inlineStr">
        <is>
          <t>JÖNKÖPINGS LÄN</t>
        </is>
      </c>
      <c r="G776" t="inlineStr">
        <is>
          <t>JÖNKÖPING</t>
        </is>
      </c>
      <c r="I776" t="n">
        <v>0.3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6601-2023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44966</v>
      </c>
      <c r="E777" s="1" t="n">
        <v>46216</v>
      </c>
      <c r="F777" t="inlineStr">
        <is>
          <t>JÖNKÖPINGS LÄN</t>
        </is>
      </c>
      <c r="G777" t="inlineStr">
        <is>
          <t>JÖNKÖPING</t>
        </is>
      </c>
      <c r="H777" t="inlineStr">
        <is>
          <t>Kyrkan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30837-2026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46212</v>
      </c>
      <c r="E778" s="1" t="n">
        <v>46216</v>
      </c>
      <c r="F778" t="inlineStr">
        <is>
          <t>JÖNKÖPINGS LÄN</t>
        </is>
      </c>
      <c r="G778" t="inlineStr">
        <is>
          <t>JÖNKÖPING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24530-2026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46170</v>
      </c>
      <c r="E779" s="1" t="n">
        <v>46216</v>
      </c>
      <c r="F779" t="inlineStr">
        <is>
          <t>JÖNKÖPINGS LÄN</t>
        </is>
      </c>
      <c r="G779" t="inlineStr">
        <is>
          <t>JÖNKÖPING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30865-2026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46212</v>
      </c>
      <c r="E780" s="1" t="n">
        <v>46216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4154-2022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44588</v>
      </c>
      <c r="E781" s="1" t="n">
        <v>46216</v>
      </c>
      <c r="F781" t="inlineStr">
        <is>
          <t>JÖNKÖPINGS LÄN</t>
        </is>
      </c>
      <c r="G781" t="inlineStr">
        <is>
          <t>JÖNKÖPING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30870-2026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46212</v>
      </c>
      <c r="E782" s="1" t="n">
        <v>46216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Sveaskog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58559-2021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44488</v>
      </c>
      <c r="E783" s="1" t="n">
        <v>46216</v>
      </c>
      <c r="F783" t="inlineStr">
        <is>
          <t>JÖNKÖPINGS LÄN</t>
        </is>
      </c>
      <c r="G783" t="inlineStr">
        <is>
          <t>JÖNKÖPING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46462-2023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45197</v>
      </c>
      <c r="E784" s="1" t="n">
        <v>46216</v>
      </c>
      <c r="F784" t="inlineStr">
        <is>
          <t>JÖNKÖPINGS LÄN</t>
        </is>
      </c>
      <c r="G784" t="inlineStr">
        <is>
          <t>JÖNKÖPING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38919-2024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45547</v>
      </c>
      <c r="E785" s="1" t="n">
        <v>46216</v>
      </c>
      <c r="F785" t="inlineStr">
        <is>
          <t>JÖNKÖPINGS LÄN</t>
        </is>
      </c>
      <c r="G785" t="inlineStr">
        <is>
          <t>JÖNKÖPING</t>
        </is>
      </c>
      <c r="H785" t="inlineStr">
        <is>
          <t>Sveaskog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24536-2026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46170</v>
      </c>
      <c r="E786" s="1" t="n">
        <v>46216</v>
      </c>
      <c r="F786" t="inlineStr">
        <is>
          <t>JÖNKÖPINGS LÄN</t>
        </is>
      </c>
      <c r="G786" t="inlineStr">
        <is>
          <t>JÖNKÖPING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24506-2026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46170</v>
      </c>
      <c r="E787" s="1" t="n">
        <v>46216</v>
      </c>
      <c r="F787" t="inlineStr">
        <is>
          <t>JÖNKÖPINGS LÄN</t>
        </is>
      </c>
      <c r="G787" t="inlineStr">
        <is>
          <t>JÖNKÖPING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43573-2024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45569</v>
      </c>
      <c r="E788" s="1" t="n">
        <v>46216</v>
      </c>
      <c r="F788" t="inlineStr">
        <is>
          <t>JÖNKÖPINGS LÄN</t>
        </is>
      </c>
      <c r="G788" t="inlineStr">
        <is>
          <t>JÖNKÖPING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57620-2022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44897</v>
      </c>
      <c r="E789" s="1" t="n">
        <v>46216</v>
      </c>
      <c r="F789" t="inlineStr">
        <is>
          <t>JÖNKÖPINGS LÄN</t>
        </is>
      </c>
      <c r="G789" t="inlineStr">
        <is>
          <t>JÖNKÖPING</t>
        </is>
      </c>
      <c r="H789" t="inlineStr">
        <is>
          <t>Kyrkan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18836-2025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45764</v>
      </c>
      <c r="E790" s="1" t="n">
        <v>46216</v>
      </c>
      <c r="F790" t="inlineStr">
        <is>
          <t>JÖNKÖPINGS LÄN</t>
        </is>
      </c>
      <c r="G790" t="inlineStr">
        <is>
          <t>JÖNKÖPING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46741-2023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45198</v>
      </c>
      <c r="E791" s="1" t="n">
        <v>46216</v>
      </c>
      <c r="F791" t="inlineStr">
        <is>
          <t>JÖNKÖPINGS LÄN</t>
        </is>
      </c>
      <c r="G791" t="inlineStr">
        <is>
          <t>JÖNKÖPING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20410-2023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45056</v>
      </c>
      <c r="E792" s="1" t="n">
        <v>46216</v>
      </c>
      <c r="F792" t="inlineStr">
        <is>
          <t>JÖNKÖPINGS LÄN</t>
        </is>
      </c>
      <c r="G792" t="inlineStr">
        <is>
          <t>JÖNKÖPING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16212-2024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45406</v>
      </c>
      <c r="E793" s="1" t="n">
        <v>46216</v>
      </c>
      <c r="F793" t="inlineStr">
        <is>
          <t>JÖNKÖPINGS LÄN</t>
        </is>
      </c>
      <c r="G793" t="inlineStr">
        <is>
          <t>JÖNKÖPING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16213-2024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45406</v>
      </c>
      <c r="E794" s="1" t="n">
        <v>46216</v>
      </c>
      <c r="F794" t="inlineStr">
        <is>
          <t>JÖNKÖPINGS LÄN</t>
        </is>
      </c>
      <c r="G794" t="inlineStr">
        <is>
          <t>JÖNKÖPING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21132-2024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45440</v>
      </c>
      <c r="E795" s="1" t="n">
        <v>46216</v>
      </c>
      <c r="F795" t="inlineStr">
        <is>
          <t>JÖNKÖPINGS LÄN</t>
        </is>
      </c>
      <c r="G795" t="inlineStr">
        <is>
          <t>JÖNKÖPING</t>
        </is>
      </c>
      <c r="I795" t="n">
        <v>5.8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50293-2023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45216</v>
      </c>
      <c r="E796" s="1" t="n">
        <v>46216</v>
      </c>
      <c r="F796" t="inlineStr">
        <is>
          <t>JÖNKÖPINGS LÄN</t>
        </is>
      </c>
      <c r="G796" t="inlineStr">
        <is>
          <t>JÖNKÖPING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1365-2025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45667</v>
      </c>
      <c r="E797" s="1" t="n">
        <v>46216</v>
      </c>
      <c r="F797" t="inlineStr">
        <is>
          <t>JÖNKÖPINGS LÄN</t>
        </is>
      </c>
      <c r="G797" t="inlineStr">
        <is>
          <t>JÖNKÖPING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33398-2024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45519</v>
      </c>
      <c r="E798" s="1" t="n">
        <v>46216</v>
      </c>
      <c r="F798" t="inlineStr">
        <is>
          <t>JÖNKÖPINGS LÄN</t>
        </is>
      </c>
      <c r="G798" t="inlineStr">
        <is>
          <t>JÖNKÖPING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47190-2024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45586</v>
      </c>
      <c r="E799" s="1" t="n">
        <v>46216</v>
      </c>
      <c r="F799" t="inlineStr">
        <is>
          <t>JÖNKÖPINGS LÄN</t>
        </is>
      </c>
      <c r="G799" t="inlineStr">
        <is>
          <t>JÖNKÖPING</t>
        </is>
      </c>
      <c r="I799" t="n">
        <v>4.3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37515-2024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45541</v>
      </c>
      <c r="E800" s="1" t="n">
        <v>46216</v>
      </c>
      <c r="F800" t="inlineStr">
        <is>
          <t>JÖNKÖPINGS LÄN</t>
        </is>
      </c>
      <c r="G800" t="inlineStr">
        <is>
          <t>JÖNKÖPING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39280-2024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45551</v>
      </c>
      <c r="E801" s="1" t="n">
        <v>46216</v>
      </c>
      <c r="F801" t="inlineStr">
        <is>
          <t>JÖNKÖPINGS LÄN</t>
        </is>
      </c>
      <c r="G801" t="inlineStr">
        <is>
          <t>JÖNKÖPING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7959-2024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45350</v>
      </c>
      <c r="E802" s="1" t="n">
        <v>46216</v>
      </c>
      <c r="F802" t="inlineStr">
        <is>
          <t>JÖNKÖPINGS LÄN</t>
        </is>
      </c>
      <c r="G802" t="inlineStr">
        <is>
          <t>JÖNKÖPING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61523-2024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45646</v>
      </c>
      <c r="E803" s="1" t="n">
        <v>46216</v>
      </c>
      <c r="F803" t="inlineStr">
        <is>
          <t>JÖNKÖPINGS LÄN</t>
        </is>
      </c>
      <c r="G803" t="inlineStr">
        <is>
          <t>JÖNKÖPING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23893-2025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45793</v>
      </c>
      <c r="E804" s="1" t="n">
        <v>46216</v>
      </c>
      <c r="F804" t="inlineStr">
        <is>
          <t>JÖNKÖPINGS LÄN</t>
        </is>
      </c>
      <c r="G804" t="inlineStr">
        <is>
          <t>JÖNKÖPING</t>
        </is>
      </c>
      <c r="I804" t="n">
        <v>15.5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43782-2024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45570</v>
      </c>
      <c r="E805" s="1" t="n">
        <v>46216</v>
      </c>
      <c r="F805" t="inlineStr">
        <is>
          <t>JÖNKÖPINGS LÄN</t>
        </is>
      </c>
      <c r="G805" t="inlineStr">
        <is>
          <t>JÖNKÖPING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11557-2025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45727</v>
      </c>
      <c r="E806" s="1" t="n">
        <v>46216</v>
      </c>
      <c r="F806" t="inlineStr">
        <is>
          <t>JÖNKÖPINGS LÄN</t>
        </is>
      </c>
      <c r="G806" t="inlineStr">
        <is>
          <t>JÖNKÖPING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11560-2025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45727</v>
      </c>
      <c r="E807" s="1" t="n">
        <v>46216</v>
      </c>
      <c r="F807" t="inlineStr">
        <is>
          <t>JÖNKÖPINGS LÄN</t>
        </is>
      </c>
      <c r="G807" t="inlineStr">
        <is>
          <t>JÖNKÖPING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14225-2025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45740</v>
      </c>
      <c r="E808" s="1" t="n">
        <v>46216</v>
      </c>
      <c r="F808" t="inlineStr">
        <is>
          <t>JÖNKÖPINGS LÄN</t>
        </is>
      </c>
      <c r="G808" t="inlineStr">
        <is>
          <t>JÖNKÖPING</t>
        </is>
      </c>
      <c r="I808" t="n">
        <v>7.3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177-2024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45313</v>
      </c>
      <c r="E809" s="1" t="n">
        <v>46216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84.90000000000001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1870-2022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44658</v>
      </c>
      <c r="E810" s="1" t="n">
        <v>46216</v>
      </c>
      <c r="F810" t="inlineStr">
        <is>
          <t>JÖNKÖPINGS LÄN</t>
        </is>
      </c>
      <c r="G810" t="inlineStr">
        <is>
          <t>JÖNKÖPING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884-2022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44607</v>
      </c>
      <c r="E811" s="1" t="n">
        <v>46216</v>
      </c>
      <c r="F811" t="inlineStr">
        <is>
          <t>JÖNKÖPINGS LÄN</t>
        </is>
      </c>
      <c r="G811" t="inlineStr">
        <is>
          <t>JÖNKÖPING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2480-2023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45131</v>
      </c>
      <c r="E812" s="1" t="n">
        <v>46216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Kyrkan</t>
        </is>
      </c>
      <c r="I812" t="n">
        <v>66.7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589-2022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44593</v>
      </c>
      <c r="E813" s="1" t="n">
        <v>46216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9015-2021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44510</v>
      </c>
      <c r="E814" s="1" t="n">
        <v>46216</v>
      </c>
      <c r="F814" t="inlineStr">
        <is>
          <t>JÖNKÖPINGS LÄN</t>
        </is>
      </c>
      <c r="G814" t="inlineStr">
        <is>
          <t>JÖNKÖPING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274-2023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44956</v>
      </c>
      <c r="E815" s="1" t="n">
        <v>46216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50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1347-2024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45407</v>
      </c>
      <c r="E816" s="1" t="n">
        <v>46216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Övriga Aktiebolag</t>
        </is>
      </c>
      <c r="I816" t="n">
        <v>40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324-2024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45327</v>
      </c>
      <c r="E817" s="1" t="n">
        <v>46216</v>
      </c>
      <c r="F817" t="inlineStr">
        <is>
          <t>JÖNKÖPINGS LÄN</t>
        </is>
      </c>
      <c r="G817" t="inlineStr">
        <is>
          <t>JÖNKÖPING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2909-2022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44711</v>
      </c>
      <c r="E818" s="1" t="n">
        <v>46216</v>
      </c>
      <c r="F818" t="inlineStr">
        <is>
          <t>JÖNKÖPINGS LÄN</t>
        </is>
      </c>
      <c r="G818" t="inlineStr">
        <is>
          <t>JÖNKÖPING</t>
        </is>
      </c>
      <c r="I818" t="n">
        <v>11.2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3979-2022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44753</v>
      </c>
      <c r="E819" s="1" t="n">
        <v>46216</v>
      </c>
      <c r="F819" t="inlineStr">
        <is>
          <t>JÖNKÖPINGS LÄN</t>
        </is>
      </c>
      <c r="G819" t="inlineStr">
        <is>
          <t>JÖNKÖPING</t>
        </is>
      </c>
      <c r="I819" t="n">
        <v>55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893-2023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44998</v>
      </c>
      <c r="E820" s="1" t="n">
        <v>46216</v>
      </c>
      <c r="F820" t="inlineStr">
        <is>
          <t>JÖNKÖPINGS LÄN</t>
        </is>
      </c>
      <c r="G820" t="inlineStr">
        <is>
          <t>JÖNKÖPING</t>
        </is>
      </c>
      <c r="I820" t="n">
        <v>129.2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1566-2025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45794</v>
      </c>
      <c r="E821" s="1" t="n">
        <v>46216</v>
      </c>
      <c r="F821" t="inlineStr">
        <is>
          <t>JÖNKÖPINGS LÄN</t>
        </is>
      </c>
      <c r="G821" t="inlineStr">
        <is>
          <t>JÖNKÖPING</t>
        </is>
      </c>
      <c r="I821" t="n">
        <v>24.3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1618-2025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46216</v>
      </c>
      <c r="F822" t="inlineStr">
        <is>
          <t>JÖNKÖPINGS LÄN</t>
        </is>
      </c>
      <c r="G822" t="inlineStr">
        <is>
          <t>JÖNKÖPING</t>
        </is>
      </c>
      <c r="I822" t="n">
        <v>20.6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581-2025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46216</v>
      </c>
      <c r="F823" t="inlineStr">
        <is>
          <t>JÖNKÖPINGS LÄN</t>
        </is>
      </c>
      <c r="G823" t="inlineStr">
        <is>
          <t>JÖNKÖPING</t>
        </is>
      </c>
      <c r="I823" t="n">
        <v>11.8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  <c r="X823">
        <f>HYPERLINK("https://klasma.github.io/Logging_0680/knärot/S 581-2025 karta knärot.png", "S 581-2025")</f>
        <v/>
      </c>
      <c r="Y823">
        <f>HYPERLINK("https://klasma.github.io/Logging_0680/klagomål/S 581-2025 FSC-klagomål.docx", "S 581-2025")</f>
        <v/>
      </c>
      <c r="Z823">
        <f>HYPERLINK("https://klasma.github.io/Logging_0680/klagomålsmail/S 581-2025 FSC-klagomål mail.docx", "S 581-2025")</f>
        <v/>
      </c>
      <c r="AA823">
        <f>HYPERLINK("https://klasma.github.io/Logging_0680/tillsyn/S 581-2025 tillsynsbegäran.docx", "S 581-2025")</f>
        <v/>
      </c>
      <c r="AB823">
        <f>HYPERLINK("https://klasma.github.io/Logging_0680/tillsynsmail/S 581-2025 tillsynsbegäran mail.docx", "S 581-2025")</f>
        <v/>
      </c>
    </row>
    <row r="824" ht="15" customHeight="1">
      <c r="A824" t="inlineStr">
        <is>
          <t>S 1610-2025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45798</v>
      </c>
      <c r="E824" s="1" t="n">
        <v>46216</v>
      </c>
      <c r="F824" t="inlineStr">
        <is>
          <t>JÖNKÖPINGS LÄN</t>
        </is>
      </c>
      <c r="G824" t="inlineStr">
        <is>
          <t>JÖNKÖPING</t>
        </is>
      </c>
      <c r="I824" t="n">
        <v>65.3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577-2025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45712</v>
      </c>
      <c r="E825" s="1" t="n">
        <v>46216</v>
      </c>
      <c r="F825" t="inlineStr">
        <is>
          <t>JÖNKÖPINGS LÄN</t>
        </is>
      </c>
      <c r="G825" t="inlineStr">
        <is>
          <t>JÖNKÖPING</t>
        </is>
      </c>
      <c r="I825" t="n">
        <v>39.5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1803-2025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45817</v>
      </c>
      <c r="E826" s="1" t="n">
        <v>46216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Kommuner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2245-2025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45870</v>
      </c>
      <c r="E827" s="1" t="n">
        <v>46216</v>
      </c>
      <c r="F827" t="inlineStr">
        <is>
          <t>JÖNKÖPINGS LÄN</t>
        </is>
      </c>
      <c r="G827" t="inlineStr">
        <is>
          <t>JÖNKÖPING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3374-2025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45994</v>
      </c>
      <c r="E828" s="1" t="n">
        <v>46216</v>
      </c>
      <c r="F828" t="inlineStr">
        <is>
          <t>JÖNKÖPINGS LÄN</t>
        </is>
      </c>
      <c r="G828" t="inlineStr">
        <is>
          <t>JÖNKÖPING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>
      <c r="A829" t="inlineStr">
        <is>
          <t>S 180-2026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46047</v>
      </c>
      <c r="E829" s="1" t="n">
        <v>46216</v>
      </c>
      <c r="F829" t="inlineStr">
        <is>
          <t>JÖNKÖPINGS LÄN</t>
        </is>
      </c>
      <c r="G829" t="inlineStr">
        <is>
          <t>JÖNKÖPING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2026-07-13T14:47:48Z</dcterms:created>
  <dcterms:modified xmlns:dcterms="http://purl.org/dc/terms/" xmlns:xsi="http://www.w3.org/2001/XMLSchema-instance" xsi:type="dcterms:W3CDTF">2026-07-13T14:47:49Z</dcterms:modified>
</cp:coreProperties>
</file>