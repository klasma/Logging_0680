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46230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46230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46230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46230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46230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t="n">
        <v>0</v>
      </c>
      <c r="V6" s="2" t="inlineStr">
        <is>
          <t>Ask
Slåttergubbe
Jungfrulin
Slåtterfibbla
Svinrot
Åkerkulla
Blåsippa
Mattlummer
Fläcknycklar
Grönvit nattviol
Gullviva</t>
        </is>
      </c>
      <c r="W6">
        <f>HYPERLINK("https://klasma.github.io/Logging_0680/artfynd/A 63437-2025 artfynd.xlsx", "A 63437-2025")</f>
        <v/>
      </c>
      <c r="X6">
        <f>HYPERLINK("https://klasma.github.io/Logging_0680/kartor/A 63437-2025 karta.png", "A 63437-2025")</f>
        <v/>
      </c>
      <c r="Y6">
        <f>HYPERLINK("https://klasma.github.io/Logging_0680/kartor_geotiff/A 63437-2025 georefererad karta.tif", "A 63437-2025")</f>
        <v/>
      </c>
      <c r="AA6">
        <f>HYPERLINK("https://klasma.github.io/Logging_0680/klagomål/A 63437-2025 FSC-klagomål.docx", "A 63437-2025")</f>
        <v/>
      </c>
      <c r="AB6">
        <f>HYPERLINK("https://klasma.github.io/Logging_0680/klagomålsmail/A 63437-2025 FSC-klagomål mail.docx", "A 63437-2025")</f>
        <v/>
      </c>
      <c r="AC6">
        <f>HYPERLINK("https://klasma.github.io/Logging_0680/tillsyn/A 63437-2025 tillsynsbegäran.docx", "A 63437-2025")</f>
        <v/>
      </c>
      <c r="AD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46230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t="n">
        <v>0</v>
      </c>
      <c r="V7" s="2" t="inlineStr">
        <is>
          <t>Ask
Blek kraterlav
Grynig filtlav
Fällmossa
Guldlockmossa
Liten baronmossa
Platt fjädermossa
Vätteros
Blåsippa</t>
        </is>
      </c>
      <c r="W7">
        <f>HYPERLINK("https://klasma.github.io/Logging_0680/artfynd/A 3689-2026 artfynd.xlsx", "A 3689-2026")</f>
        <v/>
      </c>
      <c r="X7">
        <f>HYPERLINK("https://klasma.github.io/Logging_0680/kartor/A 3689-2026 karta.png", "A 3689-2026")</f>
        <v/>
      </c>
      <c r="Y7">
        <f>HYPERLINK("https://klasma.github.io/Logging_0680/kartor_geotiff/A 3689-2026 georefererad karta.tif", "A 3689-2026")</f>
        <v/>
      </c>
      <c r="AA7">
        <f>HYPERLINK("https://klasma.github.io/Logging_0680/klagomål/A 3689-2026 FSC-klagomål.docx", "A 3689-2026")</f>
        <v/>
      </c>
      <c r="AB7">
        <f>HYPERLINK("https://klasma.github.io/Logging_0680/klagomålsmail/A 3689-2026 FSC-klagomål mail.docx", "A 3689-2026")</f>
        <v/>
      </c>
      <c r="AC7">
        <f>HYPERLINK("https://klasma.github.io/Logging_0680/tillsyn/A 3689-2026 tillsynsbegäran.docx", "A 3689-2026")</f>
        <v/>
      </c>
      <c r="AD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46230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46230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t="n">
        <v>7</v>
      </c>
      <c r="V9" s="2" t="inlineStr">
        <is>
          <t>Pärluggla
Entita
Klofibbla
Sparvuggla
Korallrot
Tjäder
Grönsiska
Kungsfågel
Svartvit flugsnappare</t>
        </is>
      </c>
      <c r="W9">
        <f>HYPERLINK("https://klasma.github.io/Logging_0680/artfynd/S 961-2022 artfynd.xlsx", "S 961-2022")</f>
        <v/>
      </c>
      <c r="X9">
        <f>HYPERLINK("https://klasma.github.io/Logging_0680/kartor/S 961-2022 karta.png", "S 961-2022")</f>
        <v/>
      </c>
      <c r="Y9">
        <f>HYPERLINK("https://klasma.github.io/Logging_0680/kartor_geotiff/S 961-2022 georefererad karta.tif", "S 961-2022")</f>
        <v/>
      </c>
      <c r="AA9">
        <f>HYPERLINK("https://klasma.github.io/Logging_0680/klagomål/S 961-2022 FSC-klagomål.docx", "S 961-2022")</f>
        <v/>
      </c>
      <c r="AB9">
        <f>HYPERLINK("https://klasma.github.io/Logging_0680/klagomålsmail/S 961-2022 FSC-klagomål mail.docx", "S 961-2022")</f>
        <v/>
      </c>
      <c r="AC9">
        <f>HYPERLINK("https://klasma.github.io/Logging_0680/tillsyn/S 961-2022 tillsynsbegäran.docx", "S 961-2022")</f>
        <v/>
      </c>
      <c r="AD9">
        <f>HYPERLINK("https://klasma.github.io/Logging_0680/tillsynsmail/S 961-2022 tillsynsbegäran mail.docx", "S 961-2022")</f>
        <v/>
      </c>
      <c r="AE9">
        <f>HYPERLINK("https://klasma.github.io/Logging_0680/fåglar/S 961-2022 prioriterade fågelarter.docx", "S 961-2022")</f>
        <v/>
      </c>
    </row>
    <row r="10" ht="15" customHeight="1">
      <c r="A10" t="inlineStr">
        <is>
          <t>S 2062-2026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46225</v>
      </c>
      <c r="E10" s="1" t="n">
        <v>46230</v>
      </c>
      <c r="F10" t="inlineStr">
        <is>
          <t>JÖNKÖPINGS LÄN</t>
        </is>
      </c>
      <c r="G10" t="inlineStr">
        <is>
          <t>JÖNKÖPING</t>
        </is>
      </c>
      <c r="I10" t="n">
        <v>21.4</v>
      </c>
      <c r="J10" t="n">
        <v>2</v>
      </c>
      <c r="K10" t="n">
        <v>1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9</v>
      </c>
      <c r="T10" t="n">
        <v>20</v>
      </c>
      <c r="U10" t="n">
        <v>0</v>
      </c>
      <c r="V10" s="2" t="inlineStr">
        <is>
          <t>Garnlav
Borsttåg
Kattfotslav
Motaggsvamp
Skarp dropptaggsvamp
Tallticka
Blomkålssvamp
Mattlummer
Buskskvätta</t>
        </is>
      </c>
      <c r="W10">
        <f>HYPERLINK("https://klasma.github.io/Logging_0680/artfynd/S 2062-2026 artfynd.xlsx", "S 2062-2026")</f>
        <v/>
      </c>
      <c r="X10">
        <f>HYPERLINK("https://klasma.github.io/Logging_0680/kartor/S 2062-2026 karta.png", "S 2062-2026")</f>
        <v/>
      </c>
      <c r="Y10">
        <f>HYPERLINK("https://klasma.github.io/Logging_0680/kartor_geotiff/S 2062-2026 georefererad karta.tif", "S 2062-2026")</f>
        <v/>
      </c>
      <c r="AA10">
        <f>HYPERLINK("https://klasma.github.io/Logging_0680/klagomål/S 2062-2026 FSC-klagomål.docx", "S 2062-2026")</f>
        <v/>
      </c>
      <c r="AB10">
        <f>HYPERLINK("https://klasma.github.io/Logging_0680/klagomålsmail/S 2062-2026 FSC-klagomål mail.docx", "S 2062-2026")</f>
        <v/>
      </c>
      <c r="AC10">
        <f>HYPERLINK("https://klasma.github.io/Logging_0680/tillsyn/S 2062-2026 tillsynsbegäran.docx", "S 2062-2026")</f>
        <v/>
      </c>
      <c r="AD10">
        <f>HYPERLINK("https://klasma.github.io/Logging_0680/tillsynsmail/S 2062-2026 tillsynsbegäran mail.docx", "S 2062-2026")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46230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46230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A 6327-2026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46055</v>
      </c>
      <c r="E13" s="1" t="n">
        <v>46230</v>
      </c>
      <c r="F13" t="inlineStr">
        <is>
          <t>JÖNKÖPINGS LÄN</t>
        </is>
      </c>
      <c r="G13" t="inlineStr">
        <is>
          <t>JÖNKÖPING</t>
        </is>
      </c>
      <c r="I13" t="n">
        <v>10</v>
      </c>
      <c r="J13" t="n">
        <v>0</v>
      </c>
      <c r="K13" t="n">
        <v>7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8</v>
      </c>
      <c r="T13" t="n">
        <v>8</v>
      </c>
      <c r="U13" t="n">
        <v>0</v>
      </c>
      <c r="V13" s="2" t="inlineStr">
        <is>
          <t>Praktvaxing
Blodvaxing
Gulvaxing
Igelkottsröksvamp
Svart trolldruva
Vitvaxing agg.
Västlig hakmossa
Ängsfingersvamp</t>
        </is>
      </c>
      <c r="W13">
        <f>HYPERLINK("https://klasma.github.io/Logging_0680/artfynd/A 6327-2026 artfynd.xlsx", "A 6327-2026")</f>
        <v/>
      </c>
      <c r="X13">
        <f>HYPERLINK("https://klasma.github.io/Logging_0680/kartor/A 6327-2026 karta.png", "A 6327-2026")</f>
        <v/>
      </c>
      <c r="Y13">
        <f>HYPERLINK("https://klasma.github.io/Logging_0680/kartor_geotiff/A 6327-2026 georefererad karta.tif", "A 6327-2026")</f>
        <v/>
      </c>
      <c r="AA13">
        <f>HYPERLINK("https://klasma.github.io/Logging_0680/klagomål/A 6327-2026 FSC-klagomål.docx", "A 6327-2026")</f>
        <v/>
      </c>
      <c r="AB13">
        <f>HYPERLINK("https://klasma.github.io/Logging_0680/klagomålsmail/A 6327-2026 FSC-klagomål mail.docx", "A 6327-2026")</f>
        <v/>
      </c>
      <c r="AC13">
        <f>HYPERLINK("https://klasma.github.io/Logging_0680/tillsyn/A 6327-2026 tillsynsbegäran.docx", "A 6327-2026")</f>
        <v/>
      </c>
      <c r="AD13">
        <f>HYPERLINK("https://klasma.github.io/Logging_0680/tillsynsmail/A 6327-2026 tillsynsbegäran mail.docx", "A 6327-2026")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46230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46230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46230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46230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1405-2024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45412</v>
      </c>
      <c r="E18" s="1" t="n">
        <v>46230</v>
      </c>
      <c r="F18" t="inlineStr">
        <is>
          <t>JÖNKÖPINGS LÄN</t>
        </is>
      </c>
      <c r="G18" t="inlineStr">
        <is>
          <t>JÖNKÖPING</t>
        </is>
      </c>
      <c r="I18" t="n">
        <v>108.5</v>
      </c>
      <c r="J18" t="n">
        <v>3</v>
      </c>
      <c r="K18" t="n">
        <v>0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10</v>
      </c>
      <c r="U18" t="n">
        <v>2</v>
      </c>
      <c r="V18" s="2" t="inlineStr">
        <is>
          <t>Lakritsmusseron
Sandödla
Dropptaggsvamp
Gulsparv
Månlåsbräken
Svinrot
Grönsiska</t>
        </is>
      </c>
      <c r="W18">
        <f>HYPERLINK("https://klasma.github.io/Logging_0680/artfynd/S 1405-2024 artfynd.xlsx", "S 1405-2024")</f>
        <v/>
      </c>
      <c r="X18">
        <f>HYPERLINK("https://klasma.github.io/Logging_0680/kartor/S 1405-2024 karta.png", "S 1405-2024")</f>
        <v/>
      </c>
      <c r="Y18">
        <f>HYPERLINK("https://klasma.github.io/Logging_0680/kartor_geotiff/S 1405-2024 georefererad karta.tif", "S 1405-2024")</f>
        <v/>
      </c>
      <c r="AA18">
        <f>HYPERLINK("https://klasma.github.io/Logging_0680/klagomål/S 1405-2024 FSC-klagomål.docx", "S 1405-2024")</f>
        <v/>
      </c>
      <c r="AB18">
        <f>HYPERLINK("https://klasma.github.io/Logging_0680/klagomålsmail/S 1405-2024 FSC-klagomål mail.docx", "S 1405-2024")</f>
        <v/>
      </c>
      <c r="AC18">
        <f>HYPERLINK("https://klasma.github.io/Logging_0680/tillsyn/S 1405-2024 tillsynsbegäran.docx", "S 1405-2024")</f>
        <v/>
      </c>
      <c r="AD18">
        <f>HYPERLINK("https://klasma.github.io/Logging_0680/tillsynsmail/S 1405-2024 tillsynsbegäran mail.docx", "S 1405-2024")</f>
        <v/>
      </c>
      <c r="AE18">
        <f>HYPERLINK("https://klasma.github.io/Logging_0680/fåglar/S 1405-2024 prioriterade fågelarter.docx", "S 1405-2024")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46230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46230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46230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46230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46230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46230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46230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46230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46230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46230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46230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46230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46230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46230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46230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46230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46230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46230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46230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46230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46230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46230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46230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46230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46230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46230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46230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46230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46230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A 40268-2021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46230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Gullpudra
Strutbräken</t>
        </is>
      </c>
      <c r="W48">
        <f>HYPERLINK("https://klasma.github.io/Logging_0680/artfynd/A 40268-2021 artfynd.xlsx", "A 40268-2021")</f>
        <v/>
      </c>
      <c r="X48">
        <f>HYPERLINK("https://klasma.github.io/Logging_0680/kartor/A 40268-2021 karta.png", "A 40268-2021")</f>
        <v/>
      </c>
      <c r="Y48">
        <f>HYPERLINK("https://klasma.github.io/Logging_0680/kartor_geotiff/A 40268-2021 georefererad karta.tif", "A 40268-2021")</f>
        <v/>
      </c>
      <c r="AA48">
        <f>HYPERLINK("https://klasma.github.io/Logging_0680/klagomål/A 40268-2021 FSC-klagomål.docx", "A 40268-2021")</f>
        <v/>
      </c>
      <c r="AB48">
        <f>HYPERLINK("https://klasma.github.io/Logging_0680/klagomålsmail/A 40268-2021 FSC-klagomål mail.docx", "A 40268-2021")</f>
        <v/>
      </c>
      <c r="AC48">
        <f>HYPERLINK("https://klasma.github.io/Logging_0680/tillsyn/A 40268-2021 tillsynsbegäran.docx", "A 40268-2021")</f>
        <v/>
      </c>
      <c r="AD48">
        <f>HYPERLINK("https://klasma.github.io/Logging_0680/tillsynsmail/A 40268-2021 tillsynsbegäran mail.docx", "A 40268-2021")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46230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46230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46230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46230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38072-2021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44404</v>
      </c>
      <c r="E53" s="1" t="n">
        <v>46230</v>
      </c>
      <c r="F53" t="inlineStr">
        <is>
          <t>JÖNKÖPINGS LÄN</t>
        </is>
      </c>
      <c r="G53" t="inlineStr">
        <is>
          <t>JÖNKÖPING</t>
        </is>
      </c>
      <c r="I53" t="n">
        <v>2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Slåttergubbe
Jungfrulin</t>
        </is>
      </c>
      <c r="W53">
        <f>HYPERLINK("https://klasma.github.io/Logging_0680/artfynd/A 38072-2021 artfynd.xlsx", "A 38072-2021")</f>
        <v/>
      </c>
      <c r="X53">
        <f>HYPERLINK("https://klasma.github.io/Logging_0680/kartor/A 38072-2021 karta.png", "A 38072-2021")</f>
        <v/>
      </c>
      <c r="Y53">
        <f>HYPERLINK("https://klasma.github.io/Logging_0680/kartor_geotiff/A 38072-2021 georefererad karta.tif", "A 38072-2021")</f>
        <v/>
      </c>
      <c r="AA53">
        <f>HYPERLINK("https://klasma.github.io/Logging_0680/klagomål/A 38072-2021 FSC-klagomål.docx", "A 38072-2021")</f>
        <v/>
      </c>
      <c r="AB53">
        <f>HYPERLINK("https://klasma.github.io/Logging_0680/klagomålsmail/A 38072-2021 FSC-klagomål mail.docx", "A 38072-2021")</f>
        <v/>
      </c>
      <c r="AC53">
        <f>HYPERLINK("https://klasma.github.io/Logging_0680/tillsyn/A 38072-2021 tillsynsbegäran.docx", "A 38072-2021")</f>
        <v/>
      </c>
      <c r="AD53">
        <f>HYPERLINK("https://klasma.github.io/Logging_0680/tillsynsmail/A 38072-2021 tillsynsbegäran mail.docx", "A 38072-2021")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46230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46230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46230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46230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46230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28211-2026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46230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Backtimjan
Solvända</t>
        </is>
      </c>
      <c r="W59">
        <f>HYPERLINK("https://klasma.github.io/Logging_0680/artfynd/A 28211-2026 artfynd.xlsx", "A 28211-2026")</f>
        <v/>
      </c>
      <c r="X59">
        <f>HYPERLINK("https://klasma.github.io/Logging_0680/kartor/A 28211-2026 karta.png", "A 28211-2026")</f>
        <v/>
      </c>
      <c r="Y59">
        <f>HYPERLINK("https://klasma.github.io/Logging_0680/kartor_geotiff/A 28211-2026 georefererad karta.tif", "A 28211-2026")</f>
        <v/>
      </c>
      <c r="AA59">
        <f>HYPERLINK("https://klasma.github.io/Logging_0680/klagomål/A 28211-2026 FSC-klagomål.docx", "A 28211-2026")</f>
        <v/>
      </c>
      <c r="AB59">
        <f>HYPERLINK("https://klasma.github.io/Logging_0680/klagomålsmail/A 28211-2026 FSC-klagomål mail.docx", "A 28211-2026")</f>
        <v/>
      </c>
      <c r="AC59">
        <f>HYPERLINK("https://klasma.github.io/Logging_0680/tillsyn/A 28211-2026 tillsynsbegäran.docx", "A 28211-2026")</f>
        <v/>
      </c>
      <c r="AD59">
        <f>HYPERLINK("https://klasma.github.io/Logging_0680/tillsynsmail/A 28211-2026 tillsynsbegäran mail.docx", "A 28211-2026")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46230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46230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46230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46230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46230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46230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46230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46230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Motaggsvamp
Blomkålssvamp</t>
        </is>
      </c>
      <c r="W67">
        <f>HYPERLINK("https://klasma.github.io/Logging_0680/artfynd/A 9221-2024 artfynd.xlsx", "A 9221-2024")</f>
        <v/>
      </c>
      <c r="X67">
        <f>HYPERLINK("https://klasma.github.io/Logging_0680/kartor/A 9221-2024 karta.png", "A 9221-2024")</f>
        <v/>
      </c>
      <c r="Y67">
        <f>HYPERLINK("https://klasma.github.io/Logging_0680/kartor_geotiff/A 9221-2024 georefererad karta.tif", "A 9221-2024")</f>
        <v/>
      </c>
      <c r="AA67">
        <f>HYPERLINK("https://klasma.github.io/Logging_0680/klagomål/A 9221-2024 FSC-klagomål.docx", "A 9221-2024")</f>
        <v/>
      </c>
      <c r="AB67">
        <f>HYPERLINK("https://klasma.github.io/Logging_0680/klagomålsmail/A 9221-2024 FSC-klagomål mail.docx", "A 9221-2024")</f>
        <v/>
      </c>
      <c r="AC67">
        <f>HYPERLINK("https://klasma.github.io/Logging_0680/tillsyn/A 9221-2024 tillsynsbegäran.docx", "A 9221-2024")</f>
        <v/>
      </c>
      <c r="AD67">
        <f>HYPERLINK("https://klasma.github.io/Logging_0680/tillsynsmail/A 9221-2024 tillsynsbegäran mail.docx", "A 9221-2024")</f>
        <v/>
      </c>
    </row>
    <row r="68" ht="15" customHeight="1">
      <c r="A68" t="inlineStr">
        <is>
          <t>A 23066-2025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45790</v>
      </c>
      <c r="E68" s="1" t="n">
        <v>46230</v>
      </c>
      <c r="F68" t="inlineStr">
        <is>
          <t>JÖNKÖPINGS LÄN</t>
        </is>
      </c>
      <c r="G68" t="inlineStr">
        <is>
          <t>JÖNKÖPING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Nattviol</t>
        </is>
      </c>
      <c r="W68">
        <f>HYPERLINK("https://klasma.github.io/Logging_0680/artfynd/A 23066-2025 artfynd.xlsx", "A 23066-2025")</f>
        <v/>
      </c>
      <c r="X68">
        <f>HYPERLINK("https://klasma.github.io/Logging_0680/kartor/A 23066-2025 karta.png", "A 23066-2025")</f>
        <v/>
      </c>
      <c r="Y68">
        <f>HYPERLINK("https://klasma.github.io/Logging_0680/kartor_geotiff/A 23066-2025 georefererad karta.tif", "A 23066-2025")</f>
        <v/>
      </c>
      <c r="AA68">
        <f>HYPERLINK("https://klasma.github.io/Logging_0680/klagomål/A 23066-2025 FSC-klagomål.docx", "A 23066-2025")</f>
        <v/>
      </c>
      <c r="AB68">
        <f>HYPERLINK("https://klasma.github.io/Logging_0680/klagomålsmail/A 23066-2025 FSC-klagomål mail.docx", "A 23066-2025")</f>
        <v/>
      </c>
      <c r="AC68">
        <f>HYPERLINK("https://klasma.github.io/Logging_0680/tillsyn/A 23066-2025 tillsynsbegäran.docx", "A 23066-2025")</f>
        <v/>
      </c>
      <c r="AD68">
        <f>HYPERLINK("https://klasma.github.io/Logging_0680/tillsynsmail/A 23066-2025 tillsynsbegäran mail.docx", "A 23066-2025")</f>
        <v/>
      </c>
    </row>
    <row r="69" ht="15" customHeight="1">
      <c r="A69" t="inlineStr">
        <is>
          <t>A 3361-2025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46230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4</v>
      </c>
      <c r="U69" t="n">
        <v>2</v>
      </c>
      <c r="V69" s="2" t="inlineStr">
        <is>
          <t>Vårärt
Blåsippa</t>
        </is>
      </c>
      <c r="W69">
        <f>HYPERLINK("https://klasma.github.io/Logging_0680/artfynd/A 3361-2025 artfynd.xlsx", "A 3361-2025")</f>
        <v/>
      </c>
      <c r="X69">
        <f>HYPERLINK("https://klasma.github.io/Logging_0680/kartor/A 3361-2025 karta.png", "A 3361-2025")</f>
        <v/>
      </c>
      <c r="Y69">
        <f>HYPERLINK("https://klasma.github.io/Logging_0680/kartor_geotiff/A 3361-2025 georefererad karta.tif", "A 3361-2025")</f>
        <v/>
      </c>
      <c r="AA69">
        <f>HYPERLINK("https://klasma.github.io/Logging_0680/klagomål/A 3361-2025 FSC-klagomål.docx", "A 3361-2025")</f>
        <v/>
      </c>
      <c r="AB69">
        <f>HYPERLINK("https://klasma.github.io/Logging_0680/klagomålsmail/A 3361-2025 FSC-klagomål mail.docx", "A 3361-2025")</f>
        <v/>
      </c>
      <c r="AC69">
        <f>HYPERLINK("https://klasma.github.io/Logging_0680/tillsyn/A 3361-2025 tillsynsbegäran.docx", "A 3361-2025")</f>
        <v/>
      </c>
      <c r="AD69">
        <f>HYPERLINK("https://klasma.github.io/Logging_0680/tillsynsmail/A 3361-2025 tillsynsbegäran mail.docx", "A 3361-2025")</f>
        <v/>
      </c>
    </row>
    <row r="70" ht="15" customHeight="1">
      <c r="A70" t="inlineStr">
        <is>
          <t>A 51183-2024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46230</v>
      </c>
      <c r="F70" t="inlineStr">
        <is>
          <t>JÖNKÖPINGS LÄN</t>
        </is>
      </c>
      <c r="G70" t="inlineStr">
        <is>
          <t>JÖNKÖPING</t>
        </is>
      </c>
      <c r="I70" t="n">
        <v>5.9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Sångsvan
Trana</t>
        </is>
      </c>
      <c r="W70">
        <f>HYPERLINK("https://klasma.github.io/Logging_0680/artfynd/A 51183-2024 artfynd.xlsx", "A 51183-2024")</f>
        <v/>
      </c>
      <c r="X70">
        <f>HYPERLINK("https://klasma.github.io/Logging_0680/kartor/A 51183-2024 karta.png", "A 51183-2024")</f>
        <v/>
      </c>
      <c r="Y70">
        <f>HYPERLINK("https://klasma.github.io/Logging_0680/kartor_geotiff/A 51183-2024 georefererad karta.tif", "A 51183-2024")</f>
        <v/>
      </c>
      <c r="AA70">
        <f>HYPERLINK("https://klasma.github.io/Logging_0680/klagomål/A 51183-2024 FSC-klagomål.docx", "A 51183-2024")</f>
        <v/>
      </c>
      <c r="AB70">
        <f>HYPERLINK("https://klasma.github.io/Logging_0680/klagomålsmail/A 51183-2024 FSC-klagomål mail.docx", "A 51183-2024")</f>
        <v/>
      </c>
      <c r="AC70">
        <f>HYPERLINK("https://klasma.github.io/Logging_0680/tillsyn/A 51183-2024 tillsynsbegäran.docx", "A 51183-2024")</f>
        <v/>
      </c>
      <c r="AD70">
        <f>HYPERLINK("https://klasma.github.io/Logging_0680/tillsynsmail/A 51183-2024 tillsynsbegäran mail.docx", "A 51183-2024")</f>
        <v/>
      </c>
      <c r="AE70">
        <f>HYPERLINK("https://klasma.github.io/Logging_0680/fåglar/A 51183-2024 prioriterade fågelarter.docx", "A 51183-2024")</f>
        <v/>
      </c>
    </row>
    <row r="71" ht="15" customHeight="1">
      <c r="A71" t="inlineStr">
        <is>
          <t>A 35567-2025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45856</v>
      </c>
      <c r="E71" s="1" t="n">
        <v>46230</v>
      </c>
      <c r="F71" t="inlineStr">
        <is>
          <t>JÖNKÖPINGS LÄN</t>
        </is>
      </c>
      <c r="G71" t="inlineStr">
        <is>
          <t>JÖNKÖPING</t>
        </is>
      </c>
      <c r="I71" t="n">
        <v>5.2</v>
      </c>
      <c r="J71" t="n">
        <v>1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Kambräken</t>
        </is>
      </c>
      <c r="W71">
        <f>HYPERLINK("https://klasma.github.io/Logging_0680/artfynd/A 35567-2025 artfynd.xlsx", "A 35567-2025")</f>
        <v/>
      </c>
      <c r="X71">
        <f>HYPERLINK("https://klasma.github.io/Logging_0680/kartor/A 35567-2025 karta.png", "A 35567-2025")</f>
        <v/>
      </c>
      <c r="Y71">
        <f>HYPERLINK("https://klasma.github.io/Logging_0680/kartor_geotiff/A 35567-2025 georefererad karta.tif", "A 35567-2025")</f>
        <v/>
      </c>
      <c r="Z71">
        <f>HYPERLINK("https://klasma.github.io/Logging_0680/knärot/A 35567-2025 karta knärot.png", "A 35567-2025")</f>
        <v/>
      </c>
      <c r="AA71">
        <f>HYPERLINK("https://klasma.github.io/Logging_0680/klagomål/A 35567-2025 FSC-klagomål.docx", "A 35567-2025")</f>
        <v/>
      </c>
      <c r="AB71">
        <f>HYPERLINK("https://klasma.github.io/Logging_0680/klagomålsmail/A 35567-2025 FSC-klagomål mail.docx", "A 35567-2025")</f>
        <v/>
      </c>
      <c r="AC71">
        <f>HYPERLINK("https://klasma.github.io/Logging_0680/tillsyn/A 35567-2025 tillsynsbegäran.docx", "A 35567-2025")</f>
        <v/>
      </c>
      <c r="AD71">
        <f>HYPERLINK("https://klasma.github.io/Logging_0680/tillsynsmail/A 35567-2025 tillsynsbegäran mail.docx", "A 35567-2025")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46230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46230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46230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1511-2025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45790</v>
      </c>
      <c r="E75" s="1" t="n">
        <v>46230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Slåttergubbe
Nattviol</t>
        </is>
      </c>
      <c r="W75">
        <f>HYPERLINK("https://klasma.github.io/Logging_0680/artfynd/S 1511-2025 artfynd.xlsx", "S 1511-2025")</f>
        <v/>
      </c>
      <c r="X75">
        <f>HYPERLINK("https://klasma.github.io/Logging_0680/kartor/S 1511-2025 karta.png", "S 1511-2025")</f>
        <v/>
      </c>
      <c r="Y75">
        <f>HYPERLINK("https://klasma.github.io/Logging_0680/kartor_geotiff/S 1511-2025 georefererad karta.tif", "S 1511-2025")</f>
        <v/>
      </c>
      <c r="AA75">
        <f>HYPERLINK("https://klasma.github.io/Logging_0680/klagomål/S 1511-2025 FSC-klagomål.docx", "S 1511-2025")</f>
        <v/>
      </c>
      <c r="AB75">
        <f>HYPERLINK("https://klasma.github.io/Logging_0680/klagomålsmail/S 1511-2025 FSC-klagomål mail.docx", "S 1511-2025")</f>
        <v/>
      </c>
      <c r="AC75">
        <f>HYPERLINK("https://klasma.github.io/Logging_0680/tillsyn/S 1511-2025 tillsynsbegäran.docx", "S 1511-2025")</f>
        <v/>
      </c>
      <c r="AD75">
        <f>HYPERLINK("https://klasma.github.io/Logging_0680/tillsynsmail/S 1511-2025 tillsynsbegäran mail.docx", "S 1511-2025")</f>
        <v/>
      </c>
    </row>
    <row r="76" ht="15" customHeight="1">
      <c r="A76" t="inlineStr">
        <is>
          <t>A 8582-2022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46230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HYPERLINK("https://klasma.github.io/Logging_0680/artfynd/A 8582-2022 artfynd.xlsx", "A 8582-2022")</f>
        <v/>
      </c>
      <c r="X76">
        <f>HYPERLINK("https://klasma.github.io/Logging_0680/kartor/A 8582-2022 karta.png", "A 8582-2022")</f>
        <v/>
      </c>
      <c r="Y76">
        <f>HYPERLINK("https://klasma.github.io/Logging_0680/kartor_geotiff/A 8582-2022 georefererad karta.tif", "A 8582-2022")</f>
        <v/>
      </c>
      <c r="AA76">
        <f>HYPERLINK("https://klasma.github.io/Logging_0680/klagomål/A 8582-2022 FSC-klagomål.docx", "A 8582-2022")</f>
        <v/>
      </c>
      <c r="AB76">
        <f>HYPERLINK("https://klasma.github.io/Logging_0680/klagomålsmail/A 8582-2022 FSC-klagomål mail.docx", "A 8582-2022")</f>
        <v/>
      </c>
      <c r="AC76">
        <f>HYPERLINK("https://klasma.github.io/Logging_0680/tillsyn/A 8582-2022 tillsynsbegäran.docx", "A 8582-2022")</f>
        <v/>
      </c>
      <c r="AD76">
        <f>HYPERLINK("https://klasma.github.io/Logging_0680/tillsynsmail/A 8582-2022 tillsynsbegäran mail.docx", "A 8582-2022")</f>
        <v/>
      </c>
    </row>
    <row r="77" ht="15" customHeight="1">
      <c r="A77" t="inlineStr">
        <is>
          <t>A 21947-2022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46230</v>
      </c>
      <c r="F77" t="inlineStr">
        <is>
          <t>JÖNKÖPINGS LÄN</t>
        </is>
      </c>
      <c r="G77" t="inlineStr">
        <is>
          <t>JÖNKÖPING</t>
        </is>
      </c>
      <c r="I77" t="n">
        <v>0.4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Kandelabersvamp</t>
        </is>
      </c>
      <c r="W77">
        <f>HYPERLINK("https://klasma.github.io/Logging_0680/artfynd/A 21947-2022 artfynd.xlsx", "A 21947-2022")</f>
        <v/>
      </c>
      <c r="X77">
        <f>HYPERLINK("https://klasma.github.io/Logging_0680/kartor/A 21947-2022 karta.png", "A 21947-2022")</f>
        <v/>
      </c>
      <c r="Y77">
        <f>HYPERLINK("https://klasma.github.io/Logging_0680/kartor_geotiff/A 21947-2022 georefererad karta.tif", "A 21947-2022")</f>
        <v/>
      </c>
      <c r="AA77">
        <f>HYPERLINK("https://klasma.github.io/Logging_0680/klagomål/A 21947-2022 FSC-klagomål.docx", "A 21947-2022")</f>
        <v/>
      </c>
      <c r="AB77">
        <f>HYPERLINK("https://klasma.github.io/Logging_0680/klagomålsmail/A 21947-2022 FSC-klagomål mail.docx", "A 21947-2022")</f>
        <v/>
      </c>
      <c r="AC77">
        <f>HYPERLINK("https://klasma.github.io/Logging_0680/tillsyn/A 21947-2022 tillsynsbegäran.docx", "A 21947-2022")</f>
        <v/>
      </c>
      <c r="AD77">
        <f>HYPERLINK("https://klasma.github.io/Logging_0680/tillsynsmail/A 21947-2022 tillsynsbegäran mail.docx", "A 21947-2022")</f>
        <v/>
      </c>
    </row>
    <row r="78" ht="15" customHeight="1">
      <c r="A78" t="inlineStr">
        <is>
          <t>A 53025-2021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46230</v>
      </c>
      <c r="F78" t="inlineStr">
        <is>
          <t>JÖNKÖPINGS LÄN</t>
        </is>
      </c>
      <c r="G78" t="inlineStr">
        <is>
          <t>JÖNKÖPING</t>
        </is>
      </c>
      <c r="I78" t="n">
        <v>2.5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Slåttergubbe</t>
        </is>
      </c>
      <c r="W78">
        <f>HYPERLINK("https://klasma.github.io/Logging_0680/artfynd/A 53025-2021 artfynd.xlsx", "A 53025-2021")</f>
        <v/>
      </c>
      <c r="X78">
        <f>HYPERLINK("https://klasma.github.io/Logging_0680/kartor/A 53025-2021 karta.png", "A 53025-2021")</f>
        <v/>
      </c>
      <c r="Y78">
        <f>HYPERLINK("https://klasma.github.io/Logging_0680/kartor_geotiff/A 53025-2021 georefererad karta.tif", "A 53025-2021")</f>
        <v/>
      </c>
      <c r="AA78">
        <f>HYPERLINK("https://klasma.github.io/Logging_0680/klagomål/A 53025-2021 FSC-klagomål.docx", "A 53025-2021")</f>
        <v/>
      </c>
      <c r="AB78">
        <f>HYPERLINK("https://klasma.github.io/Logging_0680/klagomålsmail/A 53025-2021 FSC-klagomål mail.docx", "A 53025-2021")</f>
        <v/>
      </c>
      <c r="AC78">
        <f>HYPERLINK("https://klasma.github.io/Logging_0680/tillsyn/A 53025-2021 tillsynsbegäran.docx", "A 53025-2021")</f>
        <v/>
      </c>
      <c r="AD78">
        <f>HYPERLINK("https://klasma.github.io/Logging_0680/tillsynsmail/A 53025-2021 tillsynsbegäran mail.docx", "A 53025-2021")</f>
        <v/>
      </c>
    </row>
    <row r="79" ht="15" customHeight="1">
      <c r="A79" t="inlineStr">
        <is>
          <t>A 42715-2021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44428</v>
      </c>
      <c r="E79" s="1" t="n">
        <v>46230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0.5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Nordfladdermus</t>
        </is>
      </c>
      <c r="W79">
        <f>HYPERLINK("https://klasma.github.io/Logging_0680/artfynd/A 42715-2021 artfynd.xlsx", "A 42715-2021")</f>
        <v/>
      </c>
      <c r="X79">
        <f>HYPERLINK("https://klasma.github.io/Logging_0680/kartor/A 42715-2021 karta.png", "A 42715-2021")</f>
        <v/>
      </c>
      <c r="Y79">
        <f>HYPERLINK("https://klasma.github.io/Logging_0680/kartor_geotiff/A 42715-2021 georefererad karta.tif", "A 42715-2021")</f>
        <v/>
      </c>
      <c r="AA79">
        <f>HYPERLINK("https://klasma.github.io/Logging_0680/klagomål/A 42715-2021 FSC-klagomål.docx", "A 42715-2021")</f>
        <v/>
      </c>
      <c r="AB79">
        <f>HYPERLINK("https://klasma.github.io/Logging_0680/klagomålsmail/A 42715-2021 FSC-klagomål mail.docx", "A 42715-2021")</f>
        <v/>
      </c>
      <c r="AC79">
        <f>HYPERLINK("https://klasma.github.io/Logging_0680/tillsyn/A 42715-2021 tillsynsbegäran.docx", "A 42715-2021")</f>
        <v/>
      </c>
      <c r="AD79">
        <f>HYPERLINK("https://klasma.github.io/Logging_0680/tillsynsmail/A 42715-2021 tillsynsbegäran mail.docx", "A 42715-2021")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46230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Toppvaxing</t>
        </is>
      </c>
      <c r="W80">
        <f>HYPERLINK("https://klasma.github.io/Logging_0680/artfynd/A 29056-2022 artfynd.xlsx", "A 29056-2022")</f>
        <v/>
      </c>
      <c r="X80">
        <f>HYPERLINK("https://klasma.github.io/Logging_0680/kartor/A 29056-2022 karta.png", "A 29056-2022")</f>
        <v/>
      </c>
      <c r="Y80">
        <f>HYPERLINK("https://klasma.github.io/Logging_0680/kartor_geotiff/A 29056-2022 georefererad karta.tif", "A 29056-2022")</f>
        <v/>
      </c>
      <c r="AA80">
        <f>HYPERLINK("https://klasma.github.io/Logging_0680/klagomål/A 29056-2022 FSC-klagomål.docx", "A 29056-2022")</f>
        <v/>
      </c>
      <c r="AB80">
        <f>HYPERLINK("https://klasma.github.io/Logging_0680/klagomålsmail/A 29056-2022 FSC-klagomål mail.docx", "A 29056-2022")</f>
        <v/>
      </c>
      <c r="AC80">
        <f>HYPERLINK("https://klasma.github.io/Logging_0680/tillsyn/A 29056-2022 tillsynsbegäran.docx", "A 29056-2022")</f>
        <v/>
      </c>
      <c r="AD80">
        <f>HYPERLINK("https://klasma.github.io/Logging_0680/tillsynsmail/A 29056-2022 tillsynsbegäran mail.docx", "A 29056-2022")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46230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42038-2023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46230</v>
      </c>
      <c r="F82" t="inlineStr">
        <is>
          <t>JÖNKÖPINGS LÄN</t>
        </is>
      </c>
      <c r="G82" t="inlineStr">
        <is>
          <t>JÖNKÖPING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Ask</t>
        </is>
      </c>
      <c r="W82">
        <f>HYPERLINK("https://klasma.github.io/Logging_0680/artfynd/A 42038-2023 artfynd.xlsx", "A 42038-2023")</f>
        <v/>
      </c>
      <c r="X82">
        <f>HYPERLINK("https://klasma.github.io/Logging_0680/kartor/A 42038-2023 karta.png", "A 42038-2023")</f>
        <v/>
      </c>
      <c r="Y82">
        <f>HYPERLINK("https://klasma.github.io/Logging_0680/kartor_geotiff/A 42038-2023 georefererad karta.tif", "A 42038-2023")</f>
        <v/>
      </c>
      <c r="AA82">
        <f>HYPERLINK("https://klasma.github.io/Logging_0680/klagomål/A 42038-2023 FSC-klagomål.docx", "A 42038-2023")</f>
        <v/>
      </c>
      <c r="AB82">
        <f>HYPERLINK("https://klasma.github.io/Logging_0680/klagomålsmail/A 42038-2023 FSC-klagomål mail.docx", "A 42038-2023")</f>
        <v/>
      </c>
      <c r="AC82">
        <f>HYPERLINK("https://klasma.github.io/Logging_0680/tillsyn/A 42038-2023 tillsynsbegäran.docx", "A 42038-2023")</f>
        <v/>
      </c>
      <c r="AD82">
        <f>HYPERLINK("https://klasma.github.io/Logging_0680/tillsynsmail/A 42038-2023 tillsynsbegäran mail.docx", "A 42038-2023")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46230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45295</v>
      </c>
      <c r="E84" s="1" t="n">
        <v>46230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HYPERLINK("https://klasma.github.io/Logging_0680/artfynd/A 278-2024 artfynd.xlsx", "A 278-2024")</f>
        <v/>
      </c>
      <c r="X84">
        <f>HYPERLINK("https://klasma.github.io/Logging_0680/kartor/A 278-2024 karta.png", "A 278-2024")</f>
        <v/>
      </c>
      <c r="Y84">
        <f>HYPERLINK("https://klasma.github.io/Logging_0680/kartor_geotiff/A 278-2024 georefererad karta.tif", "A 278-2024")</f>
        <v/>
      </c>
      <c r="AA84">
        <f>HYPERLINK("https://klasma.github.io/Logging_0680/klagomål/A 278-2024 FSC-klagomål.docx", "A 278-2024")</f>
        <v/>
      </c>
      <c r="AB84">
        <f>HYPERLINK("https://klasma.github.io/Logging_0680/klagomålsmail/A 278-2024 FSC-klagomål mail.docx", "A 278-2024")</f>
        <v/>
      </c>
      <c r="AC84">
        <f>HYPERLINK("https://klasma.github.io/Logging_0680/tillsyn/A 278-2024 tillsynsbegäran.docx", "A 278-2024")</f>
        <v/>
      </c>
      <c r="AD84">
        <f>HYPERLINK("https://klasma.github.io/Logging_0680/tillsynsmail/A 278-2024 tillsynsbegäran mail.docx", "A 278-2024")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46230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62844-2023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46230</v>
      </c>
      <c r="F86" t="inlineStr">
        <is>
          <t>JÖNKÖPINGS LÄN</t>
        </is>
      </c>
      <c r="G86" t="inlineStr">
        <is>
          <t>JÖNKÖPING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Ask</t>
        </is>
      </c>
      <c r="W86">
        <f>HYPERLINK("https://klasma.github.io/Logging_0680/artfynd/A 62844-2023 artfynd.xlsx", "A 62844-2023")</f>
        <v/>
      </c>
      <c r="X86">
        <f>HYPERLINK("https://klasma.github.io/Logging_0680/kartor/A 62844-2023 karta.png", "A 62844-2023")</f>
        <v/>
      </c>
      <c r="Y86">
        <f>HYPERLINK("https://klasma.github.io/Logging_0680/kartor_geotiff/A 62844-2023 georefererad karta.tif", "A 62844-2023")</f>
        <v/>
      </c>
      <c r="AA86">
        <f>HYPERLINK("https://klasma.github.io/Logging_0680/klagomål/A 62844-2023 FSC-klagomål.docx", "A 62844-2023")</f>
        <v/>
      </c>
      <c r="AB86">
        <f>HYPERLINK("https://klasma.github.io/Logging_0680/klagomålsmail/A 62844-2023 FSC-klagomål mail.docx", "A 62844-2023")</f>
        <v/>
      </c>
      <c r="AC86">
        <f>HYPERLINK("https://klasma.github.io/Logging_0680/tillsyn/A 62844-2023 tillsynsbegäran.docx", "A 62844-2023")</f>
        <v/>
      </c>
      <c r="AD86">
        <f>HYPERLINK("https://klasma.github.io/Logging_0680/tillsynsmail/A 62844-2023 tillsynsbegäran mail.docx", "A 62844-2023")</f>
        <v/>
      </c>
    </row>
    <row r="87" ht="15" customHeight="1">
      <c r="A87" t="inlineStr">
        <is>
          <t>A 48371-2023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45205</v>
      </c>
      <c r="E87" s="1" t="n">
        <v>46230</v>
      </c>
      <c r="F87" t="inlineStr">
        <is>
          <t>JÖNKÖPINGS LÄN</t>
        </is>
      </c>
      <c r="G87" t="inlineStr">
        <is>
          <t>JÖNKÖPING</t>
        </is>
      </c>
      <c r="I87" t="n">
        <v>4.9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HYPERLINK("https://klasma.github.io/Logging_0680/artfynd/A 48371-2023 artfynd.xlsx", "A 48371-2023")</f>
        <v/>
      </c>
      <c r="X87">
        <f>HYPERLINK("https://klasma.github.io/Logging_0680/kartor/A 48371-2023 karta.png", "A 48371-2023")</f>
        <v/>
      </c>
      <c r="Y87">
        <f>HYPERLINK("https://klasma.github.io/Logging_0680/kartor_geotiff/A 48371-2023 georefererad karta.tif", "A 48371-2023")</f>
        <v/>
      </c>
      <c r="AA87">
        <f>HYPERLINK("https://klasma.github.io/Logging_0680/klagomål/A 48371-2023 FSC-klagomål.docx", "A 48371-2023")</f>
        <v/>
      </c>
      <c r="AB87">
        <f>HYPERLINK("https://klasma.github.io/Logging_0680/klagomålsmail/A 48371-2023 FSC-klagomål mail.docx", "A 48371-2023")</f>
        <v/>
      </c>
      <c r="AC87">
        <f>HYPERLINK("https://klasma.github.io/Logging_0680/tillsyn/A 48371-2023 tillsynsbegäran.docx", "A 48371-2023")</f>
        <v/>
      </c>
      <c r="AD87">
        <f>HYPERLINK("https://klasma.github.io/Logging_0680/tillsynsmail/A 48371-2023 tillsynsbegäran mail.docx", "A 48371-2023")</f>
        <v/>
      </c>
    </row>
    <row r="88" ht="15" customHeight="1">
      <c r="A88" t="inlineStr">
        <is>
          <t>A 34597-2025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45846</v>
      </c>
      <c r="E88" s="1" t="n">
        <v>46230</v>
      </c>
      <c r="F88" t="inlineStr">
        <is>
          <t>JÖNKÖPINGS LÄN</t>
        </is>
      </c>
      <c r="G88" t="inlineStr">
        <is>
          <t>JÖNKÖPING</t>
        </is>
      </c>
      <c r="H88" t="inlineStr">
        <is>
          <t>Kyrkan</t>
        </is>
      </c>
      <c r="I88" t="n">
        <v>7.3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34597-2025 artfynd.xlsx", "A 34597-2025")</f>
        <v/>
      </c>
      <c r="X88">
        <f>HYPERLINK("https://klasma.github.io/Logging_0680/kartor/A 34597-2025 karta.png", "A 34597-2025")</f>
        <v/>
      </c>
      <c r="Y88">
        <f>HYPERLINK("https://klasma.github.io/Logging_0680/kartor_geotiff/A 34597-2025 georefererad karta.tif", "A 34597-2025")</f>
        <v/>
      </c>
      <c r="Z88">
        <f>HYPERLINK("https://klasma.github.io/Logging_0680/knärot/A 34597-2025 karta knärot.png", "A 34597-2025")</f>
        <v/>
      </c>
      <c r="AA88">
        <f>HYPERLINK("https://klasma.github.io/Logging_0680/klagomål/A 34597-2025 FSC-klagomål.docx", "A 34597-2025")</f>
        <v/>
      </c>
      <c r="AB88">
        <f>HYPERLINK("https://klasma.github.io/Logging_0680/klagomålsmail/A 34597-2025 FSC-klagomål mail.docx", "A 34597-2025")</f>
        <v/>
      </c>
      <c r="AC88">
        <f>HYPERLINK("https://klasma.github.io/Logging_0680/tillsyn/A 34597-2025 tillsynsbegäran.docx", "A 34597-2025")</f>
        <v/>
      </c>
      <c r="AD88">
        <f>HYPERLINK("https://klasma.github.io/Logging_0680/tillsynsmail/A 34597-2025 tillsynsbegäran mail.docx", "A 34597-2025")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46230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46230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46230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46230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46230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46230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43624-2023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46230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Gullpudra</t>
        </is>
      </c>
      <c r="W95">
        <f>HYPERLINK("https://klasma.github.io/Logging_0680/artfynd/A 43624-2023 artfynd.xlsx", "A 43624-2023")</f>
        <v/>
      </c>
      <c r="X95">
        <f>HYPERLINK("https://klasma.github.io/Logging_0680/kartor/A 43624-2023 karta.png", "A 43624-2023")</f>
        <v/>
      </c>
      <c r="Y95">
        <f>HYPERLINK("https://klasma.github.io/Logging_0680/kartor_geotiff/A 43624-2023 georefererad karta.tif", "A 43624-2023")</f>
        <v/>
      </c>
      <c r="AA95">
        <f>HYPERLINK("https://klasma.github.io/Logging_0680/klagomål/A 43624-2023 FSC-klagomål.docx", "A 43624-2023")</f>
        <v/>
      </c>
      <c r="AB95">
        <f>HYPERLINK("https://klasma.github.io/Logging_0680/klagomålsmail/A 43624-2023 FSC-klagomål mail.docx", "A 43624-2023")</f>
        <v/>
      </c>
      <c r="AC95">
        <f>HYPERLINK("https://klasma.github.io/Logging_0680/tillsyn/A 43624-2023 tillsynsbegäran.docx", "A 43624-2023")</f>
        <v/>
      </c>
      <c r="AD95">
        <f>HYPERLINK("https://klasma.github.io/Logging_0680/tillsynsmail/A 43624-2023 tillsynsbegäran mail.docx", "A 43624-2023")</f>
        <v/>
      </c>
    </row>
    <row r="96" ht="15" customHeight="1">
      <c r="A96" t="inlineStr">
        <is>
          <t>A 63550-2025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46230</v>
      </c>
      <c r="F96" t="inlineStr">
        <is>
          <t>JÖNKÖPINGS LÄN</t>
        </is>
      </c>
      <c r="G96" t="inlineStr">
        <is>
          <t>JÖNKÖPING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HYPERLINK("https://klasma.github.io/Logging_0680/artfynd/A 63550-2025 artfynd.xlsx", "A 63550-2025")</f>
        <v/>
      </c>
      <c r="X96">
        <f>HYPERLINK("https://klasma.github.io/Logging_0680/kartor/A 63550-2025 karta.png", "A 63550-2025")</f>
        <v/>
      </c>
      <c r="Y96">
        <f>HYPERLINK("https://klasma.github.io/Logging_0680/kartor_geotiff/A 63550-2025 georefererad karta.tif", "A 63550-2025")</f>
        <v/>
      </c>
      <c r="AA96">
        <f>HYPERLINK("https://klasma.github.io/Logging_0680/klagomål/A 63550-2025 FSC-klagomål.docx", "A 63550-2025")</f>
        <v/>
      </c>
      <c r="AB96">
        <f>HYPERLINK("https://klasma.github.io/Logging_0680/klagomålsmail/A 63550-2025 FSC-klagomål mail.docx", "A 63550-2025")</f>
        <v/>
      </c>
      <c r="AC96">
        <f>HYPERLINK("https://klasma.github.io/Logging_0680/tillsyn/A 63550-2025 tillsynsbegäran.docx", "A 63550-2025")</f>
        <v/>
      </c>
      <c r="AD96">
        <f>HYPERLINK("https://klasma.github.io/Logging_0680/tillsynsmail/A 63550-2025 tillsynsbegäran mail.docx", "A 63550-2025")</f>
        <v/>
      </c>
    </row>
    <row r="97" ht="15" customHeight="1">
      <c r="A97" t="inlineStr">
        <is>
          <t>A 29462-2026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46230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HYPERLINK("https://klasma.github.io/Logging_0680/artfynd/A 29462-2026 artfynd.xlsx", "A 29462-2026")</f>
        <v/>
      </c>
      <c r="X97">
        <f>HYPERLINK("https://klasma.github.io/Logging_0680/kartor/A 29462-2026 karta.png", "A 29462-2026")</f>
        <v/>
      </c>
      <c r="Y97">
        <f>HYPERLINK("https://klasma.github.io/Logging_0680/kartor_geotiff/A 29462-2026 georefererad karta.tif", "A 29462-2026")</f>
        <v/>
      </c>
      <c r="Z97">
        <f>HYPERLINK("https://klasma.github.io/Logging_0680/knärot/A 29462-2026 karta knärot.png", "A 29462-2026")</f>
        <v/>
      </c>
      <c r="AA97">
        <f>HYPERLINK("https://klasma.github.io/Logging_0680/klagomål/A 29462-2026 FSC-klagomål.docx", "A 29462-2026")</f>
        <v/>
      </c>
      <c r="AB97">
        <f>HYPERLINK("https://klasma.github.io/Logging_0680/klagomålsmail/A 29462-2026 FSC-klagomål mail.docx", "A 29462-2026")</f>
        <v/>
      </c>
      <c r="AC97">
        <f>HYPERLINK("https://klasma.github.io/Logging_0680/tillsyn/A 29462-2026 tillsynsbegäran.docx", "A 29462-2026")</f>
        <v/>
      </c>
      <c r="AD97">
        <f>HYPERLINK("https://klasma.github.io/Logging_0680/tillsynsmail/A 29462-2026 tillsynsbegäran mail.docx", "A 29462-2026")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46230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23234-2026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46230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1.9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Klasefibbla</t>
        </is>
      </c>
      <c r="W99">
        <f>HYPERLINK("https://klasma.github.io/Logging_0680/artfynd/A 23234-2026 artfynd.xlsx", "A 23234-2026")</f>
        <v/>
      </c>
      <c r="X99">
        <f>HYPERLINK("https://klasma.github.io/Logging_0680/kartor/A 23234-2026 karta.png", "A 23234-2026")</f>
        <v/>
      </c>
      <c r="Y99">
        <f>HYPERLINK("https://klasma.github.io/Logging_0680/kartor_geotiff/A 23234-2026 georefererad karta.tif", "A 23234-2026")</f>
        <v/>
      </c>
      <c r="AA99">
        <f>HYPERLINK("https://klasma.github.io/Logging_0680/klagomål/A 23234-2026 FSC-klagomål.docx", "A 23234-2026")</f>
        <v/>
      </c>
      <c r="AB99">
        <f>HYPERLINK("https://klasma.github.io/Logging_0680/klagomålsmail/A 23234-2026 FSC-klagomål mail.docx", "A 23234-2026")</f>
        <v/>
      </c>
      <c r="AC99">
        <f>HYPERLINK("https://klasma.github.io/Logging_0680/tillsyn/A 23234-2026 tillsynsbegäran.docx", "A 23234-2026")</f>
        <v/>
      </c>
      <c r="AD99">
        <f>HYPERLINK("https://klasma.github.io/Logging_0680/tillsynsmail/A 23234-2026 tillsynsbegäran mail.docx", "A 23234-2026")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46230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23260-2026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46162</v>
      </c>
      <c r="E101" s="1" t="n">
        <v>46230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Grönvit nattviol</t>
        </is>
      </c>
      <c r="W101">
        <f>HYPERLINK("https://klasma.github.io/Logging_0680/artfynd/A 23260-2026 artfynd.xlsx", "A 23260-2026")</f>
        <v/>
      </c>
      <c r="X101">
        <f>HYPERLINK("https://klasma.github.io/Logging_0680/kartor/A 23260-2026 karta.png", "A 23260-2026")</f>
        <v/>
      </c>
      <c r="Y101">
        <f>HYPERLINK("https://klasma.github.io/Logging_0680/kartor_geotiff/A 23260-2026 georefererad karta.tif", "A 23260-2026")</f>
        <v/>
      </c>
      <c r="AA101">
        <f>HYPERLINK("https://klasma.github.io/Logging_0680/klagomål/A 23260-2026 FSC-klagomål.docx", "A 23260-2026")</f>
        <v/>
      </c>
      <c r="AB101">
        <f>HYPERLINK("https://klasma.github.io/Logging_0680/klagomålsmail/A 23260-2026 FSC-klagomål mail.docx", "A 23260-2026")</f>
        <v/>
      </c>
      <c r="AC101">
        <f>HYPERLINK("https://klasma.github.io/Logging_0680/tillsyn/A 23260-2026 tillsynsbegäran.docx", "A 23260-2026")</f>
        <v/>
      </c>
      <c r="AD101">
        <f>HYPERLINK("https://klasma.github.io/Logging_0680/tillsynsmail/A 23260-2026 tillsynsbegäran mail.docx", "A 23260-2026")</f>
        <v/>
      </c>
    </row>
    <row r="102" ht="15" customHeight="1">
      <c r="A102" t="inlineStr">
        <is>
          <t>A 5898-2023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46230</v>
      </c>
      <c r="F102" t="inlineStr">
        <is>
          <t>JÖNKÖPINGS LÄN</t>
        </is>
      </c>
      <c r="G102" t="inlineStr">
        <is>
          <t>JÖNKÖPING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Utter</t>
        </is>
      </c>
      <c r="W102">
        <f>HYPERLINK("https://klasma.github.io/Logging_0680/artfynd/A 5898-2023 artfynd.xlsx", "A 5898-2023")</f>
        <v/>
      </c>
      <c r="X102">
        <f>HYPERLINK("https://klasma.github.io/Logging_0680/kartor/A 5898-2023 karta.png", "A 5898-2023")</f>
        <v/>
      </c>
      <c r="Y102">
        <f>HYPERLINK("https://klasma.github.io/Logging_0680/kartor_geotiff/A 5898-2023 georefererad karta.tif", "A 5898-2023")</f>
        <v/>
      </c>
      <c r="AA102">
        <f>HYPERLINK("https://klasma.github.io/Logging_0680/klagomål/A 5898-2023 FSC-klagomål.docx", "A 5898-2023")</f>
        <v/>
      </c>
      <c r="AB102">
        <f>HYPERLINK("https://klasma.github.io/Logging_0680/klagomålsmail/A 5898-2023 FSC-klagomål mail.docx", "A 5898-2023")</f>
        <v/>
      </c>
      <c r="AC102">
        <f>HYPERLINK("https://klasma.github.io/Logging_0680/tillsyn/A 5898-2023 tillsynsbegäran.docx", "A 5898-2023")</f>
        <v/>
      </c>
      <c r="AD102">
        <f>HYPERLINK("https://klasma.github.io/Logging_0680/tillsynsmail/A 5898-2023 tillsynsbegäran mail.docx", "A 5898-2023")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46230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HYPERLINK("https://klasma.github.io/Logging_0680/artfynd/A 6168-2026 artfynd.xlsx", "A 6168-2026")</f>
        <v/>
      </c>
      <c r="X103">
        <f>HYPERLINK("https://klasma.github.io/Logging_0680/kartor/A 6168-2026 karta.png", "A 6168-2026")</f>
        <v/>
      </c>
      <c r="Y103">
        <f>HYPERLINK("https://klasma.github.io/Logging_0680/kartor_geotiff/A 6168-2026 georefererad karta.tif", "A 6168-2026")</f>
        <v/>
      </c>
      <c r="AA103">
        <f>HYPERLINK("https://klasma.github.io/Logging_0680/klagomål/A 6168-2026 FSC-klagomål.docx", "A 6168-2026")</f>
        <v/>
      </c>
      <c r="AB103">
        <f>HYPERLINK("https://klasma.github.io/Logging_0680/klagomålsmail/A 6168-2026 FSC-klagomål mail.docx", "A 6168-2026")</f>
        <v/>
      </c>
      <c r="AC103">
        <f>HYPERLINK("https://klasma.github.io/Logging_0680/tillsyn/A 6168-2026 tillsynsbegäran.docx", "A 6168-2026")</f>
        <v/>
      </c>
      <c r="AD103">
        <f>HYPERLINK("https://klasma.github.io/Logging_0680/tillsynsmail/A 6168-2026 tillsynsbegäran mail.docx", "A 6168-2026")</f>
        <v/>
      </c>
    </row>
    <row r="104" ht="15" customHeight="1">
      <c r="A104" t="inlineStr">
        <is>
          <t>A 7511-2026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46230</v>
      </c>
      <c r="F104" t="inlineStr">
        <is>
          <t>JÖNKÖPINGS LÄN</t>
        </is>
      </c>
      <c r="G104" t="inlineStr">
        <is>
          <t>JÖNKÖPING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HYPERLINK("https://klasma.github.io/Logging_0680/artfynd/A 7511-2026 artfynd.xlsx", "A 7511-2026")</f>
        <v/>
      </c>
      <c r="X104">
        <f>HYPERLINK("https://klasma.github.io/Logging_0680/kartor/A 7511-2026 karta.png", "A 7511-2026")</f>
        <v/>
      </c>
      <c r="Y104">
        <f>HYPERLINK("https://klasma.github.io/Logging_0680/kartor_geotiff/A 7511-2026 georefererad karta.tif", "A 7511-2026")</f>
        <v/>
      </c>
      <c r="AA104">
        <f>HYPERLINK("https://klasma.github.io/Logging_0680/klagomål/A 7511-2026 FSC-klagomål.docx", "A 7511-2026")</f>
        <v/>
      </c>
      <c r="AB104">
        <f>HYPERLINK("https://klasma.github.io/Logging_0680/klagomålsmail/A 7511-2026 FSC-klagomål mail.docx", "A 7511-2026")</f>
        <v/>
      </c>
      <c r="AC104">
        <f>HYPERLINK("https://klasma.github.io/Logging_0680/tillsyn/A 7511-2026 tillsynsbegäran.docx", "A 7511-2026")</f>
        <v/>
      </c>
      <c r="AD104">
        <f>HYPERLINK("https://klasma.github.io/Logging_0680/tillsynsmail/A 7511-2026 tillsynsbegäran mail.docx", "A 7511-2026")</f>
        <v/>
      </c>
    </row>
    <row r="105" ht="15" customHeight="1">
      <c r="A105" t="inlineStr">
        <is>
          <t>A 30718-2026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46211</v>
      </c>
      <c r="E105" s="1" t="n">
        <v>46230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11.4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Spindelblomster</t>
        </is>
      </c>
      <c r="W105">
        <f>HYPERLINK("https://klasma.github.io/Logging_0680/artfynd/A 30718-2026 artfynd.xlsx", "A 30718-2026")</f>
        <v/>
      </c>
      <c r="X105">
        <f>HYPERLINK("https://klasma.github.io/Logging_0680/kartor/A 30718-2026 karta.png", "A 30718-2026")</f>
        <v/>
      </c>
      <c r="Y105">
        <f>HYPERLINK("https://klasma.github.io/Logging_0680/kartor_geotiff/A 30718-2026 georefererad karta.tif", "A 30718-2026")</f>
        <v/>
      </c>
      <c r="AA105">
        <f>HYPERLINK("https://klasma.github.io/Logging_0680/klagomål/A 30718-2026 FSC-klagomål.docx", "A 30718-2026")</f>
        <v/>
      </c>
      <c r="AB105">
        <f>HYPERLINK("https://klasma.github.io/Logging_0680/klagomålsmail/A 30718-2026 FSC-klagomål mail.docx", "A 30718-2026")</f>
        <v/>
      </c>
      <c r="AC105">
        <f>HYPERLINK("https://klasma.github.io/Logging_0680/tillsyn/A 30718-2026 tillsynsbegäran.docx", "A 30718-2026")</f>
        <v/>
      </c>
      <c r="AD105">
        <f>HYPERLINK("https://klasma.github.io/Logging_0680/tillsynsmail/A 30718-2026 tillsynsbegäran mail.docx", "A 30718-2026")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46230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11260-2023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44992</v>
      </c>
      <c r="E107" s="1" t="n">
        <v>46230</v>
      </c>
      <c r="F107" t="inlineStr">
        <is>
          <t>JÖNKÖPINGS LÄN</t>
        </is>
      </c>
      <c r="G107" t="inlineStr">
        <is>
          <t>JÖNKÖPING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Knärot</t>
        </is>
      </c>
      <c r="W107">
        <f>HYPERLINK("https://klasma.github.io/Logging_0680/artfynd/A 11260-2023 artfynd.xlsx", "A 11260-2023")</f>
        <v/>
      </c>
      <c r="X107">
        <f>HYPERLINK("https://klasma.github.io/Logging_0680/kartor/A 11260-2023 karta.png", "A 11260-2023")</f>
        <v/>
      </c>
      <c r="Y107">
        <f>HYPERLINK("https://klasma.github.io/Logging_0680/kartor_geotiff/A 11260-2023 georefererad karta.tif", "A 11260-2023")</f>
        <v/>
      </c>
      <c r="Z107">
        <f>HYPERLINK("https://klasma.github.io/Logging_0680/knärot/A 11260-2023 karta knärot.png", "A 11260-2023")</f>
        <v/>
      </c>
      <c r="AA107">
        <f>HYPERLINK("https://klasma.github.io/Logging_0680/klagomål/A 11260-2023 FSC-klagomål.docx", "A 11260-2023")</f>
        <v/>
      </c>
      <c r="AB107">
        <f>HYPERLINK("https://klasma.github.io/Logging_0680/klagomålsmail/A 11260-2023 FSC-klagomål mail.docx", "A 11260-2023")</f>
        <v/>
      </c>
      <c r="AC107">
        <f>HYPERLINK("https://klasma.github.io/Logging_0680/tillsyn/A 11260-2023 tillsynsbegäran.docx", "A 11260-2023")</f>
        <v/>
      </c>
      <c r="AD107">
        <f>HYPERLINK("https://klasma.github.io/Logging_0680/tillsynsmail/A 11260-2023 tillsynsbegäran mail.docx", "A 11260-2023")</f>
        <v/>
      </c>
    </row>
    <row r="108" ht="15" customHeight="1">
      <c r="A108" t="inlineStr">
        <is>
          <t>A 43538-2021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44433</v>
      </c>
      <c r="E108" s="1" t="n">
        <v>46230</v>
      </c>
      <c r="F108" t="inlineStr">
        <is>
          <t>JÖNKÖPINGS LÄN</t>
        </is>
      </c>
      <c r="G108" t="inlineStr">
        <is>
          <t>JÖNKÖPING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Svinrot</t>
        </is>
      </c>
      <c r="W108">
        <f>HYPERLINK("https://klasma.github.io/Logging_0680/artfynd/A 43538-2021 artfynd.xlsx", "A 43538-2021")</f>
        <v/>
      </c>
      <c r="X108">
        <f>HYPERLINK("https://klasma.github.io/Logging_0680/kartor/A 43538-2021 karta.png", "A 43538-2021")</f>
        <v/>
      </c>
      <c r="Y108">
        <f>HYPERLINK("https://klasma.github.io/Logging_0680/kartor_geotiff/A 43538-2021 georefererad karta.tif", "A 43538-2021")</f>
        <v/>
      </c>
      <c r="AA108">
        <f>HYPERLINK("https://klasma.github.io/Logging_0680/klagomål/A 43538-2021 FSC-klagomål.docx", "A 43538-2021")</f>
        <v/>
      </c>
      <c r="AB108">
        <f>HYPERLINK("https://klasma.github.io/Logging_0680/klagomålsmail/A 43538-2021 FSC-klagomål mail.docx", "A 43538-2021")</f>
        <v/>
      </c>
      <c r="AC108">
        <f>HYPERLINK("https://klasma.github.io/Logging_0680/tillsyn/A 43538-2021 tillsynsbegäran.docx", "A 43538-2021")</f>
        <v/>
      </c>
      <c r="AD108">
        <f>HYPERLINK("https://klasma.github.io/Logging_0680/tillsynsmail/A 43538-2021 tillsynsbegäran mail.docx", "A 43538-2021")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46230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15516-2026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46230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Revlummer</t>
        </is>
      </c>
      <c r="W110">
        <f>HYPERLINK("https://klasma.github.io/Logging_0680/artfynd/A 15516-2026 artfynd.xlsx", "A 15516-2026")</f>
        <v/>
      </c>
      <c r="X110">
        <f>HYPERLINK("https://klasma.github.io/Logging_0680/kartor/A 15516-2026 karta.png", "A 15516-2026")</f>
        <v/>
      </c>
      <c r="Y110">
        <f>HYPERLINK("https://klasma.github.io/Logging_0680/kartor_geotiff/A 15516-2026 georefererad karta.tif", "A 15516-2026")</f>
        <v/>
      </c>
      <c r="AA110">
        <f>HYPERLINK("https://klasma.github.io/Logging_0680/klagomål/A 15516-2026 FSC-klagomål.docx", "A 15516-2026")</f>
        <v/>
      </c>
      <c r="AB110">
        <f>HYPERLINK("https://klasma.github.io/Logging_0680/klagomålsmail/A 15516-2026 FSC-klagomål mail.docx", "A 15516-2026")</f>
        <v/>
      </c>
      <c r="AC110">
        <f>HYPERLINK("https://klasma.github.io/Logging_0680/tillsyn/A 15516-2026 tillsynsbegäran.docx", "A 15516-2026")</f>
        <v/>
      </c>
      <c r="AD110">
        <f>HYPERLINK("https://klasma.github.io/Logging_0680/tillsynsmail/A 15516-2026 tillsynsbegäran mail.docx", "A 15516-2026")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46230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7092-2024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46230</v>
      </c>
      <c r="F112" t="inlineStr">
        <is>
          <t>JÖNKÖPINGS LÄN</t>
        </is>
      </c>
      <c r="G112" t="inlineStr">
        <is>
          <t>JÖNKÖPING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HYPERLINK("https://klasma.github.io/Logging_0680/artfynd/A 7092-2024 artfynd.xlsx", "A 7092-2024")</f>
        <v/>
      </c>
      <c r="X112">
        <f>HYPERLINK("https://klasma.github.io/Logging_0680/kartor/A 7092-2024 karta.png", "A 7092-2024")</f>
        <v/>
      </c>
      <c r="Y112">
        <f>HYPERLINK("https://klasma.github.io/Logging_0680/kartor_geotiff/A 7092-2024 georefererad karta.tif", "A 7092-2024")</f>
        <v/>
      </c>
      <c r="AA112">
        <f>HYPERLINK("https://klasma.github.io/Logging_0680/klagomål/A 7092-2024 FSC-klagomål.docx", "A 7092-2024")</f>
        <v/>
      </c>
      <c r="AB112">
        <f>HYPERLINK("https://klasma.github.io/Logging_0680/klagomålsmail/A 7092-2024 FSC-klagomål mail.docx", "A 7092-2024")</f>
        <v/>
      </c>
      <c r="AC112">
        <f>HYPERLINK("https://klasma.github.io/Logging_0680/tillsyn/A 7092-2024 tillsynsbegäran.docx", "A 7092-2024")</f>
        <v/>
      </c>
      <c r="AD112">
        <f>HYPERLINK("https://klasma.github.io/Logging_0680/tillsynsmail/A 7092-2024 tillsynsbegäran mail.docx", "A 7092-2024")</f>
        <v/>
      </c>
    </row>
    <row r="113" ht="15" customHeight="1">
      <c r="A113" t="inlineStr">
        <is>
          <t>A 58346-2022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46230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Övriga statliga verk och myndigheter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Gyllensopp</t>
        </is>
      </c>
      <c r="W113">
        <f>HYPERLINK("https://klasma.github.io/Logging_0680/artfynd/A 58346-2022 artfynd.xlsx", "A 58346-2022")</f>
        <v/>
      </c>
      <c r="X113">
        <f>HYPERLINK("https://klasma.github.io/Logging_0680/kartor/A 58346-2022 karta.png", "A 58346-2022")</f>
        <v/>
      </c>
      <c r="Y113">
        <f>HYPERLINK("https://klasma.github.io/Logging_0680/kartor_geotiff/A 58346-2022 georefererad karta.tif", "A 58346-2022")</f>
        <v/>
      </c>
      <c r="AA113">
        <f>HYPERLINK("https://klasma.github.io/Logging_0680/klagomål/A 58346-2022 FSC-klagomål.docx", "A 58346-2022")</f>
        <v/>
      </c>
      <c r="AB113">
        <f>HYPERLINK("https://klasma.github.io/Logging_0680/klagomålsmail/A 58346-2022 FSC-klagomål mail.docx", "A 58346-2022")</f>
        <v/>
      </c>
      <c r="AC113">
        <f>HYPERLINK("https://klasma.github.io/Logging_0680/tillsyn/A 58346-2022 tillsynsbegäran.docx", "A 58346-2022")</f>
        <v/>
      </c>
      <c r="AD113">
        <f>HYPERLINK("https://klasma.github.io/Logging_0680/tillsynsmail/A 58346-2022 tillsynsbegäran mail.docx", "A 58346-2022")</f>
        <v/>
      </c>
    </row>
    <row r="114" ht="15" customHeight="1">
      <c r="A114" t="inlineStr">
        <is>
          <t>A 40795-2024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46230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Kattfotslav</t>
        </is>
      </c>
      <c r="W114">
        <f>HYPERLINK("https://klasma.github.io/Logging_0680/artfynd/A 40795-2024 artfynd.xlsx", "A 40795-2024")</f>
        <v/>
      </c>
      <c r="X114">
        <f>HYPERLINK("https://klasma.github.io/Logging_0680/kartor/A 40795-2024 karta.png", "A 40795-2024")</f>
        <v/>
      </c>
      <c r="Y114">
        <f>HYPERLINK("https://klasma.github.io/Logging_0680/kartor_geotiff/A 40795-2024 georefererad karta.tif", "A 40795-2024")</f>
        <v/>
      </c>
      <c r="AA114">
        <f>HYPERLINK("https://klasma.github.io/Logging_0680/klagomål/A 40795-2024 FSC-klagomål.docx", "A 40795-2024")</f>
        <v/>
      </c>
      <c r="AB114">
        <f>HYPERLINK("https://klasma.github.io/Logging_0680/klagomålsmail/A 40795-2024 FSC-klagomål mail.docx", "A 40795-2024")</f>
        <v/>
      </c>
      <c r="AC114">
        <f>HYPERLINK("https://klasma.github.io/Logging_0680/tillsyn/A 40795-2024 tillsynsbegäran.docx", "A 40795-2024")</f>
        <v/>
      </c>
      <c r="AD114">
        <f>HYPERLINK("https://klasma.github.io/Logging_0680/tillsynsmail/A 40795-2024 tillsynsbegäran mail.docx", "A 40795-2024")</f>
        <v/>
      </c>
    </row>
    <row r="115" ht="15" customHeight="1">
      <c r="A115" t="inlineStr">
        <is>
          <t>A 50190-2024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45600</v>
      </c>
      <c r="E115" s="1" t="n">
        <v>46230</v>
      </c>
      <c r="F115" t="inlineStr">
        <is>
          <t>JÖNKÖPINGS LÄN</t>
        </is>
      </c>
      <c r="G115" t="inlineStr">
        <is>
          <t>JÖNKÖPING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Skogsalm</t>
        </is>
      </c>
      <c r="W115">
        <f>HYPERLINK("https://klasma.github.io/Logging_0680/artfynd/A 50190-2024 artfynd.xlsx", "A 50190-2024")</f>
        <v/>
      </c>
      <c r="X115">
        <f>HYPERLINK("https://klasma.github.io/Logging_0680/kartor/A 50190-2024 karta.png", "A 50190-2024")</f>
        <v/>
      </c>
      <c r="Y115">
        <f>HYPERLINK("https://klasma.github.io/Logging_0680/kartor_geotiff/A 50190-2024 georefererad karta.tif", "A 50190-2024")</f>
        <v/>
      </c>
      <c r="AA115">
        <f>HYPERLINK("https://klasma.github.io/Logging_0680/klagomål/A 50190-2024 FSC-klagomål.docx", "A 50190-2024")</f>
        <v/>
      </c>
      <c r="AB115">
        <f>HYPERLINK("https://klasma.github.io/Logging_0680/klagomålsmail/A 50190-2024 FSC-klagomål mail.docx", "A 50190-2024")</f>
        <v/>
      </c>
      <c r="AC115">
        <f>HYPERLINK("https://klasma.github.io/Logging_0680/tillsyn/A 50190-2024 tillsynsbegäran.docx", "A 50190-2024")</f>
        <v/>
      </c>
      <c r="AD115">
        <f>HYPERLINK("https://klasma.github.io/Logging_0680/tillsynsmail/A 50190-2024 tillsynsbegäran mail.docx", "A 50190-2024")</f>
        <v/>
      </c>
    </row>
    <row r="116" ht="15" customHeight="1">
      <c r="A116" t="inlineStr">
        <is>
          <t>A 54424-2024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46230</v>
      </c>
      <c r="F116" t="inlineStr">
        <is>
          <t>JÖNKÖPINGS LÄN</t>
        </is>
      </c>
      <c r="G116" t="inlineStr">
        <is>
          <t>JÖNKÖPING</t>
        </is>
      </c>
      <c r="I116" t="n">
        <v>6.2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HYPERLINK("https://klasma.github.io/Logging_0680/artfynd/A 54424-2024 artfynd.xlsx", "A 54424-2024")</f>
        <v/>
      </c>
      <c r="X116">
        <f>HYPERLINK("https://klasma.github.io/Logging_0680/kartor/A 54424-2024 karta.png", "A 54424-2024")</f>
        <v/>
      </c>
      <c r="Y116">
        <f>HYPERLINK("https://klasma.github.io/Logging_0680/kartor_geotiff/A 54424-2024 georefererad karta.tif", "A 54424-2024")</f>
        <v/>
      </c>
      <c r="AA116">
        <f>HYPERLINK("https://klasma.github.io/Logging_0680/klagomål/A 54424-2024 FSC-klagomål.docx", "A 54424-2024")</f>
        <v/>
      </c>
      <c r="AB116">
        <f>HYPERLINK("https://klasma.github.io/Logging_0680/klagomålsmail/A 54424-2024 FSC-klagomål mail.docx", "A 54424-2024")</f>
        <v/>
      </c>
      <c r="AC116">
        <f>HYPERLINK("https://klasma.github.io/Logging_0680/tillsyn/A 54424-2024 tillsynsbegäran.docx", "A 54424-2024")</f>
        <v/>
      </c>
      <c r="AD116">
        <f>HYPERLINK("https://klasma.github.io/Logging_0680/tillsynsmail/A 54424-2024 tillsynsbegäran mail.docx", "A 54424-2024")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46230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71504-2021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44540</v>
      </c>
      <c r="E118" s="1" t="n">
        <v>46230</v>
      </c>
      <c r="F118" t="inlineStr">
        <is>
          <t>JÖNKÖPINGS LÄN</t>
        </is>
      </c>
      <c r="G118" t="inlineStr">
        <is>
          <t>JÖNKÖPING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HYPERLINK("https://klasma.github.io/Logging_0680/artfynd/A 71504-2021 artfynd.xlsx", "A 71504-2021")</f>
        <v/>
      </c>
      <c r="X118">
        <f>HYPERLINK("https://klasma.github.io/Logging_0680/kartor/A 71504-2021 karta.png", "A 71504-2021")</f>
        <v/>
      </c>
      <c r="Y118">
        <f>HYPERLINK("https://klasma.github.io/Logging_0680/kartor_geotiff/A 71504-2021 georefererad karta.tif", "A 71504-2021")</f>
        <v/>
      </c>
      <c r="AA118">
        <f>HYPERLINK("https://klasma.github.io/Logging_0680/klagomål/A 71504-2021 FSC-klagomål.docx", "A 71504-2021")</f>
        <v/>
      </c>
      <c r="AB118">
        <f>HYPERLINK("https://klasma.github.io/Logging_0680/klagomålsmail/A 71504-2021 FSC-klagomål mail.docx", "A 71504-2021")</f>
        <v/>
      </c>
      <c r="AC118">
        <f>HYPERLINK("https://klasma.github.io/Logging_0680/tillsyn/A 71504-2021 tillsynsbegäran.docx", "A 71504-2021")</f>
        <v/>
      </c>
      <c r="AD118">
        <f>HYPERLINK("https://klasma.github.io/Logging_0680/tillsynsmail/A 71504-2021 tillsynsbegäran mail.docx", "A 71504-2021")</f>
        <v/>
      </c>
    </row>
    <row r="119" ht="15" customHeight="1">
      <c r="A119" t="inlineStr">
        <is>
          <t>A 14221-2025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46230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Gaffelglim</t>
        </is>
      </c>
      <c r="W119">
        <f>HYPERLINK("https://klasma.github.io/Logging_0680/artfynd/A 14221-2025 artfynd.xlsx", "A 14221-2025")</f>
        <v/>
      </c>
      <c r="X119">
        <f>HYPERLINK("https://klasma.github.io/Logging_0680/kartor/A 14221-2025 karta.png", "A 14221-2025")</f>
        <v/>
      </c>
      <c r="Y119">
        <f>HYPERLINK("https://klasma.github.io/Logging_0680/kartor_geotiff/A 14221-2025 georefererad karta.tif", "A 14221-2025")</f>
        <v/>
      </c>
      <c r="AA119">
        <f>HYPERLINK("https://klasma.github.io/Logging_0680/klagomål/A 14221-2025 FSC-klagomål.docx", "A 14221-2025")</f>
        <v/>
      </c>
      <c r="AB119">
        <f>HYPERLINK("https://klasma.github.io/Logging_0680/klagomålsmail/A 14221-2025 FSC-klagomål mail.docx", "A 14221-2025")</f>
        <v/>
      </c>
      <c r="AC119">
        <f>HYPERLINK("https://klasma.github.io/Logging_0680/tillsyn/A 14221-2025 tillsynsbegäran.docx", "A 14221-2025")</f>
        <v/>
      </c>
      <c r="AD119">
        <f>HYPERLINK("https://klasma.github.io/Logging_0680/tillsynsmail/A 14221-2025 tillsynsbegäran mail.docx", "A 14221-2025")</f>
        <v/>
      </c>
    </row>
    <row r="120" ht="15" customHeight="1">
      <c r="A120" t="inlineStr">
        <is>
          <t>A 47492-2024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45587</v>
      </c>
      <c r="E120" s="1" t="n">
        <v>46230</v>
      </c>
      <c r="F120" t="inlineStr">
        <is>
          <t>JÖNKÖPINGS LÄN</t>
        </is>
      </c>
      <c r="G120" t="inlineStr">
        <is>
          <t>JÖNKÖPING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47492-2024 artfynd.xlsx", "A 47492-2024")</f>
        <v/>
      </c>
      <c r="X120">
        <f>HYPERLINK("https://klasma.github.io/Logging_0680/kartor/A 47492-2024 karta.png", "A 47492-2024")</f>
        <v/>
      </c>
      <c r="Y120">
        <f>HYPERLINK("https://klasma.github.io/Logging_0680/kartor_geotiff/A 47492-2024 georefererad karta.tif", "A 47492-2024")</f>
        <v/>
      </c>
      <c r="AA120">
        <f>HYPERLINK("https://klasma.github.io/Logging_0680/klagomål/A 47492-2024 FSC-klagomål.docx", "A 47492-2024")</f>
        <v/>
      </c>
      <c r="AB120">
        <f>HYPERLINK("https://klasma.github.io/Logging_0680/klagomålsmail/A 47492-2024 FSC-klagomål mail.docx", "A 47492-2024")</f>
        <v/>
      </c>
      <c r="AC120">
        <f>HYPERLINK("https://klasma.github.io/Logging_0680/tillsyn/A 47492-2024 tillsynsbegäran.docx", "A 47492-2024")</f>
        <v/>
      </c>
      <c r="AD120">
        <f>HYPERLINK("https://klasma.github.io/Logging_0680/tillsynsmail/A 47492-2024 tillsynsbegäran mail.docx", "A 47492-2024")</f>
        <v/>
      </c>
    </row>
    <row r="121" ht="15" customHeight="1">
      <c r="A121" t="inlineStr">
        <is>
          <t>A 33405-2025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46230</v>
      </c>
      <c r="F121" t="inlineStr">
        <is>
          <t>JÖNKÖPINGS LÄN</t>
        </is>
      </c>
      <c r="G121" t="inlineStr">
        <is>
          <t>JÖNKÖPING</t>
        </is>
      </c>
      <c r="I121" t="n">
        <v>3.9</v>
      </c>
      <c r="J121" t="n">
        <v>1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Läkeögontröst</t>
        </is>
      </c>
      <c r="W121">
        <f>HYPERLINK("https://klasma.github.io/Logging_0680/artfynd/A 33405-2025 artfynd.xlsx", "A 33405-2025")</f>
        <v/>
      </c>
      <c r="X121">
        <f>HYPERLINK("https://klasma.github.io/Logging_0680/kartor/A 33405-2025 karta.png", "A 33405-2025")</f>
        <v/>
      </c>
      <c r="Y121">
        <f>HYPERLINK("https://klasma.github.io/Logging_0680/kartor_geotiff/A 33405-2025 georefererad karta.tif", "A 33405-2025")</f>
        <v/>
      </c>
      <c r="AA121">
        <f>HYPERLINK("https://klasma.github.io/Logging_0680/klagomål/A 33405-2025 FSC-klagomål.docx", "A 33405-2025")</f>
        <v/>
      </c>
      <c r="AB121">
        <f>HYPERLINK("https://klasma.github.io/Logging_0680/klagomålsmail/A 33405-2025 FSC-klagomål mail.docx", "A 33405-2025")</f>
        <v/>
      </c>
      <c r="AC121">
        <f>HYPERLINK("https://klasma.github.io/Logging_0680/tillsyn/A 33405-2025 tillsynsbegäran.docx", "A 33405-2025")</f>
        <v/>
      </c>
      <c r="AD121">
        <f>HYPERLINK("https://klasma.github.io/Logging_0680/tillsynsmail/A 33405-2025 tillsynsbegäran mail.docx", "A 33405-2025")</f>
        <v/>
      </c>
    </row>
    <row r="122" ht="15" customHeight="1">
      <c r="A122" t="inlineStr">
        <is>
          <t>A 54325-2024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46230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HYPERLINK("https://klasma.github.io/Logging_0680/artfynd/A 54325-2024 artfynd.xlsx", "A 54325-2024")</f>
        <v/>
      </c>
      <c r="X122">
        <f>HYPERLINK("https://klasma.github.io/Logging_0680/kartor/A 54325-2024 karta.png", "A 54325-2024")</f>
        <v/>
      </c>
      <c r="Y122">
        <f>HYPERLINK("https://klasma.github.io/Logging_0680/kartor_geotiff/A 54325-2024 georefererad karta.tif", "A 54325-2024")</f>
        <v/>
      </c>
      <c r="AA122">
        <f>HYPERLINK("https://klasma.github.io/Logging_0680/klagomål/A 54325-2024 FSC-klagomål.docx", "A 54325-2024")</f>
        <v/>
      </c>
      <c r="AB122">
        <f>HYPERLINK("https://klasma.github.io/Logging_0680/klagomålsmail/A 54325-2024 FSC-klagomål mail.docx", "A 54325-2024")</f>
        <v/>
      </c>
      <c r="AC122">
        <f>HYPERLINK("https://klasma.github.io/Logging_0680/tillsyn/A 54325-2024 tillsynsbegäran.docx", "A 54325-2024")</f>
        <v/>
      </c>
      <c r="AD122">
        <f>HYPERLINK("https://klasma.github.io/Logging_0680/tillsynsmail/A 54325-2024 tillsynsbegäran mail.docx", "A 54325-2024")</f>
        <v/>
      </c>
      <c r="AE122">
        <f>HYPERLINK("https://klasma.github.io/Logging_0680/fåglar/A 54325-2024 prioriterade fågelarter.docx", "A 54325-2024")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46230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46230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46230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2902-2022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44711</v>
      </c>
      <c r="E126" s="1" t="n">
        <v>46230</v>
      </c>
      <c r="F126" t="inlineStr">
        <is>
          <t>JÖNKÖPINGS LÄN</t>
        </is>
      </c>
      <c r="G126" t="inlineStr">
        <is>
          <t>JÖNKÖPING</t>
        </is>
      </c>
      <c r="I126" t="n">
        <v>38.4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HYPERLINK("https://klasma.github.io/Logging_0680/artfynd/S 2902-2022 artfynd.xlsx", "S 2902-2022")</f>
        <v/>
      </c>
      <c r="X126">
        <f>HYPERLINK("https://klasma.github.io/Logging_0680/kartor/S 2902-2022 karta.png", "S 2902-2022")</f>
        <v/>
      </c>
      <c r="Y126">
        <f>HYPERLINK("https://klasma.github.io/Logging_0680/kartor_geotiff/S 2902-2022 georefererad karta.tif", "S 2902-2022")</f>
        <v/>
      </c>
      <c r="AA126">
        <f>HYPERLINK("https://klasma.github.io/Logging_0680/klagomål/S 2902-2022 FSC-klagomål.docx", "S 2902-2022")</f>
        <v/>
      </c>
      <c r="AB126">
        <f>HYPERLINK("https://klasma.github.io/Logging_0680/klagomålsmail/S 2902-2022 FSC-klagomål mail.docx", "S 2902-2022")</f>
        <v/>
      </c>
      <c r="AC126">
        <f>HYPERLINK("https://klasma.github.io/Logging_0680/tillsyn/S 2902-2022 tillsynsbegäran.docx", "S 2902-2022")</f>
        <v/>
      </c>
      <c r="AD126">
        <f>HYPERLINK("https://klasma.github.io/Logging_0680/tillsynsmail/S 2902-2022 tillsynsbegäran mail.docx", "S 2902-2022")</f>
        <v/>
      </c>
    </row>
    <row r="127" ht="15" customHeight="1">
      <c r="A127" t="inlineStr">
        <is>
          <t>S 1317-2022</t>
        </is>
      </c>
      <c r="B127" t="inlineStr">
        <is>
          <t>samrådsanmälan</t>
        </is>
      </c>
      <c r="C127" t="inlineStr">
        <is>
          <t>Åtgärd i nyckelbiotop</t>
        </is>
      </c>
      <c r="D127" s="1" t="n">
        <v>44628</v>
      </c>
      <c r="E127" s="1" t="n">
        <v>46230</v>
      </c>
      <c r="F127" t="inlineStr">
        <is>
          <t>JÖNKÖPINGS LÄN</t>
        </is>
      </c>
      <c r="G127" t="inlineStr">
        <is>
          <t>JÖNKÖPING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4</v>
      </c>
      <c r="U127" t="n">
        <v>0</v>
      </c>
      <c r="V127" s="2" t="inlineStr">
        <is>
          <t>Ask</t>
        </is>
      </c>
      <c r="W127">
        <f>HYPERLINK("https://klasma.github.io/Logging_0680/artfynd/S 1317-2022 artfynd.xlsx", "S 1317-2022")</f>
        <v/>
      </c>
      <c r="X127">
        <f>HYPERLINK("https://klasma.github.io/Logging_0680/kartor/S 1317-2022 karta.png", "S 1317-2022")</f>
        <v/>
      </c>
      <c r="Y127">
        <f>HYPERLINK("https://klasma.github.io/Logging_0680/kartor_geotiff/S 1317-2022 georefererad karta.tif", "S 1317-2022")</f>
        <v/>
      </c>
      <c r="AA127">
        <f>HYPERLINK("https://klasma.github.io/Logging_0680/klagomål/S 1317-2022 FSC-klagomål.docx", "S 1317-2022")</f>
        <v/>
      </c>
      <c r="AB127">
        <f>HYPERLINK("https://klasma.github.io/Logging_0680/klagomålsmail/S 1317-2022 FSC-klagomål mail.docx", "S 1317-2022")</f>
        <v/>
      </c>
      <c r="AC127">
        <f>HYPERLINK("https://klasma.github.io/Logging_0680/tillsyn/S 1317-2022 tillsynsbegäran.docx", "S 1317-2022")</f>
        <v/>
      </c>
      <c r="AD127">
        <f>HYPERLINK("https://klasma.github.io/Logging_0680/tillsynsmail/S 1317-2022 tillsynsbegäran mail.docx", "S 1317-2022")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46230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46230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46230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46230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46230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46230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46230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44404</v>
      </c>
      <c r="E135" s="1" t="n">
        <v>46230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46230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44404</v>
      </c>
      <c r="E137" s="1" t="n">
        <v>46230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46230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46230</v>
      </c>
      <c r="F139" t="inlineStr">
        <is>
          <t>JÖNKÖPINGS LÄN</t>
        </is>
      </c>
      <c r="G139" t="inlineStr">
        <is>
          <t>JÖNKÖPING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46230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44411</v>
      </c>
      <c r="E141" s="1" t="n">
        <v>46230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46430-2021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46230</v>
      </c>
      <c r="F142" t="inlineStr">
        <is>
          <t>JÖNKÖPINGS LÄN</t>
        </is>
      </c>
      <c r="G142" t="inlineStr">
        <is>
          <t>JÖNKÖPING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46230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46230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46230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44420</v>
      </c>
      <c r="E146" s="1" t="n">
        <v>46230</v>
      </c>
      <c r="F146" t="inlineStr">
        <is>
          <t>JÖNKÖPINGS LÄN</t>
        </is>
      </c>
      <c r="G146" t="inlineStr">
        <is>
          <t>JÖNKÖPING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38081-2021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44404</v>
      </c>
      <c r="E147" s="1" t="n">
        <v>46230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46230</v>
      </c>
      <c r="F148" t="inlineStr">
        <is>
          <t>JÖNKÖPINGS LÄN</t>
        </is>
      </c>
      <c r="G148" t="inlineStr">
        <is>
          <t>JÖNKÖPING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44665</v>
      </c>
      <c r="E149" s="1" t="n">
        <v>46230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34411-2022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44792</v>
      </c>
      <c r="E150" s="1" t="n">
        <v>46230</v>
      </c>
      <c r="F150" t="inlineStr">
        <is>
          <t>JÖNKÖPINGS LÄN</t>
        </is>
      </c>
      <c r="G150" t="inlineStr">
        <is>
          <t>JÖNKÖPING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46230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57933-2021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44487</v>
      </c>
      <c r="E152" s="1" t="n">
        <v>46230</v>
      </c>
      <c r="F152" t="inlineStr">
        <is>
          <t>JÖNKÖPINGS LÄN</t>
        </is>
      </c>
      <c r="G152" t="inlineStr">
        <is>
          <t>JÖNKÖPING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57934-2021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46230</v>
      </c>
      <c r="F153" t="inlineStr">
        <is>
          <t>JÖNKÖPINGS LÄN</t>
        </is>
      </c>
      <c r="G153" t="inlineStr">
        <is>
          <t>JÖNKÖPING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46230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46230</v>
      </c>
      <c r="F155" t="inlineStr">
        <is>
          <t>JÖNKÖPINGS LÄN</t>
        </is>
      </c>
      <c r="G155" t="inlineStr">
        <is>
          <t>JÖNKÖPING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44881</v>
      </c>
      <c r="E156" s="1" t="n">
        <v>46230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44673</v>
      </c>
      <c r="E157" s="1" t="n">
        <v>46230</v>
      </c>
      <c r="F157" t="inlineStr">
        <is>
          <t>JÖNKÖPINGS LÄN</t>
        </is>
      </c>
      <c r="G157" t="inlineStr">
        <is>
          <t>JÖNKÖPING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44754</v>
      </c>
      <c r="E158" s="1" t="n">
        <v>46230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46230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46230</v>
      </c>
      <c r="F160" t="inlineStr">
        <is>
          <t>JÖNKÖPINGS LÄN</t>
        </is>
      </c>
      <c r="G160" t="inlineStr">
        <is>
          <t>JÖNKÖPING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64610-2021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46230</v>
      </c>
      <c r="F161" t="inlineStr">
        <is>
          <t>JÖNKÖPINGS LÄN</t>
        </is>
      </c>
      <c r="G161" t="inlineStr">
        <is>
          <t>JÖNKÖPING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44466</v>
      </c>
      <c r="E162" s="1" t="n">
        <v>46230</v>
      </c>
      <c r="F162" t="inlineStr">
        <is>
          <t>JÖNKÖPINGS LÄN</t>
        </is>
      </c>
      <c r="G162" t="inlineStr">
        <is>
          <t>JÖNKÖPING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44440</v>
      </c>
      <c r="E163" s="1" t="n">
        <v>46230</v>
      </c>
      <c r="F163" t="inlineStr">
        <is>
          <t>JÖNKÖPINGS LÄN</t>
        </is>
      </c>
      <c r="G163" t="inlineStr">
        <is>
          <t>JÖNKÖPING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45340-2022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46230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44456</v>
      </c>
      <c r="E165" s="1" t="n">
        <v>46230</v>
      </c>
      <c r="F165" t="inlineStr">
        <is>
          <t>JÖNKÖPINGS LÄN</t>
        </is>
      </c>
      <c r="G165" t="inlineStr">
        <is>
          <t>JÖNKÖPING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70546-2021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46230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44476</v>
      </c>
      <c r="E167" s="1" t="n">
        <v>46230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46230</v>
      </c>
      <c r="F168" t="inlineStr">
        <is>
          <t>JÖNKÖPINGS LÄN</t>
        </is>
      </c>
      <c r="G168" t="inlineStr">
        <is>
          <t>JÖNKÖPING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44711</v>
      </c>
      <c r="E169" s="1" t="n">
        <v>46230</v>
      </c>
      <c r="F169" t="inlineStr">
        <is>
          <t>JÖNKÖPINGS LÄN</t>
        </is>
      </c>
      <c r="G169" t="inlineStr">
        <is>
          <t>JÖNKÖPING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46230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46230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46230</v>
      </c>
      <c r="F172" t="inlineStr">
        <is>
          <t>JÖNKÖPINGS LÄN</t>
        </is>
      </c>
      <c r="G172" t="inlineStr">
        <is>
          <t>JÖNKÖPING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46230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46230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46230</v>
      </c>
      <c r="F175" t="inlineStr">
        <is>
          <t>JÖNKÖPINGS LÄN</t>
        </is>
      </c>
      <c r="G175" t="inlineStr">
        <is>
          <t>JÖNKÖPING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74120-2021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44557</v>
      </c>
      <c r="E176" s="1" t="n">
        <v>46230</v>
      </c>
      <c r="F176" t="inlineStr">
        <is>
          <t>JÖNKÖPINGS LÄN</t>
        </is>
      </c>
      <c r="G176" t="inlineStr">
        <is>
          <t>JÖNKÖPING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46230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46230</v>
      </c>
      <c r="F178" t="inlineStr">
        <is>
          <t>JÖNKÖPINGS LÄN</t>
        </is>
      </c>
      <c r="G178" t="inlineStr">
        <is>
          <t>JÖNKÖPING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44575</v>
      </c>
      <c r="E179" s="1" t="n">
        <v>46230</v>
      </c>
      <c r="F179" t="inlineStr">
        <is>
          <t>JÖNKÖPINGS LÄN</t>
        </is>
      </c>
      <c r="G179" t="inlineStr">
        <is>
          <t>JÖNKÖPING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44428</v>
      </c>
      <c r="E180" s="1" t="n">
        <v>46230</v>
      </c>
      <c r="F180" t="inlineStr">
        <is>
          <t>JÖNKÖPINGS LÄN</t>
        </is>
      </c>
      <c r="G180" t="inlineStr">
        <is>
          <t>JÖNKÖPING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46230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44428</v>
      </c>
      <c r="E182" s="1" t="n">
        <v>46230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39718-2022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46230</v>
      </c>
      <c r="F183" t="inlineStr">
        <is>
          <t>JÖNKÖPINGS LÄN</t>
        </is>
      </c>
      <c r="G183" t="inlineStr">
        <is>
          <t>JÖNKÖPING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44819</v>
      </c>
      <c r="E184" s="1" t="n">
        <v>46230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46230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67306-2021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44523</v>
      </c>
      <c r="E186" s="1" t="n">
        <v>46230</v>
      </c>
      <c r="F186" t="inlineStr">
        <is>
          <t>JÖNKÖPINGS LÄN</t>
        </is>
      </c>
      <c r="G186" t="inlineStr">
        <is>
          <t>JÖNKÖPING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44605</v>
      </c>
      <c r="E187" s="1" t="n">
        <v>46230</v>
      </c>
      <c r="F187" t="inlineStr">
        <is>
          <t>JÖNKÖPINGS LÄN</t>
        </is>
      </c>
      <c r="G187" t="inlineStr">
        <is>
          <t>JÖNKÖPING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46230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46230</v>
      </c>
      <c r="F189" t="inlineStr">
        <is>
          <t>JÖNKÖPINGS LÄN</t>
        </is>
      </c>
      <c r="G189" t="inlineStr">
        <is>
          <t>JÖNKÖPING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46230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46230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44412</v>
      </c>
      <c r="E192" s="1" t="n">
        <v>46230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46230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46230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46230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44614</v>
      </c>
      <c r="E196" s="1" t="n">
        <v>46230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46230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44579</v>
      </c>
      <c r="E198" s="1" t="n">
        <v>46230</v>
      </c>
      <c r="F198" t="inlineStr">
        <is>
          <t>JÖNKÖPINGS LÄN</t>
        </is>
      </c>
      <c r="G198" t="inlineStr">
        <is>
          <t>JÖNKÖPING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44711</v>
      </c>
      <c r="E199" s="1" t="n">
        <v>46230</v>
      </c>
      <c r="F199" t="inlineStr">
        <is>
          <t>JÖNKÖPINGS LÄN</t>
        </is>
      </c>
      <c r="G199" t="inlineStr">
        <is>
          <t>JÖNKÖPING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46230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44464</v>
      </c>
      <c r="E201" s="1" t="n">
        <v>46230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44498</v>
      </c>
      <c r="E202" s="1" t="n">
        <v>46230</v>
      </c>
      <c r="F202" t="inlineStr">
        <is>
          <t>JÖNKÖPINGS LÄN</t>
        </is>
      </c>
      <c r="G202" t="inlineStr">
        <is>
          <t>JÖNKÖPING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46230</v>
      </c>
      <c r="F203" t="inlineStr">
        <is>
          <t>JÖNKÖPINGS LÄN</t>
        </is>
      </c>
      <c r="G203" t="inlineStr">
        <is>
          <t>JÖNKÖPING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46230</v>
      </c>
      <c r="F204" t="inlineStr">
        <is>
          <t>JÖNKÖPINGS LÄN</t>
        </is>
      </c>
      <c r="G204" t="inlineStr">
        <is>
          <t>JÖNKÖPING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46230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36861-2022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44805</v>
      </c>
      <c r="E206" s="1" t="n">
        <v>46230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46230</v>
      </c>
      <c r="F207" t="inlineStr">
        <is>
          <t>JÖNKÖPINGS LÄN</t>
        </is>
      </c>
      <c r="G207" t="inlineStr">
        <is>
          <t>JÖNKÖPING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20388-2024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45435</v>
      </c>
      <c r="E208" s="1" t="n">
        <v>46230</v>
      </c>
      <c r="F208" t="inlineStr">
        <is>
          <t>JÖNKÖPINGS LÄN</t>
        </is>
      </c>
      <c r="G208" t="inlineStr">
        <is>
          <t>JÖNKÖPING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46230</v>
      </c>
      <c r="F209" t="inlineStr">
        <is>
          <t>JÖNKÖPINGS LÄN</t>
        </is>
      </c>
      <c r="G209" t="inlineStr">
        <is>
          <t>JÖNKÖPING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44711</v>
      </c>
      <c r="E210" s="1" t="n">
        <v>46230</v>
      </c>
      <c r="F210" t="inlineStr">
        <is>
          <t>JÖNKÖPINGS LÄN</t>
        </is>
      </c>
      <c r="G210" t="inlineStr">
        <is>
          <t>JÖNKÖPING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46230</v>
      </c>
      <c r="F211" t="inlineStr">
        <is>
          <t>JÖNKÖPINGS LÄN</t>
        </is>
      </c>
      <c r="G211" t="inlineStr">
        <is>
          <t>JÖNKÖPING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46230</v>
      </c>
      <c r="F212" t="inlineStr">
        <is>
          <t>JÖNKÖPINGS LÄN</t>
        </is>
      </c>
      <c r="G212" t="inlineStr">
        <is>
          <t>JÖNKÖPING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46230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46230</v>
      </c>
      <c r="F214" t="inlineStr">
        <is>
          <t>JÖNKÖPINGS LÄN</t>
        </is>
      </c>
      <c r="G214" t="inlineStr">
        <is>
          <t>JÖNKÖPING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46230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47314-2022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44853</v>
      </c>
      <c r="E216" s="1" t="n">
        <v>46230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45747</v>
      </c>
      <c r="E217" s="1" t="n">
        <v>46230</v>
      </c>
      <c r="F217" t="inlineStr">
        <is>
          <t>JÖNKÖPINGS LÄN</t>
        </is>
      </c>
      <c r="G217" t="inlineStr">
        <is>
          <t>JÖNKÖPING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15766-2024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46230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45697</v>
      </c>
      <c r="E219" s="1" t="n">
        <v>46230</v>
      </c>
      <c r="F219" t="inlineStr">
        <is>
          <t>JÖNKÖPINGS LÄN</t>
        </is>
      </c>
      <c r="G219" t="inlineStr">
        <is>
          <t>JÖNKÖPING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46230</v>
      </c>
      <c r="F220" t="inlineStr">
        <is>
          <t>JÖNKÖPINGS LÄN</t>
        </is>
      </c>
      <c r="G220" t="inlineStr">
        <is>
          <t>JÖNKÖPING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45111</v>
      </c>
      <c r="E221" s="1" t="n">
        <v>46230</v>
      </c>
      <c r="F221" t="inlineStr">
        <is>
          <t>JÖNKÖPINGS LÄN</t>
        </is>
      </c>
      <c r="G221" t="inlineStr">
        <is>
          <t>JÖNKÖPING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44628</v>
      </c>
      <c r="E222" s="1" t="n">
        <v>46230</v>
      </c>
      <c r="F222" t="inlineStr">
        <is>
          <t>JÖNKÖPINGS LÄN</t>
        </is>
      </c>
      <c r="G222" t="inlineStr">
        <is>
          <t>JÖNKÖPING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46230</v>
      </c>
      <c r="F223" t="inlineStr">
        <is>
          <t>JÖNKÖPINGS LÄN</t>
        </is>
      </c>
      <c r="G223" t="inlineStr">
        <is>
          <t>JÖNKÖPING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45605</v>
      </c>
      <c r="E224" s="1" t="n">
        <v>46230</v>
      </c>
      <c r="F224" t="inlineStr">
        <is>
          <t>JÖNKÖPINGS LÄN</t>
        </is>
      </c>
      <c r="G224" t="inlineStr">
        <is>
          <t>JÖNKÖPING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45152</v>
      </c>
      <c r="E225" s="1" t="n">
        <v>46230</v>
      </c>
      <c r="F225" t="inlineStr">
        <is>
          <t>JÖNKÖPINGS LÄN</t>
        </is>
      </c>
      <c r="G225" t="inlineStr">
        <is>
          <t>JÖNKÖPING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44589</v>
      </c>
      <c r="E226" s="1" t="n">
        <v>46230</v>
      </c>
      <c r="F226" t="inlineStr">
        <is>
          <t>JÖNKÖPINGS LÄN</t>
        </is>
      </c>
      <c r="G226" t="inlineStr">
        <is>
          <t>JÖNKÖPING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46230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46230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45726</v>
      </c>
      <c r="E229" s="1" t="n">
        <v>46230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Övriga Aktiebolag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45012</v>
      </c>
      <c r="E230" s="1" t="n">
        <v>46230</v>
      </c>
      <c r="F230" t="inlineStr">
        <is>
          <t>JÖNKÖPINGS LÄN</t>
        </is>
      </c>
      <c r="G230" t="inlineStr">
        <is>
          <t>JÖNKÖPING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46230</v>
      </c>
      <c r="F231" t="inlineStr">
        <is>
          <t>JÖNKÖPINGS LÄN</t>
        </is>
      </c>
      <c r="G231" t="inlineStr">
        <is>
          <t>JÖNKÖPING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46230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46230</v>
      </c>
      <c r="F233" t="inlineStr">
        <is>
          <t>JÖNKÖPINGS LÄN</t>
        </is>
      </c>
      <c r="G233" t="inlineStr">
        <is>
          <t>JÖNKÖPING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46230</v>
      </c>
      <c r="F234" t="inlineStr">
        <is>
          <t>JÖNKÖPINGS LÄN</t>
        </is>
      </c>
      <c r="G234" t="inlineStr">
        <is>
          <t>JÖNKÖPING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46230</v>
      </c>
      <c r="F235" t="inlineStr">
        <is>
          <t>JÖNKÖPINGS LÄN</t>
        </is>
      </c>
      <c r="G235" t="inlineStr">
        <is>
          <t>JÖNKÖPING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45405</v>
      </c>
      <c r="E236" s="1" t="n">
        <v>46230</v>
      </c>
      <c r="F236" t="inlineStr">
        <is>
          <t>JÖNKÖPINGS LÄN</t>
        </is>
      </c>
      <c r="G236" t="inlineStr">
        <is>
          <t>JÖNKÖPING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45295</v>
      </c>
      <c r="E237" s="1" t="n">
        <v>46230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45621</v>
      </c>
      <c r="E238" s="1" t="n">
        <v>46230</v>
      </c>
      <c r="F238" t="inlineStr">
        <is>
          <t>JÖNKÖPINGS LÄN</t>
        </is>
      </c>
      <c r="G238" t="inlineStr">
        <is>
          <t>JÖNKÖPING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46230</v>
      </c>
      <c r="F239" t="inlineStr">
        <is>
          <t>JÖNKÖPINGS LÄN</t>
        </is>
      </c>
      <c r="G239" t="inlineStr">
        <is>
          <t>JÖNKÖPING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46230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61127-2024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46230</v>
      </c>
      <c r="F241" t="inlineStr">
        <is>
          <t>JÖNKÖPINGS LÄN</t>
        </is>
      </c>
      <c r="G241" t="inlineStr">
        <is>
          <t>JÖNKÖPING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46230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46230</v>
      </c>
      <c r="F243" t="inlineStr">
        <is>
          <t>JÖNKÖPINGS LÄN</t>
        </is>
      </c>
      <c r="G243" t="inlineStr">
        <is>
          <t>JÖNKÖPING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44938</v>
      </c>
      <c r="E244" s="1" t="n">
        <v>46230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Kyrkan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59370-2023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45253</v>
      </c>
      <c r="E245" s="1" t="n">
        <v>46230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46230</v>
      </c>
      <c r="F246" t="inlineStr">
        <is>
          <t>JÖNKÖPINGS LÄN</t>
        </is>
      </c>
      <c r="G246" t="inlineStr">
        <is>
          <t>JÖNKÖPING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46230</v>
      </c>
      <c r="F247" t="inlineStr">
        <is>
          <t>JÖNKÖPINGS LÄN</t>
        </is>
      </c>
      <c r="G247" t="inlineStr">
        <is>
          <t>JÖNKÖPING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31518-2023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45116</v>
      </c>
      <c r="E248" s="1" t="n">
        <v>46230</v>
      </c>
      <c r="F248" t="inlineStr">
        <is>
          <t>JÖNKÖPINGS LÄN</t>
        </is>
      </c>
      <c r="G248" t="inlineStr">
        <is>
          <t>JÖNKÖPING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46230</v>
      </c>
      <c r="F249" t="inlineStr">
        <is>
          <t>JÖNKÖPINGS LÄN</t>
        </is>
      </c>
      <c r="G249" t="inlineStr">
        <is>
          <t>JÖNKÖPING</t>
        </is>
      </c>
      <c r="I249" t="n">
        <v>14.5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46230</v>
      </c>
      <c r="F250" t="inlineStr">
        <is>
          <t>JÖNKÖPINGS LÄN</t>
        </is>
      </c>
      <c r="G250" t="inlineStr">
        <is>
          <t>JÖNKÖPING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46230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Kommuner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46230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46230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Kommuner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46230</v>
      </c>
      <c r="F254" t="inlineStr">
        <is>
          <t>JÖNKÖPINGS LÄN</t>
        </is>
      </c>
      <c r="G254" t="inlineStr">
        <is>
          <t>JÖNKÖPING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44861</v>
      </c>
      <c r="E255" s="1" t="n">
        <v>46230</v>
      </c>
      <c r="F255" t="inlineStr">
        <is>
          <t>JÖNKÖPINGS LÄN</t>
        </is>
      </c>
      <c r="G255" t="inlineStr">
        <is>
          <t>JÖNKÖPING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46230</v>
      </c>
      <c r="F256" t="inlineStr">
        <is>
          <t>JÖNKÖPINGS LÄN</t>
        </is>
      </c>
      <c r="G256" t="inlineStr">
        <is>
          <t>JÖNKÖPING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44482</v>
      </c>
      <c r="E257" s="1" t="n">
        <v>46230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44662</v>
      </c>
      <c r="E258" s="1" t="n">
        <v>46230</v>
      </c>
      <c r="F258" t="inlineStr">
        <is>
          <t>JÖNKÖPINGS LÄN</t>
        </is>
      </c>
      <c r="G258" t="inlineStr">
        <is>
          <t>JÖNKÖPING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45406</v>
      </c>
      <c r="E259" s="1" t="n">
        <v>46230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46230</v>
      </c>
      <c r="F260" t="inlineStr">
        <is>
          <t>JÖNKÖPINGS LÄN</t>
        </is>
      </c>
      <c r="G260" t="inlineStr">
        <is>
          <t>JÖNKÖPING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46230</v>
      </c>
      <c r="F261" t="inlineStr">
        <is>
          <t>JÖNKÖPINGS LÄN</t>
        </is>
      </c>
      <c r="G261" t="inlineStr">
        <is>
          <t>JÖNKÖPING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37003-2024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45539</v>
      </c>
      <c r="E262" s="1" t="n">
        <v>46230</v>
      </c>
      <c r="F262" t="inlineStr">
        <is>
          <t>JÖNKÖPINGS LÄN</t>
        </is>
      </c>
      <c r="G262" t="inlineStr">
        <is>
          <t>JÖNKÖPING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44423</v>
      </c>
      <c r="E263" s="1" t="n">
        <v>46230</v>
      </c>
      <c r="F263" t="inlineStr">
        <is>
          <t>JÖNKÖPINGS LÄN</t>
        </is>
      </c>
      <c r="G263" t="inlineStr">
        <is>
          <t>JÖNKÖPING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55294-2022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44882</v>
      </c>
      <c r="E264" s="1" t="n">
        <v>46230</v>
      </c>
      <c r="F264" t="inlineStr">
        <is>
          <t>JÖNKÖPINGS LÄN</t>
        </is>
      </c>
      <c r="G264" t="inlineStr">
        <is>
          <t>JÖNKÖPING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44571</v>
      </c>
      <c r="E265" s="1" t="n">
        <v>46230</v>
      </c>
      <c r="F265" t="inlineStr">
        <is>
          <t>JÖNKÖPINGS LÄN</t>
        </is>
      </c>
      <c r="G265" t="inlineStr">
        <is>
          <t>JÖNKÖPING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45183</v>
      </c>
      <c r="E266" s="1" t="n">
        <v>46230</v>
      </c>
      <c r="F266" t="inlineStr">
        <is>
          <t>JÖNKÖPINGS LÄN</t>
        </is>
      </c>
      <c r="G266" t="inlineStr">
        <is>
          <t>JÖNKÖPING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46230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46230</v>
      </c>
      <c r="F268" t="inlineStr">
        <is>
          <t>JÖNKÖPINGS LÄN</t>
        </is>
      </c>
      <c r="G268" t="inlineStr">
        <is>
          <t>JÖNKÖPING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46230</v>
      </c>
      <c r="F269" t="inlineStr">
        <is>
          <t>JÖNKÖPINGS LÄN</t>
        </is>
      </c>
      <c r="G269" t="inlineStr">
        <is>
          <t>JÖNKÖPING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10204-2022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44622</v>
      </c>
      <c r="E270" s="1" t="n">
        <v>46230</v>
      </c>
      <c r="F270" t="inlineStr">
        <is>
          <t>JÖNKÖPINGS LÄN</t>
        </is>
      </c>
      <c r="G270" t="inlineStr">
        <is>
          <t>JÖNKÖPING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44893</v>
      </c>
      <c r="E271" s="1" t="n">
        <v>46230</v>
      </c>
      <c r="F271" t="inlineStr">
        <is>
          <t>JÖNKÖPINGS LÄN</t>
        </is>
      </c>
      <c r="G271" t="inlineStr">
        <is>
          <t>JÖNKÖPING</t>
        </is>
      </c>
      <c r="H271" t="inlineStr">
        <is>
          <t>Övriga statliga verk och myndigheter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46230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45037</v>
      </c>
      <c r="E273" s="1" t="n">
        <v>46230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50192-2024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45600</v>
      </c>
      <c r="E274" s="1" t="n">
        <v>46230</v>
      </c>
      <c r="F274" t="inlineStr">
        <is>
          <t>JÖNKÖPINGS LÄN</t>
        </is>
      </c>
      <c r="G274" t="inlineStr">
        <is>
          <t>JÖNKÖPING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50193-2024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45600</v>
      </c>
      <c r="E275" s="1" t="n">
        <v>46230</v>
      </c>
      <c r="F275" t="inlineStr">
        <is>
          <t>JÖNKÖPINGS LÄN</t>
        </is>
      </c>
      <c r="G275" t="inlineStr">
        <is>
          <t>JÖNKÖPING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45726</v>
      </c>
      <c r="E276" s="1" t="n">
        <v>46230</v>
      </c>
      <c r="F276" t="inlineStr">
        <is>
          <t>JÖNKÖPINGS LÄN</t>
        </is>
      </c>
      <c r="G276" t="inlineStr">
        <is>
          <t>JÖNKÖPING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45215</v>
      </c>
      <c r="E277" s="1" t="n">
        <v>46230</v>
      </c>
      <c r="F277" t="inlineStr">
        <is>
          <t>JÖNKÖPINGS LÄN</t>
        </is>
      </c>
      <c r="G277" t="inlineStr">
        <is>
          <t>JÖNKÖPING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46230</v>
      </c>
      <c r="F278" t="inlineStr">
        <is>
          <t>JÖNKÖPINGS LÄN</t>
        </is>
      </c>
      <c r="G278" t="inlineStr">
        <is>
          <t>JÖNKÖPING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11236-2024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45371</v>
      </c>
      <c r="E279" s="1" t="n">
        <v>46230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44592</v>
      </c>
      <c r="E280" s="1" t="n">
        <v>46230</v>
      </c>
      <c r="F280" t="inlineStr">
        <is>
          <t>JÖNKÖPINGS LÄN</t>
        </is>
      </c>
      <c r="G280" t="inlineStr">
        <is>
          <t>JÖNKÖPING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46230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45682</v>
      </c>
      <c r="E282" s="1" t="n">
        <v>46230</v>
      </c>
      <c r="F282" t="inlineStr">
        <is>
          <t>JÖNKÖPINGS LÄN</t>
        </is>
      </c>
      <c r="G282" t="inlineStr">
        <is>
          <t>JÖNKÖPING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46230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45617</v>
      </c>
      <c r="E284" s="1" t="n">
        <v>46230</v>
      </c>
      <c r="F284" t="inlineStr">
        <is>
          <t>JÖNKÖPINGS LÄN</t>
        </is>
      </c>
      <c r="G284" t="inlineStr">
        <is>
          <t>JÖNKÖPING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3427-2022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44585</v>
      </c>
      <c r="E285" s="1" t="n">
        <v>46230</v>
      </c>
      <c r="F285" t="inlineStr">
        <is>
          <t>JÖNKÖPINGS LÄN</t>
        </is>
      </c>
      <c r="G285" t="inlineStr">
        <is>
          <t>JÖNKÖPING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45152</v>
      </c>
      <c r="E286" s="1" t="n">
        <v>46230</v>
      </c>
      <c r="F286" t="inlineStr">
        <is>
          <t>JÖNKÖPINGS LÄN</t>
        </is>
      </c>
      <c r="G286" t="inlineStr">
        <is>
          <t>JÖNKÖPING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45351</v>
      </c>
      <c r="E287" s="1" t="n">
        <v>46230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46230</v>
      </c>
      <c r="F288" t="inlineStr">
        <is>
          <t>JÖNKÖPINGS LÄN</t>
        </is>
      </c>
      <c r="G288" t="inlineStr">
        <is>
          <t>JÖNKÖPING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46230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Kommuner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45502</v>
      </c>
      <c r="E290" s="1" t="n">
        <v>46230</v>
      </c>
      <c r="F290" t="inlineStr">
        <is>
          <t>JÖNKÖPINGS LÄN</t>
        </is>
      </c>
      <c r="G290" t="inlineStr">
        <is>
          <t>JÖNKÖPING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63207-2021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44507</v>
      </c>
      <c r="E291" s="1" t="n">
        <v>46230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44846</v>
      </c>
      <c r="E292" s="1" t="n">
        <v>46230</v>
      </c>
      <c r="F292" t="inlineStr">
        <is>
          <t>JÖNKÖPINGS LÄN</t>
        </is>
      </c>
      <c r="G292" t="inlineStr">
        <is>
          <t>JÖNKÖPING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45358</v>
      </c>
      <c r="E293" s="1" t="n">
        <v>46230</v>
      </c>
      <c r="F293" t="inlineStr">
        <is>
          <t>JÖNKÖPINGS LÄN</t>
        </is>
      </c>
      <c r="G293" t="inlineStr">
        <is>
          <t>JÖNKÖPING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46230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48064-2021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44449</v>
      </c>
      <c r="E295" s="1" t="n">
        <v>46230</v>
      </c>
      <c r="F295" t="inlineStr">
        <is>
          <t>JÖNKÖPINGS LÄN</t>
        </is>
      </c>
      <c r="G295" t="inlineStr">
        <is>
          <t>JÖNKÖPING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46230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46230</v>
      </c>
      <c r="F297" t="inlineStr">
        <is>
          <t>JÖNKÖPINGS LÄN</t>
        </is>
      </c>
      <c r="G297" t="inlineStr">
        <is>
          <t>JÖNKÖPING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22542-2025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45788</v>
      </c>
      <c r="E298" s="1" t="n">
        <v>46230</v>
      </c>
      <c r="F298" t="inlineStr">
        <is>
          <t>JÖNKÖPINGS LÄN</t>
        </is>
      </c>
      <c r="G298" t="inlineStr">
        <is>
          <t>JÖNKÖPING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45870</v>
      </c>
      <c r="E299" s="1" t="n">
        <v>46230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44950</v>
      </c>
      <c r="E300" s="1" t="n">
        <v>46230</v>
      </c>
      <c r="F300" t="inlineStr">
        <is>
          <t>JÖNKÖPINGS LÄN</t>
        </is>
      </c>
      <c r="G300" t="inlineStr">
        <is>
          <t>JÖNKÖPING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56062-2023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45240</v>
      </c>
      <c r="E301" s="1" t="n">
        <v>46230</v>
      </c>
      <c r="F301" t="inlineStr">
        <is>
          <t>JÖNKÖPINGS LÄN</t>
        </is>
      </c>
      <c r="G301" t="inlineStr">
        <is>
          <t>JÖNKÖPING</t>
        </is>
      </c>
      <c r="I301" t="n">
        <v>13.6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10720-2022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44626</v>
      </c>
      <c r="E302" s="1" t="n">
        <v>46230</v>
      </c>
      <c r="F302" t="inlineStr">
        <is>
          <t>JÖNKÖPINGS LÄN</t>
        </is>
      </c>
      <c r="G302" t="inlineStr">
        <is>
          <t>JÖNKÖPING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45875</v>
      </c>
      <c r="E303" s="1" t="n">
        <v>46230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Kommuner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46230</v>
      </c>
      <c r="F304" t="inlineStr">
        <is>
          <t>JÖNKÖPINGS LÄN</t>
        </is>
      </c>
      <c r="G304" t="inlineStr">
        <is>
          <t>JÖNKÖPING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45246</v>
      </c>
      <c r="E305" s="1" t="n">
        <v>46230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21250-2023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45058</v>
      </c>
      <c r="E306" s="1" t="n">
        <v>46230</v>
      </c>
      <c r="F306" t="inlineStr">
        <is>
          <t>JÖNKÖPINGS LÄN</t>
        </is>
      </c>
      <c r="G306" t="inlineStr">
        <is>
          <t>JÖNKÖPING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46230</v>
      </c>
      <c r="F307" t="inlineStr">
        <is>
          <t>JÖNKÖPINGS LÄN</t>
        </is>
      </c>
      <c r="G307" t="inlineStr">
        <is>
          <t>JÖNKÖPING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46230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45566</v>
      </c>
      <c r="E309" s="1" t="n">
        <v>46230</v>
      </c>
      <c r="F309" t="inlineStr">
        <is>
          <t>JÖNKÖPINGS LÄN</t>
        </is>
      </c>
      <c r="G309" t="inlineStr">
        <is>
          <t>JÖNKÖPING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46230</v>
      </c>
      <c r="F310" t="inlineStr">
        <is>
          <t>JÖNKÖPINGS LÄN</t>
        </is>
      </c>
      <c r="G310" t="inlineStr">
        <is>
          <t>JÖNKÖPING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46230</v>
      </c>
      <c r="F311" t="inlineStr">
        <is>
          <t>JÖNKÖPINGS LÄN</t>
        </is>
      </c>
      <c r="G311" t="inlineStr">
        <is>
          <t>JÖNKÖPING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45883</v>
      </c>
      <c r="E312" s="1" t="n">
        <v>46230</v>
      </c>
      <c r="F312" t="inlineStr">
        <is>
          <t>JÖNKÖPINGS LÄN</t>
        </is>
      </c>
      <c r="G312" t="inlineStr">
        <is>
          <t>JÖNKÖPING</t>
        </is>
      </c>
      <c r="I312" t="n">
        <v>8.6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45883</v>
      </c>
      <c r="E313" s="1" t="n">
        <v>46230</v>
      </c>
      <c r="F313" t="inlineStr">
        <is>
          <t>JÖNKÖPINGS LÄN</t>
        </is>
      </c>
      <c r="G313" t="inlineStr">
        <is>
          <t>JÖNKÖPING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31048-2024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45502</v>
      </c>
      <c r="E314" s="1" t="n">
        <v>46230</v>
      </c>
      <c r="F314" t="inlineStr">
        <is>
          <t>JÖNKÖPINGS LÄN</t>
        </is>
      </c>
      <c r="G314" t="inlineStr">
        <is>
          <t>JÖNKÖPING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45883</v>
      </c>
      <c r="E315" s="1" t="n">
        <v>46230</v>
      </c>
      <c r="F315" t="inlineStr">
        <is>
          <t>JÖNKÖPINGS LÄN</t>
        </is>
      </c>
      <c r="G315" t="inlineStr">
        <is>
          <t>JÖNKÖPING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43668-2022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44837</v>
      </c>
      <c r="E316" s="1" t="n">
        <v>46230</v>
      </c>
      <c r="F316" t="inlineStr">
        <is>
          <t>JÖNKÖPINGS LÄN</t>
        </is>
      </c>
      <c r="G316" t="inlineStr">
        <is>
          <t>JÖNKÖPING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46230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46230</v>
      </c>
      <c r="F318" t="inlineStr">
        <is>
          <t>JÖNKÖPINGS LÄN</t>
        </is>
      </c>
      <c r="G318" t="inlineStr">
        <is>
          <t>JÖNKÖPING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8864-2022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44614</v>
      </c>
      <c r="E319" s="1" t="n">
        <v>46230</v>
      </c>
      <c r="F319" t="inlineStr">
        <is>
          <t>JÖNKÖPINGS LÄN</t>
        </is>
      </c>
      <c r="G319" t="inlineStr">
        <is>
          <t>JÖNKÖPING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46230</v>
      </c>
      <c r="F320" t="inlineStr">
        <is>
          <t>JÖNKÖPINGS LÄN</t>
        </is>
      </c>
      <c r="G320" t="inlineStr">
        <is>
          <t>JÖNKÖPING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46230</v>
      </c>
      <c r="F321" t="inlineStr">
        <is>
          <t>JÖNKÖPINGS LÄN</t>
        </is>
      </c>
      <c r="G321" t="inlineStr">
        <is>
          <t>JÖNKÖPING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46230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46230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51876-2022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46230</v>
      </c>
      <c r="F324" t="inlineStr">
        <is>
          <t>JÖNKÖPINGS LÄN</t>
        </is>
      </c>
      <c r="G324" t="inlineStr">
        <is>
          <t>JÖNKÖPING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46230</v>
      </c>
      <c r="F325" t="inlineStr">
        <is>
          <t>JÖNKÖPINGS LÄN</t>
        </is>
      </c>
      <c r="G325" t="inlineStr">
        <is>
          <t>JÖNKÖPING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45892</v>
      </c>
      <c r="E326" s="1" t="n">
        <v>46230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45892</v>
      </c>
      <c r="E327" s="1" t="n">
        <v>46230</v>
      </c>
      <c r="F327" t="inlineStr">
        <is>
          <t>JÖNKÖPINGS LÄN</t>
        </is>
      </c>
      <c r="G327" t="inlineStr">
        <is>
          <t>JÖNKÖPING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45892</v>
      </c>
      <c r="E328" s="1" t="n">
        <v>46230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46230</v>
      </c>
      <c r="F329" t="inlineStr">
        <is>
          <t>JÖNKÖPINGS LÄN</t>
        </is>
      </c>
      <c r="G329" t="inlineStr">
        <is>
          <t>JÖNKÖPING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46230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2066-2022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46230</v>
      </c>
      <c r="F331" t="inlineStr">
        <is>
          <t>JÖNKÖPINGS LÄN</t>
        </is>
      </c>
      <c r="G331" t="inlineStr">
        <is>
          <t>JÖNKÖPING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46230</v>
      </c>
      <c r="F332" t="inlineStr">
        <is>
          <t>JÖNKÖPINGS LÄN</t>
        </is>
      </c>
      <c r="G332" t="inlineStr">
        <is>
          <t>JÖNKÖPING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45887</v>
      </c>
      <c r="E333" s="1" t="n">
        <v>46230</v>
      </c>
      <c r="F333" t="inlineStr">
        <is>
          <t>JÖNKÖPINGS LÄN</t>
        </is>
      </c>
      <c r="G333" t="inlineStr">
        <is>
          <t>JÖNKÖPING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41116-2025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46230</v>
      </c>
      <c r="F334" t="inlineStr">
        <is>
          <t>JÖNKÖPINGS LÄN</t>
        </is>
      </c>
      <c r="G334" t="inlineStr">
        <is>
          <t>JÖNKÖPING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46230</v>
      </c>
      <c r="F335" t="inlineStr">
        <is>
          <t>JÖNKÖPINGS LÄN</t>
        </is>
      </c>
      <c r="G335" t="inlineStr">
        <is>
          <t>JÖNKÖPING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40923-2024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45558</v>
      </c>
      <c r="E336" s="1" t="n">
        <v>46230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46230</v>
      </c>
      <c r="F337" t="inlineStr">
        <is>
          <t>JÖNKÖPINGS LÄN</t>
        </is>
      </c>
      <c r="G337" t="inlineStr">
        <is>
          <t>JÖNKÖPING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46002</v>
      </c>
      <c r="E338" s="1" t="n">
        <v>46230</v>
      </c>
      <c r="F338" t="inlineStr">
        <is>
          <t>JÖNKÖPINGS LÄN</t>
        </is>
      </c>
      <c r="G338" t="inlineStr">
        <is>
          <t>JÖNKÖPING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46230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45008</v>
      </c>
      <c r="E340" s="1" t="n">
        <v>46230</v>
      </c>
      <c r="F340" t="inlineStr">
        <is>
          <t>JÖNKÖPINGS LÄN</t>
        </is>
      </c>
      <c r="G340" t="inlineStr">
        <is>
          <t>JÖNKÖPING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46230</v>
      </c>
      <c r="F341" t="inlineStr">
        <is>
          <t>JÖNKÖPINGS LÄN</t>
        </is>
      </c>
      <c r="G341" t="inlineStr">
        <is>
          <t>JÖNKÖPING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46230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46230</v>
      </c>
      <c r="F343" t="inlineStr">
        <is>
          <t>JÖNKÖPINGS LÄN</t>
        </is>
      </c>
      <c r="G343" t="inlineStr">
        <is>
          <t>JÖNKÖPING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42922-2025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46230</v>
      </c>
      <c r="F344" t="inlineStr">
        <is>
          <t>JÖNKÖPINGS LÄN</t>
        </is>
      </c>
      <c r="G344" t="inlineStr">
        <is>
          <t>JÖNKÖPING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46230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45124</v>
      </c>
      <c r="E346" s="1" t="n">
        <v>46230</v>
      </c>
      <c r="F346" t="inlineStr">
        <is>
          <t>JÖNKÖPINGS LÄN</t>
        </is>
      </c>
      <c r="G346" t="inlineStr">
        <is>
          <t>JÖNKÖPING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46230</v>
      </c>
      <c r="F347" t="inlineStr">
        <is>
          <t>JÖNKÖPINGS LÄN</t>
        </is>
      </c>
      <c r="G347" t="inlineStr">
        <is>
          <t>JÖNKÖPING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46230</v>
      </c>
      <c r="F348" t="inlineStr">
        <is>
          <t>JÖNKÖPINGS LÄN</t>
        </is>
      </c>
      <c r="G348" t="inlineStr">
        <is>
          <t>JÖNKÖPING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45759</v>
      </c>
      <c r="E349" s="1" t="n">
        <v>46230</v>
      </c>
      <c r="F349" t="inlineStr">
        <is>
          <t>JÖNKÖPINGS LÄN</t>
        </is>
      </c>
      <c r="G349" t="inlineStr">
        <is>
          <t>JÖNKÖPING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45051</v>
      </c>
      <c r="E350" s="1" t="n">
        <v>46230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46230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Kyrkan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46230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57930-2021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44487</v>
      </c>
      <c r="E353" s="1" t="n">
        <v>46230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46230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46230</v>
      </c>
      <c r="F355" t="inlineStr">
        <is>
          <t>JÖNKÖPINGS LÄN</t>
        </is>
      </c>
      <c r="G355" t="inlineStr">
        <is>
          <t>JÖNKÖPING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46230</v>
      </c>
      <c r="F356" t="inlineStr">
        <is>
          <t>JÖNKÖPINGS LÄN</t>
        </is>
      </c>
      <c r="G356" t="inlineStr">
        <is>
          <t>JÖNKÖPING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46230</v>
      </c>
      <c r="F357" t="inlineStr">
        <is>
          <t>JÖNKÖPINGS LÄN</t>
        </is>
      </c>
      <c r="G357" t="inlineStr">
        <is>
          <t>JÖNKÖPING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44631</v>
      </c>
      <c r="E358" s="1" t="n">
        <v>46230</v>
      </c>
      <c r="F358" t="inlineStr">
        <is>
          <t>JÖNKÖPINGS LÄN</t>
        </is>
      </c>
      <c r="G358" t="inlineStr">
        <is>
          <t>JÖNKÖPING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46230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45902</v>
      </c>
      <c r="E360" s="1" t="n">
        <v>46230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44775-2025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46230</v>
      </c>
      <c r="F361" t="inlineStr">
        <is>
          <t>JÖNKÖPINGS LÄN</t>
        </is>
      </c>
      <c r="G361" t="inlineStr">
        <is>
          <t>JÖNKÖPING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57413-2021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44483</v>
      </c>
      <c r="E362" s="1" t="n">
        <v>46230</v>
      </c>
      <c r="F362" t="inlineStr">
        <is>
          <t>JÖNKÖPINGS LÄN</t>
        </is>
      </c>
      <c r="G362" t="inlineStr">
        <is>
          <t>JÖNKÖPING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46230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51363-2025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45947</v>
      </c>
      <c r="E364" s="1" t="n">
        <v>46230</v>
      </c>
      <c r="F364" t="inlineStr">
        <is>
          <t>JÖNKÖPINGS LÄN</t>
        </is>
      </c>
      <c r="G364" t="inlineStr">
        <is>
          <t>JÖNKÖPING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46230</v>
      </c>
      <c r="F365" t="inlineStr">
        <is>
          <t>JÖNKÖPINGS LÄN</t>
        </is>
      </c>
      <c r="G365" t="inlineStr">
        <is>
          <t>JÖNKÖPING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46230</v>
      </c>
      <c r="F366" t="inlineStr">
        <is>
          <t>JÖNKÖPINGS LÄN</t>
        </is>
      </c>
      <c r="G366" t="inlineStr">
        <is>
          <t>JÖNKÖPING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46230</v>
      </c>
      <c r="F367" t="inlineStr">
        <is>
          <t>JÖNKÖPINGS LÄN</t>
        </is>
      </c>
      <c r="G367" t="inlineStr">
        <is>
          <t>JÖNKÖPING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39155-2021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44412</v>
      </c>
      <c r="E368" s="1" t="n">
        <v>46230</v>
      </c>
      <c r="F368" t="inlineStr">
        <is>
          <t>JÖNKÖPINGS LÄN</t>
        </is>
      </c>
      <c r="G368" t="inlineStr">
        <is>
          <t>JÖNKÖPING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62332-2022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44923</v>
      </c>
      <c r="E369" s="1" t="n">
        <v>46230</v>
      </c>
      <c r="F369" t="inlineStr">
        <is>
          <t>JÖNKÖPINGS LÄN</t>
        </is>
      </c>
      <c r="G369" t="inlineStr">
        <is>
          <t>JÖNKÖPING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45764</v>
      </c>
      <c r="E370" s="1" t="n">
        <v>46230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46230</v>
      </c>
      <c r="F371" t="inlineStr">
        <is>
          <t>JÖNKÖPINGS LÄN</t>
        </is>
      </c>
      <c r="G371" t="inlineStr">
        <is>
          <t>JÖNKÖPING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46230</v>
      </c>
      <c r="F372" t="inlineStr">
        <is>
          <t>JÖNKÖPINGS LÄN</t>
        </is>
      </c>
      <c r="G372" t="inlineStr">
        <is>
          <t>JÖNKÖPING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45734</v>
      </c>
      <c r="E373" s="1" t="n">
        <v>46230</v>
      </c>
      <c r="F373" t="inlineStr">
        <is>
          <t>JÖNKÖPINGS LÄN</t>
        </is>
      </c>
      <c r="G373" t="inlineStr">
        <is>
          <t>JÖNKÖPING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44659</v>
      </c>
      <c r="E374" s="1" t="n">
        <v>46230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45934</v>
      </c>
      <c r="E375" s="1" t="n">
        <v>46230</v>
      </c>
      <c r="F375" t="inlineStr">
        <is>
          <t>JÖNKÖPINGS LÄN</t>
        </is>
      </c>
      <c r="G375" t="inlineStr">
        <is>
          <t>JÖNKÖPING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45455</v>
      </c>
      <c r="E376" s="1" t="n">
        <v>46230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56131-2022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44889</v>
      </c>
      <c r="E377" s="1" t="n">
        <v>46230</v>
      </c>
      <c r="F377" t="inlineStr">
        <is>
          <t>JÖNKÖPINGS LÄN</t>
        </is>
      </c>
      <c r="G377" t="inlineStr">
        <is>
          <t>JÖNKÖPING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48308-2022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44853</v>
      </c>
      <c r="E378" s="1" t="n">
        <v>46230</v>
      </c>
      <c r="F378" t="inlineStr">
        <is>
          <t>JÖNKÖPINGS LÄN</t>
        </is>
      </c>
      <c r="G378" t="inlineStr">
        <is>
          <t>JÖNKÖPING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46230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46230</v>
      </c>
      <c r="F380" t="inlineStr">
        <is>
          <t>JÖNKÖPINGS LÄN</t>
        </is>
      </c>
      <c r="G380" t="inlineStr">
        <is>
          <t>JÖNKÖPING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46230</v>
      </c>
      <c r="F381" t="inlineStr">
        <is>
          <t>JÖNKÖPINGS LÄN</t>
        </is>
      </c>
      <c r="G381" t="inlineStr">
        <is>
          <t>JÖNKÖPING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46230</v>
      </c>
      <c r="F382" t="inlineStr">
        <is>
          <t>JÖNKÖPINGS LÄN</t>
        </is>
      </c>
      <c r="G382" t="inlineStr">
        <is>
          <t>JÖNKÖPING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45875</v>
      </c>
      <c r="E383" s="1" t="n">
        <v>46230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39443-2021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44414</v>
      </c>
      <c r="E384" s="1" t="n">
        <v>46230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46230</v>
      </c>
      <c r="F385" t="inlineStr">
        <is>
          <t>JÖNKÖPINGS LÄN</t>
        </is>
      </c>
      <c r="G385" t="inlineStr">
        <is>
          <t>JÖNKÖPING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46230</v>
      </c>
      <c r="F386" t="inlineStr">
        <is>
          <t>JÖNKÖPINGS LÄN</t>
        </is>
      </c>
      <c r="G386" t="inlineStr">
        <is>
          <t>JÖNKÖPING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10074-2024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45364</v>
      </c>
      <c r="E387" s="1" t="n">
        <v>46230</v>
      </c>
      <c r="F387" t="inlineStr">
        <is>
          <t>JÖNKÖPINGS LÄN</t>
        </is>
      </c>
      <c r="G387" t="inlineStr">
        <is>
          <t>JÖNKÖPING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44003-2023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46230</v>
      </c>
      <c r="F388" t="inlineStr">
        <is>
          <t>JÖNKÖPINGS LÄN</t>
        </is>
      </c>
      <c r="G388" t="inlineStr">
        <is>
          <t>JÖNKÖPING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8809-2024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45356</v>
      </c>
      <c r="E389" s="1" t="n">
        <v>46230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46230</v>
      </c>
      <c r="F390" t="inlineStr">
        <is>
          <t>JÖNKÖPINGS LÄN</t>
        </is>
      </c>
      <c r="G390" t="inlineStr">
        <is>
          <t>JÖNKÖPING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46230</v>
      </c>
      <c r="F391" t="inlineStr">
        <is>
          <t>JÖNKÖPINGS LÄN</t>
        </is>
      </c>
      <c r="G391" t="inlineStr">
        <is>
          <t>JÖNKÖPING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42634-2023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46230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44882</v>
      </c>
      <c r="E393" s="1" t="n">
        <v>46230</v>
      </c>
      <c r="F393" t="inlineStr">
        <is>
          <t>JÖNKÖPINGS LÄN</t>
        </is>
      </c>
      <c r="G393" t="inlineStr">
        <is>
          <t>JÖNKÖPING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45947</v>
      </c>
      <c r="E394" s="1" t="n">
        <v>46230</v>
      </c>
      <c r="F394" t="inlineStr">
        <is>
          <t>JÖNKÖPINGS LÄN</t>
        </is>
      </c>
      <c r="G394" t="inlineStr">
        <is>
          <t>JÖNKÖPING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46230</v>
      </c>
      <c r="F395" t="inlineStr">
        <is>
          <t>JÖNKÖPINGS LÄN</t>
        </is>
      </c>
      <c r="G395" t="inlineStr">
        <is>
          <t>JÖNKÖPING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44965</v>
      </c>
      <c r="E396" s="1" t="n">
        <v>46230</v>
      </c>
      <c r="F396" t="inlineStr">
        <is>
          <t>JÖNKÖPINGS LÄN</t>
        </is>
      </c>
      <c r="G396" t="inlineStr">
        <is>
          <t>JÖNKÖPING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45749</v>
      </c>
      <c r="E397" s="1" t="n">
        <v>46230</v>
      </c>
      <c r="F397" t="inlineStr">
        <is>
          <t>JÖNKÖPINGS LÄN</t>
        </is>
      </c>
      <c r="G397" t="inlineStr">
        <is>
          <t>JÖNKÖPING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44648</v>
      </c>
      <c r="E398" s="1" t="n">
        <v>46230</v>
      </c>
      <c r="F398" t="inlineStr">
        <is>
          <t>JÖNKÖPINGS LÄN</t>
        </is>
      </c>
      <c r="G398" t="inlineStr">
        <is>
          <t>JÖNKÖPING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46230</v>
      </c>
      <c r="F399" t="inlineStr">
        <is>
          <t>JÖNKÖPINGS LÄN</t>
        </is>
      </c>
      <c r="G399" t="inlineStr">
        <is>
          <t>JÖNKÖPING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46230</v>
      </c>
      <c r="F400" t="inlineStr">
        <is>
          <t>JÖNKÖPINGS LÄN</t>
        </is>
      </c>
      <c r="G400" t="inlineStr">
        <is>
          <t>JÖNKÖPING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46230</v>
      </c>
      <c r="F401" t="inlineStr">
        <is>
          <t>JÖNKÖPINGS LÄN</t>
        </is>
      </c>
      <c r="G401" t="inlineStr">
        <is>
          <t>JÖNKÖPING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45406-2023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45194</v>
      </c>
      <c r="E402" s="1" t="n">
        <v>46230</v>
      </c>
      <c r="F402" t="inlineStr">
        <is>
          <t>JÖNKÖPINGS LÄN</t>
        </is>
      </c>
      <c r="G402" t="inlineStr">
        <is>
          <t>JÖNKÖPING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45763</v>
      </c>
      <c r="E403" s="1" t="n">
        <v>46230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46230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46230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45587</v>
      </c>
      <c r="E406" s="1" t="n">
        <v>46230</v>
      </c>
      <c r="F406" t="inlineStr">
        <is>
          <t>JÖNKÖPINGS LÄN</t>
        </is>
      </c>
      <c r="G406" t="inlineStr">
        <is>
          <t>JÖNKÖPING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46230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45642</v>
      </c>
      <c r="E408" s="1" t="n">
        <v>46230</v>
      </c>
      <c r="F408" t="inlineStr">
        <is>
          <t>JÖNKÖPINGS LÄN</t>
        </is>
      </c>
      <c r="G408" t="inlineStr">
        <is>
          <t>JÖNKÖPING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46230</v>
      </c>
      <c r="F409" t="inlineStr">
        <is>
          <t>JÖNKÖPINGS LÄN</t>
        </is>
      </c>
      <c r="G409" t="inlineStr">
        <is>
          <t>JÖNKÖPING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45734</v>
      </c>
      <c r="E410" s="1" t="n">
        <v>46230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46230</v>
      </c>
      <c r="F411" t="inlineStr">
        <is>
          <t>JÖNKÖPINGS LÄN</t>
        </is>
      </c>
      <c r="G411" t="inlineStr">
        <is>
          <t>JÖNKÖPING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46230</v>
      </c>
      <c r="F412" t="inlineStr">
        <is>
          <t>JÖNKÖPINGS LÄN</t>
        </is>
      </c>
      <c r="G412" t="inlineStr">
        <is>
          <t>JÖNKÖPING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46230</v>
      </c>
      <c r="F413" t="inlineStr">
        <is>
          <t>JÖNKÖPINGS LÄN</t>
        </is>
      </c>
      <c r="G413" t="inlineStr">
        <is>
          <t>JÖNKÖPING</t>
        </is>
      </c>
      <c r="I413" t="n">
        <v>9.699999999999999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45966</v>
      </c>
      <c r="E414" s="1" t="n">
        <v>46230</v>
      </c>
      <c r="F414" t="inlineStr">
        <is>
          <t>JÖNKÖPINGS LÄN</t>
        </is>
      </c>
      <c r="G414" t="inlineStr">
        <is>
          <t>JÖNKÖPING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45966</v>
      </c>
      <c r="E415" s="1" t="n">
        <v>46230</v>
      </c>
      <c r="F415" t="inlineStr">
        <is>
          <t>JÖNKÖPINGS LÄN</t>
        </is>
      </c>
      <c r="G415" t="inlineStr">
        <is>
          <t>JÖNKÖPING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18606-2023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45043</v>
      </c>
      <c r="E416" s="1" t="n">
        <v>46230</v>
      </c>
      <c r="F416" t="inlineStr">
        <is>
          <t>JÖNKÖPINGS LÄN</t>
        </is>
      </c>
      <c r="G416" t="inlineStr">
        <is>
          <t>JÖNKÖPING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38854-2021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44411</v>
      </c>
      <c r="E417" s="1" t="n">
        <v>46230</v>
      </c>
      <c r="F417" t="inlineStr">
        <is>
          <t>JÖNKÖPINGS LÄN</t>
        </is>
      </c>
      <c r="G417" t="inlineStr">
        <is>
          <t>JÖNKÖPING</t>
        </is>
      </c>
      <c r="I417" t="n">
        <v>10.1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54654-2025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46230</v>
      </c>
      <c r="F418" t="inlineStr">
        <is>
          <t>JÖNKÖPINGS LÄN</t>
        </is>
      </c>
      <c r="G418" t="inlineStr">
        <is>
          <t>JÖNKÖPING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45392</v>
      </c>
      <c r="E419" s="1" t="n">
        <v>46230</v>
      </c>
      <c r="F419" t="inlineStr">
        <is>
          <t>JÖNKÖPINGS LÄN</t>
        </is>
      </c>
      <c r="G419" t="inlineStr">
        <is>
          <t>JÖNKÖPING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55198-2025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45968</v>
      </c>
      <c r="E420" s="1" t="n">
        <v>46230</v>
      </c>
      <c r="F420" t="inlineStr">
        <is>
          <t>JÖNKÖPINGS LÄN</t>
        </is>
      </c>
      <c r="G420" t="inlineStr">
        <is>
          <t>JÖNKÖPING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62909-2023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45271</v>
      </c>
      <c r="E421" s="1" t="n">
        <v>46230</v>
      </c>
      <c r="F421" t="inlineStr">
        <is>
          <t>JÖNKÖPINGS LÄN</t>
        </is>
      </c>
      <c r="G421" t="inlineStr">
        <is>
          <t>JÖNKÖPING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46230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46230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46230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46230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46230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46230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46230</v>
      </c>
      <c r="F428" t="inlineStr">
        <is>
          <t>JÖNKÖPINGS LÄN</t>
        </is>
      </c>
      <c r="G428" t="inlineStr">
        <is>
          <t>JÖNKÖPING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44803</v>
      </c>
      <c r="E429" s="1" t="n">
        <v>46230</v>
      </c>
      <c r="F429" t="inlineStr">
        <is>
          <t>JÖNKÖPINGS LÄN</t>
        </is>
      </c>
      <c r="G429" t="inlineStr">
        <is>
          <t>JÖNKÖPING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46230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46230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56345-2025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46230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46230</v>
      </c>
      <c r="F433" t="inlineStr">
        <is>
          <t>JÖNKÖPINGS LÄN</t>
        </is>
      </c>
      <c r="G433" t="inlineStr">
        <is>
          <t>JÖNKÖPING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45673</v>
      </c>
      <c r="E434" s="1" t="n">
        <v>46230</v>
      </c>
      <c r="F434" t="inlineStr">
        <is>
          <t>JÖNKÖPINGS LÄN</t>
        </is>
      </c>
      <c r="G434" t="inlineStr">
        <is>
          <t>JÖNKÖPING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56781-2025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46230</v>
      </c>
      <c r="F435" t="inlineStr">
        <is>
          <t>JÖNKÖPINGS LÄN</t>
        </is>
      </c>
      <c r="G435" t="inlineStr">
        <is>
          <t>JÖNKÖPING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44957</v>
      </c>
      <c r="E436" s="1" t="n">
        <v>46230</v>
      </c>
      <c r="F436" t="inlineStr">
        <is>
          <t>JÖNKÖPINGS LÄN</t>
        </is>
      </c>
      <c r="G436" t="inlineStr">
        <is>
          <t>JÖNKÖPING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24554-2024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45460</v>
      </c>
      <c r="E437" s="1" t="n">
        <v>46230</v>
      </c>
      <c r="F437" t="inlineStr">
        <is>
          <t>JÖNKÖPINGS LÄN</t>
        </is>
      </c>
      <c r="G437" t="inlineStr">
        <is>
          <t>JÖNKÖPING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45030</v>
      </c>
      <c r="E438" s="1" t="n">
        <v>46230</v>
      </c>
      <c r="F438" t="inlineStr">
        <is>
          <t>JÖNKÖPINGS LÄN</t>
        </is>
      </c>
      <c r="G438" t="inlineStr">
        <is>
          <t>JÖNKÖPING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46230</v>
      </c>
      <c r="F439" t="inlineStr">
        <is>
          <t>JÖNKÖPINGS LÄN</t>
        </is>
      </c>
      <c r="G439" t="inlineStr">
        <is>
          <t>JÖNKÖPING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17171-2023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45034</v>
      </c>
      <c r="E440" s="1" t="n">
        <v>46230</v>
      </c>
      <c r="F440" t="inlineStr">
        <is>
          <t>JÖNKÖPINGS LÄN</t>
        </is>
      </c>
      <c r="G440" t="inlineStr">
        <is>
          <t>JÖNKÖPING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53256-2021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44468</v>
      </c>
      <c r="E441" s="1" t="n">
        <v>46230</v>
      </c>
      <c r="F441" t="inlineStr">
        <is>
          <t>JÖNKÖPINGS LÄN</t>
        </is>
      </c>
      <c r="G441" t="inlineStr">
        <is>
          <t>JÖNKÖPING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46230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46230</v>
      </c>
      <c r="F443" t="inlineStr">
        <is>
          <t>JÖNKÖPINGS LÄN</t>
        </is>
      </c>
      <c r="G443" t="inlineStr">
        <is>
          <t>JÖNKÖPING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46230</v>
      </c>
      <c r="F444" t="inlineStr">
        <is>
          <t>JÖNKÖPINGS LÄN</t>
        </is>
      </c>
      <c r="G444" t="inlineStr">
        <is>
          <t>JÖNKÖPING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46230</v>
      </c>
      <c r="F445" t="inlineStr">
        <is>
          <t>JÖNKÖPINGS LÄN</t>
        </is>
      </c>
      <c r="G445" t="inlineStr">
        <is>
          <t>JÖNKÖPING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61638-2024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46230</v>
      </c>
      <c r="F446" t="inlineStr">
        <is>
          <t>JÖNKÖPINGS LÄN</t>
        </is>
      </c>
      <c r="G446" t="inlineStr">
        <is>
          <t>JÖNKÖPING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40273-2023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45169</v>
      </c>
      <c r="E447" s="1" t="n">
        <v>46230</v>
      </c>
      <c r="F447" t="inlineStr">
        <is>
          <t>JÖNKÖPINGS LÄN</t>
        </is>
      </c>
      <c r="G447" t="inlineStr">
        <is>
          <t>JÖNKÖPING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40163-2023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46230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21149-2022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44704</v>
      </c>
      <c r="E449" s="1" t="n">
        <v>46230</v>
      </c>
      <c r="F449" t="inlineStr">
        <is>
          <t>JÖNKÖPINGS LÄN</t>
        </is>
      </c>
      <c r="G449" t="inlineStr">
        <is>
          <t>JÖNKÖPING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15455-2024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45401</v>
      </c>
      <c r="E450" s="1" t="n">
        <v>46230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Kommuner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45414</v>
      </c>
      <c r="E451" s="1" t="n">
        <v>46230</v>
      </c>
      <c r="F451" t="inlineStr">
        <is>
          <t>JÖNKÖPINGS LÄN</t>
        </is>
      </c>
      <c r="G451" t="inlineStr">
        <is>
          <t>JÖNKÖPING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46230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Kyrkan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46230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45198</v>
      </c>
      <c r="E454" s="1" t="n">
        <v>46230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46230</v>
      </c>
      <c r="F455" t="inlineStr">
        <is>
          <t>JÖNKÖPINGS LÄN</t>
        </is>
      </c>
      <c r="G455" t="inlineStr">
        <is>
          <t>JÖNKÖPING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74117-2021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44557</v>
      </c>
      <c r="E456" s="1" t="n">
        <v>46230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46000</v>
      </c>
      <c r="E457" s="1" t="n">
        <v>46230</v>
      </c>
      <c r="F457" t="inlineStr">
        <is>
          <t>JÖNKÖPINGS LÄN</t>
        </is>
      </c>
      <c r="G457" t="inlineStr">
        <is>
          <t>JÖNKÖPING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54876-2022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44886</v>
      </c>
      <c r="E458" s="1" t="n">
        <v>46230</v>
      </c>
      <c r="F458" t="inlineStr">
        <is>
          <t>JÖNKÖPINGS LÄN</t>
        </is>
      </c>
      <c r="G458" t="inlineStr">
        <is>
          <t>JÖNKÖPING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15190-2022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44658</v>
      </c>
      <c r="E459" s="1" t="n">
        <v>46230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1425-2024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45303</v>
      </c>
      <c r="E460" s="1" t="n">
        <v>46230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45920-2024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45580</v>
      </c>
      <c r="E461" s="1" t="n">
        <v>46230</v>
      </c>
      <c r="F461" t="inlineStr">
        <is>
          <t>JÖNKÖPINGS LÄN</t>
        </is>
      </c>
      <c r="G461" t="inlineStr">
        <is>
          <t>JÖNKÖPING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73003-2021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44550</v>
      </c>
      <c r="E462" s="1" t="n">
        <v>46230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45455</v>
      </c>
      <c r="E463" s="1" t="n">
        <v>46230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45130</v>
      </c>
      <c r="E464" s="1" t="n">
        <v>46230</v>
      </c>
      <c r="F464" t="inlineStr">
        <is>
          <t>JÖNKÖPINGS LÄN</t>
        </is>
      </c>
      <c r="G464" t="inlineStr">
        <is>
          <t>JÖNKÖPING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45477</v>
      </c>
      <c r="E465" s="1" t="n">
        <v>46230</v>
      </c>
      <c r="F465" t="inlineStr">
        <is>
          <t>JÖNKÖPINGS LÄN</t>
        </is>
      </c>
      <c r="G465" t="inlineStr">
        <is>
          <t>JÖNKÖPING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38917-2024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45547</v>
      </c>
      <c r="E466" s="1" t="n">
        <v>46230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46230</v>
      </c>
      <c r="F467" t="inlineStr">
        <is>
          <t>JÖNKÖPINGS LÄN</t>
        </is>
      </c>
      <c r="G467" t="inlineStr">
        <is>
          <t>JÖNKÖPING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45112</v>
      </c>
      <c r="E468" s="1" t="n">
        <v>46230</v>
      </c>
      <c r="F468" t="inlineStr">
        <is>
          <t>JÖNKÖPINGS LÄN</t>
        </is>
      </c>
      <c r="G468" t="inlineStr">
        <is>
          <t>JÖNKÖPING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41305-2023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45174</v>
      </c>
      <c r="E469" s="1" t="n">
        <v>46230</v>
      </c>
      <c r="F469" t="inlineStr">
        <is>
          <t>JÖNKÖPINGS LÄN</t>
        </is>
      </c>
      <c r="G469" t="inlineStr">
        <is>
          <t>JÖNKÖPING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62486-2025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46007</v>
      </c>
      <c r="E470" s="1" t="n">
        <v>46230</v>
      </c>
      <c r="F470" t="inlineStr">
        <is>
          <t>JÖNKÖPINGS LÄN</t>
        </is>
      </c>
      <c r="G470" t="inlineStr">
        <is>
          <t>JÖNKÖPING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45557</v>
      </c>
      <c r="E471" s="1" t="n">
        <v>46230</v>
      </c>
      <c r="F471" t="inlineStr">
        <is>
          <t>JÖNKÖPINGS LÄN</t>
        </is>
      </c>
      <c r="G471" t="inlineStr">
        <is>
          <t>JÖNKÖPING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46230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26896-2024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45470</v>
      </c>
      <c r="E473" s="1" t="n">
        <v>46230</v>
      </c>
      <c r="F473" t="inlineStr">
        <is>
          <t>JÖNKÖPINGS LÄN</t>
        </is>
      </c>
      <c r="G473" t="inlineStr">
        <is>
          <t>JÖNKÖPING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8752-2022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44614</v>
      </c>
      <c r="E474" s="1" t="n">
        <v>46230</v>
      </c>
      <c r="F474" t="inlineStr">
        <is>
          <t>JÖNKÖPINGS LÄN</t>
        </is>
      </c>
      <c r="G474" t="inlineStr">
        <is>
          <t>JÖNKÖPING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46230</v>
      </c>
      <c r="F475" t="inlineStr">
        <is>
          <t>JÖNKÖPINGS LÄN</t>
        </is>
      </c>
      <c r="G475" t="inlineStr">
        <is>
          <t>JÖNKÖPING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49392-2022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44861</v>
      </c>
      <c r="E476" s="1" t="n">
        <v>46230</v>
      </c>
      <c r="F476" t="inlineStr">
        <is>
          <t>JÖNKÖPINGS LÄN</t>
        </is>
      </c>
      <c r="G476" t="inlineStr">
        <is>
          <t>JÖNKÖPING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62876-2025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46230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46230</v>
      </c>
      <c r="F478" t="inlineStr">
        <is>
          <t>JÖNKÖPINGS LÄN</t>
        </is>
      </c>
      <c r="G478" t="inlineStr">
        <is>
          <t>JÖNKÖPING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45958</v>
      </c>
      <c r="E479" s="1" t="n">
        <v>46230</v>
      </c>
      <c r="F479" t="inlineStr">
        <is>
          <t>JÖNKÖPINGS LÄN</t>
        </is>
      </c>
      <c r="G479" t="inlineStr">
        <is>
          <t>JÖNKÖPING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63564-2025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46230</v>
      </c>
      <c r="F480" t="inlineStr">
        <is>
          <t>JÖNKÖPINGS LÄN</t>
        </is>
      </c>
      <c r="G480" t="inlineStr">
        <is>
          <t>JÖNKÖPING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63346-2025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46230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45324</v>
      </c>
      <c r="E482" s="1" t="n">
        <v>46230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Kyrkan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45270</v>
      </c>
      <c r="E483" s="1" t="n">
        <v>46230</v>
      </c>
      <c r="F483" t="inlineStr">
        <is>
          <t>JÖNKÖPINGS LÄN</t>
        </is>
      </c>
      <c r="G483" t="inlineStr">
        <is>
          <t>JÖNKÖPING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46230</v>
      </c>
      <c r="F484" t="inlineStr">
        <is>
          <t>JÖNKÖPINGS LÄN</t>
        </is>
      </c>
      <c r="G484" t="inlineStr">
        <is>
          <t>JÖNKÖPING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63542-2025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46230</v>
      </c>
      <c r="F485" t="inlineStr">
        <is>
          <t>JÖNKÖPINGS LÄN</t>
        </is>
      </c>
      <c r="G485" t="inlineStr">
        <is>
          <t>JÖNKÖPING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46009</v>
      </c>
      <c r="E486" s="1" t="n">
        <v>46230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63432-2025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46230</v>
      </c>
      <c r="F487" t="inlineStr">
        <is>
          <t>JÖNKÖPINGS LÄN</t>
        </is>
      </c>
      <c r="G487" t="inlineStr">
        <is>
          <t>JÖNKÖPING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63127-2025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46230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46230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63452-2025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46013</v>
      </c>
      <c r="E490" s="1" t="n">
        <v>46230</v>
      </c>
      <c r="F490" t="inlineStr">
        <is>
          <t>JÖNKÖPINGS LÄN</t>
        </is>
      </c>
      <c r="G490" t="inlineStr">
        <is>
          <t>JÖNKÖPING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63563-2025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46230</v>
      </c>
      <c r="F491" t="inlineStr">
        <is>
          <t>JÖNKÖPINGS LÄN</t>
        </is>
      </c>
      <c r="G491" t="inlineStr">
        <is>
          <t>JÖNKÖPING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42220-2023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45179</v>
      </c>
      <c r="E492" s="1" t="n">
        <v>46230</v>
      </c>
      <c r="F492" t="inlineStr">
        <is>
          <t>JÖNKÖPINGS LÄN</t>
        </is>
      </c>
      <c r="G492" t="inlineStr">
        <is>
          <t>JÖNKÖPING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63119-2025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46230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Sveaskog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63577-2025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46013</v>
      </c>
      <c r="E494" s="1" t="n">
        <v>46230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63176-2021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44507</v>
      </c>
      <c r="E495" s="1" t="n">
        <v>46230</v>
      </c>
      <c r="F495" t="inlineStr">
        <is>
          <t>JÖNKÖPINGS LÄN</t>
        </is>
      </c>
      <c r="G495" t="inlineStr">
        <is>
          <t>JÖNKÖPING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45618</v>
      </c>
      <c r="E496" s="1" t="n">
        <v>46230</v>
      </c>
      <c r="F496" t="inlineStr">
        <is>
          <t>JÖNKÖPINGS LÄN</t>
        </is>
      </c>
      <c r="G496" t="inlineStr">
        <is>
          <t>JÖNKÖPING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28824-2026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46230</v>
      </c>
      <c r="F497" t="inlineStr">
        <is>
          <t>JÖNKÖPINGS LÄN</t>
        </is>
      </c>
      <c r="G497" t="inlineStr">
        <is>
          <t>JÖNKÖPING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63551-2023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46230</v>
      </c>
      <c r="F498" t="inlineStr">
        <is>
          <t>JÖNKÖPINGS LÄN</t>
        </is>
      </c>
      <c r="G498" t="inlineStr">
        <is>
          <t>JÖNKÖPING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46026</v>
      </c>
      <c r="E499" s="1" t="n">
        <v>46230</v>
      </c>
      <c r="F499" t="inlineStr">
        <is>
          <t>JÖNKÖPINGS LÄN</t>
        </is>
      </c>
      <c r="G499" t="inlineStr">
        <is>
          <t>JÖNKÖPING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46026</v>
      </c>
      <c r="E500" s="1" t="n">
        <v>46230</v>
      </c>
      <c r="F500" t="inlineStr">
        <is>
          <t>JÖNKÖPINGS LÄN</t>
        </is>
      </c>
      <c r="G500" t="inlineStr">
        <is>
          <t>JÖNKÖPING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46230</v>
      </c>
      <c r="F501" t="inlineStr">
        <is>
          <t>JÖNKÖPINGS LÄN</t>
        </is>
      </c>
      <c r="G501" t="inlineStr">
        <is>
          <t>JÖNKÖPING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46201</v>
      </c>
      <c r="E502" s="1" t="n">
        <v>46230</v>
      </c>
      <c r="F502" t="inlineStr">
        <is>
          <t>JÖNKÖPINGS LÄN</t>
        </is>
      </c>
      <c r="G502" t="inlineStr">
        <is>
          <t>JÖNKÖPING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46201</v>
      </c>
      <c r="E503" s="1" t="n">
        <v>46230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46230</v>
      </c>
      <c r="F504" t="inlineStr">
        <is>
          <t>JÖNKÖPINGS LÄN</t>
        </is>
      </c>
      <c r="G504" t="inlineStr">
        <is>
          <t>JÖNKÖPING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44936</v>
      </c>
      <c r="E505" s="1" t="n">
        <v>46230</v>
      </c>
      <c r="F505" t="inlineStr">
        <is>
          <t>JÖNKÖPINGS LÄN</t>
        </is>
      </c>
      <c r="G505" t="inlineStr">
        <is>
          <t>JÖNKÖPING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45538</v>
      </c>
      <c r="E506" s="1" t="n">
        <v>46230</v>
      </c>
      <c r="F506" t="inlineStr">
        <is>
          <t>JÖNKÖPINGS LÄN</t>
        </is>
      </c>
      <c r="G506" t="inlineStr">
        <is>
          <t>JÖNKÖPING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46230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46230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45302</v>
      </c>
      <c r="E509" s="1" t="n">
        <v>46230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46230</v>
      </c>
      <c r="F510" t="inlineStr">
        <is>
          <t>JÖNKÖPINGS LÄN</t>
        </is>
      </c>
      <c r="G510" t="inlineStr">
        <is>
          <t>JÖNKÖPING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45300</v>
      </c>
      <c r="E511" s="1" t="n">
        <v>46230</v>
      </c>
      <c r="F511" t="inlineStr">
        <is>
          <t>JÖNKÖPINGS LÄN</t>
        </is>
      </c>
      <c r="G511" t="inlineStr">
        <is>
          <t>JÖNKÖPING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17019-2024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45412</v>
      </c>
      <c r="E512" s="1" t="n">
        <v>46230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Övriga Aktiebolag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46230</v>
      </c>
      <c r="F513" t="inlineStr">
        <is>
          <t>JÖNKÖPINGS LÄN</t>
        </is>
      </c>
      <c r="G513" t="inlineStr">
        <is>
          <t>JÖNKÖPING</t>
        </is>
      </c>
      <c r="I513" t="n">
        <v>6.6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46230</v>
      </c>
      <c r="F514" t="inlineStr">
        <is>
          <t>JÖNKÖPINGS LÄN</t>
        </is>
      </c>
      <c r="G514" t="inlineStr">
        <is>
          <t>JÖNKÖPING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62263-2023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45267</v>
      </c>
      <c r="E515" s="1" t="n">
        <v>46230</v>
      </c>
      <c r="F515" t="inlineStr">
        <is>
          <t>JÖNKÖPINGS LÄN</t>
        </is>
      </c>
      <c r="G515" t="inlineStr">
        <is>
          <t>JÖNKÖPING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46230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44943</v>
      </c>
      <c r="E517" s="1" t="n">
        <v>46230</v>
      </c>
      <c r="F517" t="inlineStr">
        <is>
          <t>JÖNKÖPINGS LÄN</t>
        </is>
      </c>
      <c r="G517" t="inlineStr">
        <is>
          <t>JÖNKÖPING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46230</v>
      </c>
      <c r="F518" t="inlineStr">
        <is>
          <t>JÖNKÖPINGS LÄN</t>
        </is>
      </c>
      <c r="G518" t="inlineStr">
        <is>
          <t>JÖNKÖPING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46230</v>
      </c>
      <c r="F519" t="inlineStr">
        <is>
          <t>JÖNKÖPINGS LÄN</t>
        </is>
      </c>
      <c r="G519" t="inlineStr">
        <is>
          <t>JÖNKÖPING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46230</v>
      </c>
      <c r="F520" t="inlineStr">
        <is>
          <t>JÖNKÖPINGS LÄN</t>
        </is>
      </c>
      <c r="G520" t="inlineStr">
        <is>
          <t>JÖNKÖPING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45523</v>
      </c>
      <c r="E521" s="1" t="n">
        <v>46230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46201</v>
      </c>
      <c r="E522" s="1" t="n">
        <v>46230</v>
      </c>
      <c r="F522" t="inlineStr">
        <is>
          <t>JÖNKÖPINGS LÄN</t>
        </is>
      </c>
      <c r="G522" t="inlineStr">
        <is>
          <t>JÖNKÖPING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46230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46230</v>
      </c>
      <c r="F524" t="inlineStr">
        <is>
          <t>JÖNKÖPINGS LÄN</t>
        </is>
      </c>
      <c r="G524" t="inlineStr">
        <is>
          <t>JÖNKÖPING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46230</v>
      </c>
      <c r="F525" t="inlineStr">
        <is>
          <t>JÖNKÖPINGS LÄN</t>
        </is>
      </c>
      <c r="G525" t="inlineStr">
        <is>
          <t>JÖNKÖPING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29465-2026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46230</v>
      </c>
      <c r="F526" t="inlineStr">
        <is>
          <t>JÖNKÖPINGS LÄN</t>
        </is>
      </c>
      <c r="G526" t="inlineStr">
        <is>
          <t>JÖNKÖPING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3667-2026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46043</v>
      </c>
      <c r="E527" s="1" t="n">
        <v>46230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29292-2026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46197</v>
      </c>
      <c r="E528" s="1" t="n">
        <v>46230</v>
      </c>
      <c r="F528" t="inlineStr">
        <is>
          <t>JÖNKÖPINGS LÄN</t>
        </is>
      </c>
      <c r="G528" t="inlineStr">
        <is>
          <t>JÖNKÖPING</t>
        </is>
      </c>
      <c r="I528" t="n">
        <v>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7425-2026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46059</v>
      </c>
      <c r="E529" s="1" t="n">
        <v>46230</v>
      </c>
      <c r="F529" t="inlineStr">
        <is>
          <t>JÖNKÖPINGS LÄN</t>
        </is>
      </c>
      <c r="G529" t="inlineStr">
        <is>
          <t>JÖNKÖPING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46230</v>
      </c>
      <c r="F530" t="inlineStr">
        <is>
          <t>JÖNKÖPINGS LÄN</t>
        </is>
      </c>
      <c r="G530" t="inlineStr">
        <is>
          <t>JÖNKÖPING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46230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46230</v>
      </c>
      <c r="F532" t="inlineStr">
        <is>
          <t>JÖNKÖPINGS LÄN</t>
        </is>
      </c>
      <c r="G532" t="inlineStr">
        <is>
          <t>JÖNKÖPING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48038-2021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44449</v>
      </c>
      <c r="E533" s="1" t="n">
        <v>46230</v>
      </c>
      <c r="F533" t="inlineStr">
        <is>
          <t>JÖNKÖPINGS LÄN</t>
        </is>
      </c>
      <c r="G533" t="inlineStr">
        <is>
          <t>JÖNKÖPING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46230</v>
      </c>
      <c r="F534" t="inlineStr">
        <is>
          <t>JÖNKÖPINGS LÄN</t>
        </is>
      </c>
      <c r="G534" t="inlineStr">
        <is>
          <t>JÖNKÖPING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45281</v>
      </c>
      <c r="E535" s="1" t="n">
        <v>46230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23252-2026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46162</v>
      </c>
      <c r="E536" s="1" t="n">
        <v>46230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Sveaskog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44944</v>
      </c>
      <c r="E537" s="1" t="n">
        <v>46230</v>
      </c>
      <c r="F537" t="inlineStr">
        <is>
          <t>JÖNKÖPINGS LÄN</t>
        </is>
      </c>
      <c r="G537" t="inlineStr">
        <is>
          <t>JÖNKÖPING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44614</v>
      </c>
      <c r="E538" s="1" t="n">
        <v>46230</v>
      </c>
      <c r="F538" t="inlineStr">
        <is>
          <t>JÖNKÖPINGS LÄN</t>
        </is>
      </c>
      <c r="G538" t="inlineStr">
        <is>
          <t>JÖNKÖPING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25067-2022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46230</v>
      </c>
      <c r="F539" t="inlineStr">
        <is>
          <t>JÖNKÖPINGS LÄN</t>
        </is>
      </c>
      <c r="G539" t="inlineStr">
        <is>
          <t>JÖNKÖPING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46044</v>
      </c>
      <c r="E540" s="1" t="n">
        <v>46230</v>
      </c>
      <c r="F540" t="inlineStr">
        <is>
          <t>JÖNKÖPINGS LÄN</t>
        </is>
      </c>
      <c r="G540" t="inlineStr">
        <is>
          <t>JÖNKÖPING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46230</v>
      </c>
      <c r="F541" t="inlineStr">
        <is>
          <t>JÖNKÖPINGS LÄN</t>
        </is>
      </c>
      <c r="G541" t="inlineStr">
        <is>
          <t>JÖNKÖPING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26378-2022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44735</v>
      </c>
      <c r="E542" s="1" t="n">
        <v>46230</v>
      </c>
      <c r="F542" t="inlineStr">
        <is>
          <t>JÖNKÖPINGS LÄN</t>
        </is>
      </c>
      <c r="G542" t="inlineStr">
        <is>
          <t>JÖNKÖPING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46230</v>
      </c>
      <c r="F543" t="inlineStr">
        <is>
          <t>JÖNKÖPINGS LÄN</t>
        </is>
      </c>
      <c r="G543" t="inlineStr">
        <is>
          <t>JÖNKÖPING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13632-2022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46230</v>
      </c>
      <c r="F544" t="inlineStr">
        <is>
          <t>JÖNKÖPINGS LÄN</t>
        </is>
      </c>
      <c r="G544" t="inlineStr">
        <is>
          <t>JÖNKÖPING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46230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42047-2023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45177</v>
      </c>
      <c r="E546" s="1" t="n">
        <v>46230</v>
      </c>
      <c r="F546" t="inlineStr">
        <is>
          <t>JÖNKÖPINGS LÄN</t>
        </is>
      </c>
      <c r="G546" t="inlineStr">
        <is>
          <t>JÖNKÖPING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46230</v>
      </c>
      <c r="F547" t="inlineStr">
        <is>
          <t>JÖNKÖPINGS LÄN</t>
        </is>
      </c>
      <c r="G547" t="inlineStr">
        <is>
          <t>JÖNKÖPING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46230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23255-2026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46230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46049</v>
      </c>
      <c r="E550" s="1" t="n">
        <v>46230</v>
      </c>
      <c r="F550" t="inlineStr">
        <is>
          <t>JÖNKÖPINGS LÄN</t>
        </is>
      </c>
      <c r="G550" t="inlineStr">
        <is>
          <t>JÖNKÖPING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46230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46230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4805-2026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46048</v>
      </c>
      <c r="E553" s="1" t="n">
        <v>46230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46230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Övriga Aktiebolag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46230</v>
      </c>
      <c r="F555" t="inlineStr">
        <is>
          <t>JÖNKÖPINGS LÄN</t>
        </is>
      </c>
      <c r="G555" t="inlineStr">
        <is>
          <t>JÖNKÖPING</t>
        </is>
      </c>
      <c r="H555" t="inlineStr">
        <is>
          <t>Kyrkan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45588</v>
      </c>
      <c r="E556" s="1" t="n">
        <v>46230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5332-2026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46050</v>
      </c>
      <c r="E557" s="1" t="n">
        <v>46230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14566-2022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44655</v>
      </c>
      <c r="E558" s="1" t="n">
        <v>46230</v>
      </c>
      <c r="F558" t="inlineStr">
        <is>
          <t>JÖNKÖPINGS LÄN</t>
        </is>
      </c>
      <c r="G558" t="inlineStr">
        <is>
          <t>JÖNKÖPING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46230</v>
      </c>
      <c r="F559" t="inlineStr">
        <is>
          <t>JÖNKÖPINGS LÄN</t>
        </is>
      </c>
      <c r="G559" t="inlineStr">
        <is>
          <t>JÖNKÖPING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46230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46230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46230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46055</v>
      </c>
      <c r="E563" s="1" t="n">
        <v>46230</v>
      </c>
      <c r="F563" t="inlineStr">
        <is>
          <t>JÖNKÖPINGS LÄN</t>
        </is>
      </c>
      <c r="G563" t="inlineStr">
        <is>
          <t>JÖNKÖPING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23316-2026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46230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46056</v>
      </c>
      <c r="E565" s="1" t="n">
        <v>46230</v>
      </c>
      <c r="F565" t="inlineStr">
        <is>
          <t>JÖNKÖPINGS LÄN</t>
        </is>
      </c>
      <c r="G565" t="inlineStr">
        <is>
          <t>JÖNKÖPING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46167</v>
      </c>
      <c r="E566" s="1" t="n">
        <v>46230</v>
      </c>
      <c r="F566" t="inlineStr">
        <is>
          <t>JÖNKÖPINGS LÄN</t>
        </is>
      </c>
      <c r="G566" t="inlineStr">
        <is>
          <t>JÖNKÖPING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46230</v>
      </c>
      <c r="F567" t="inlineStr">
        <is>
          <t>JÖNKÖPINGS LÄN</t>
        </is>
      </c>
      <c r="G567" t="inlineStr">
        <is>
          <t>JÖNKÖPING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46230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44106-2022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44839</v>
      </c>
      <c r="E569" s="1" t="n">
        <v>46230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46230</v>
      </c>
      <c r="F570" t="inlineStr">
        <is>
          <t>JÖNKÖPINGS LÄN</t>
        </is>
      </c>
      <c r="G570" t="inlineStr">
        <is>
          <t>JÖNKÖPING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46059</v>
      </c>
      <c r="E571" s="1" t="n">
        <v>46230</v>
      </c>
      <c r="F571" t="inlineStr">
        <is>
          <t>JÖNKÖPINGS LÄN</t>
        </is>
      </c>
      <c r="G571" t="inlineStr">
        <is>
          <t>JÖNKÖPING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26427-2023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46230</v>
      </c>
      <c r="F572" t="inlineStr">
        <is>
          <t>JÖNKÖPINGS LÄN</t>
        </is>
      </c>
      <c r="G572" t="inlineStr">
        <is>
          <t>JÖNKÖPING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46059</v>
      </c>
      <c r="E573" s="1" t="n">
        <v>46230</v>
      </c>
      <c r="F573" t="inlineStr">
        <is>
          <t>JÖNKÖPINGS LÄN</t>
        </is>
      </c>
      <c r="G573" t="inlineStr">
        <is>
          <t>JÖNKÖPING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56599-2022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46230</v>
      </c>
      <c r="F574" t="inlineStr">
        <is>
          <t>JÖNKÖPINGS LÄN</t>
        </is>
      </c>
      <c r="G574" t="inlineStr">
        <is>
          <t>JÖNKÖPING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46230</v>
      </c>
      <c r="F575" t="inlineStr">
        <is>
          <t>JÖNKÖPINGS LÄN</t>
        </is>
      </c>
      <c r="G575" t="inlineStr">
        <is>
          <t>JÖNKÖPING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7552-2026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46230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46059</v>
      </c>
      <c r="E577" s="1" t="n">
        <v>46230</v>
      </c>
      <c r="F577" t="inlineStr">
        <is>
          <t>JÖNKÖPINGS LÄN</t>
        </is>
      </c>
      <c r="G577" t="inlineStr">
        <is>
          <t>JÖNKÖPING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46059</v>
      </c>
      <c r="E578" s="1" t="n">
        <v>46230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8004-2026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46230</v>
      </c>
      <c r="F579" t="inlineStr">
        <is>
          <t>JÖNKÖPINGS LÄN</t>
        </is>
      </c>
      <c r="G579" t="inlineStr">
        <is>
          <t>JÖNKÖPING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46230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46230</v>
      </c>
      <c r="F581" t="inlineStr">
        <is>
          <t>JÖNKÖPINGS LÄN</t>
        </is>
      </c>
      <c r="G581" t="inlineStr">
        <is>
          <t>JÖNKÖPING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46230</v>
      </c>
      <c r="F582" t="inlineStr">
        <is>
          <t>JÖNKÖPINGS LÄN</t>
        </is>
      </c>
      <c r="G582" t="inlineStr">
        <is>
          <t>JÖNKÖPING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30281-2026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46230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46062</v>
      </c>
      <c r="E584" s="1" t="n">
        <v>46230</v>
      </c>
      <c r="F584" t="inlineStr">
        <is>
          <t>JÖNKÖPINGS LÄN</t>
        </is>
      </c>
      <c r="G584" t="inlineStr">
        <is>
          <t>JÖNKÖPING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30277-2026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46230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46230</v>
      </c>
      <c r="F586" t="inlineStr">
        <is>
          <t>JÖNKÖPINGS LÄN</t>
        </is>
      </c>
      <c r="G586" t="inlineStr">
        <is>
          <t>JÖNKÖPING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8072-2026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46230</v>
      </c>
      <c r="F587" t="inlineStr">
        <is>
          <t>JÖNKÖPINGS LÄN</t>
        </is>
      </c>
      <c r="G587" t="inlineStr">
        <is>
          <t>JÖNKÖPING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10018-2024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45363</v>
      </c>
      <c r="E588" s="1" t="n">
        <v>46230</v>
      </c>
      <c r="F588" t="inlineStr">
        <is>
          <t>JÖNKÖPINGS LÄN</t>
        </is>
      </c>
      <c r="G588" t="inlineStr">
        <is>
          <t>JÖNKÖPING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46230</v>
      </c>
      <c r="F589" t="inlineStr">
        <is>
          <t>JÖNKÖPINGS LÄN</t>
        </is>
      </c>
      <c r="G589" t="inlineStr">
        <is>
          <t>JÖNKÖPING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46230</v>
      </c>
      <c r="F590" t="inlineStr">
        <is>
          <t>JÖNKÖPINGS LÄN</t>
        </is>
      </c>
      <c r="G590" t="inlineStr">
        <is>
          <t>JÖNKÖPING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9067-2026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46069</v>
      </c>
      <c r="E591" s="1" t="n">
        <v>46230</v>
      </c>
      <c r="F591" t="inlineStr">
        <is>
          <t>JÖNKÖPINGS LÄN</t>
        </is>
      </c>
      <c r="G591" t="inlineStr">
        <is>
          <t>JÖNKÖPING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9073-2026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46069</v>
      </c>
      <c r="E592" s="1" t="n">
        <v>46230</v>
      </c>
      <c r="F592" t="inlineStr">
        <is>
          <t>JÖNKÖPINGS LÄN</t>
        </is>
      </c>
      <c r="G592" t="inlineStr">
        <is>
          <t>JÖNKÖPING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9020-2026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46069</v>
      </c>
      <c r="E593" s="1" t="n">
        <v>46230</v>
      </c>
      <c r="F593" t="inlineStr">
        <is>
          <t>JÖNKÖPINGS LÄN</t>
        </is>
      </c>
      <c r="G593" t="inlineStr">
        <is>
          <t>JÖNKÖPING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57719-2021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44484</v>
      </c>
      <c r="E594" s="1" t="n">
        <v>46230</v>
      </c>
      <c r="F594" t="inlineStr">
        <is>
          <t>JÖNKÖPINGS LÄN</t>
        </is>
      </c>
      <c r="G594" t="inlineStr">
        <is>
          <t>JÖNKÖPING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45226</v>
      </c>
      <c r="E595" s="1" t="n">
        <v>46230</v>
      </c>
      <c r="F595" t="inlineStr">
        <is>
          <t>JÖNKÖPINGS LÄN</t>
        </is>
      </c>
      <c r="G595" t="inlineStr">
        <is>
          <t>JÖNKÖPING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44589</v>
      </c>
      <c r="E596" s="1" t="n">
        <v>46230</v>
      </c>
      <c r="F596" t="inlineStr">
        <is>
          <t>JÖNKÖPINGS LÄN</t>
        </is>
      </c>
      <c r="G596" t="inlineStr">
        <is>
          <t>JÖNKÖPING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44578</v>
      </c>
      <c r="E597" s="1" t="n">
        <v>46230</v>
      </c>
      <c r="F597" t="inlineStr">
        <is>
          <t>JÖNKÖPINGS LÄN</t>
        </is>
      </c>
      <c r="G597" t="inlineStr">
        <is>
          <t>JÖNKÖPING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46230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46211</v>
      </c>
      <c r="E599" s="1" t="n">
        <v>46230</v>
      </c>
      <c r="F599" t="inlineStr">
        <is>
          <t>JÖNKÖPINGS LÄN</t>
        </is>
      </c>
      <c r="G599" t="inlineStr">
        <is>
          <t>JÖNKÖPING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46230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Sveaskog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46070</v>
      </c>
      <c r="E601" s="1" t="n">
        <v>46230</v>
      </c>
      <c r="F601" t="inlineStr">
        <is>
          <t>JÖNKÖPINGS LÄN</t>
        </is>
      </c>
      <c r="G601" t="inlineStr">
        <is>
          <t>JÖNKÖPING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47569-2024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45587</v>
      </c>
      <c r="E602" s="1" t="n">
        <v>46230</v>
      </c>
      <c r="F602" t="inlineStr">
        <is>
          <t>JÖNKÖPINGS LÄN</t>
        </is>
      </c>
      <c r="G602" t="inlineStr">
        <is>
          <t>JÖNKÖPING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36619-2022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44804</v>
      </c>
      <c r="E603" s="1" t="n">
        <v>46230</v>
      </c>
      <c r="F603" t="inlineStr">
        <is>
          <t>JÖNKÖPINGS LÄN</t>
        </is>
      </c>
      <c r="G603" t="inlineStr">
        <is>
          <t>JÖNKÖPING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9376-2026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46070</v>
      </c>
      <c r="E604" s="1" t="n">
        <v>46230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46230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46211</v>
      </c>
      <c r="E606" s="1" t="n">
        <v>46230</v>
      </c>
      <c r="F606" t="inlineStr">
        <is>
          <t>JÖNKÖPINGS LÄN</t>
        </is>
      </c>
      <c r="G606" t="inlineStr">
        <is>
          <t>JÖNKÖPING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46230</v>
      </c>
      <c r="F607" t="inlineStr">
        <is>
          <t>JÖNKÖPINGS LÄN</t>
        </is>
      </c>
      <c r="G607" t="inlineStr">
        <is>
          <t>JÖNKÖPING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45043</v>
      </c>
      <c r="E608" s="1" t="n">
        <v>46230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9926-2026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46073</v>
      </c>
      <c r="E609" s="1" t="n">
        <v>46230</v>
      </c>
      <c r="F609" t="inlineStr">
        <is>
          <t>JÖNKÖPINGS LÄN</t>
        </is>
      </c>
      <c r="G609" t="inlineStr">
        <is>
          <t>JÖNKÖPING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46230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46230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30872-2023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46230</v>
      </c>
      <c r="F612" t="inlineStr">
        <is>
          <t>JÖNKÖPINGS LÄN</t>
        </is>
      </c>
      <c r="G612" t="inlineStr">
        <is>
          <t>JÖNKÖPING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24422-2026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46168</v>
      </c>
      <c r="E613" s="1" t="n">
        <v>46230</v>
      </c>
      <c r="F613" t="inlineStr">
        <is>
          <t>JÖNKÖPINGS LÄN</t>
        </is>
      </c>
      <c r="G613" t="inlineStr">
        <is>
          <t>JÖNKÖPING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11066-2026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46230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46211</v>
      </c>
      <c r="E615" s="1" t="n">
        <v>46230</v>
      </c>
      <c r="F615" t="inlineStr">
        <is>
          <t>JÖNKÖPINGS LÄN</t>
        </is>
      </c>
      <c r="G615" t="inlineStr">
        <is>
          <t>JÖNKÖPING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46230</v>
      </c>
      <c r="F616" t="inlineStr">
        <is>
          <t>JÖNKÖPINGS LÄN</t>
        </is>
      </c>
      <c r="G616" t="inlineStr">
        <is>
          <t>JÖNKÖPING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46230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30734-2026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46230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14.5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6897-2025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46230</v>
      </c>
      <c r="F619" t="inlineStr">
        <is>
          <t>JÖNKÖPINGS LÄN</t>
        </is>
      </c>
      <c r="G619" t="inlineStr">
        <is>
          <t>JÖNKÖPING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46230</v>
      </c>
      <c r="F620" t="inlineStr">
        <is>
          <t>JÖNKÖPINGS LÄN</t>
        </is>
      </c>
      <c r="G620" t="inlineStr">
        <is>
          <t>JÖNKÖPING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60822-2024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45644</v>
      </c>
      <c r="E621" s="1" t="n">
        <v>46230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46230</v>
      </c>
      <c r="F622" t="inlineStr">
        <is>
          <t>JÖNKÖPINGS LÄN</t>
        </is>
      </c>
      <c r="G622" t="inlineStr">
        <is>
          <t>JÖNKÖPING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46087</v>
      </c>
      <c r="E623" s="1" t="n">
        <v>46230</v>
      </c>
      <c r="F623" t="inlineStr">
        <is>
          <t>JÖNKÖPINGS LÄN</t>
        </is>
      </c>
      <c r="G623" t="inlineStr">
        <is>
          <t>JÖNKÖPING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7865-2022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44608</v>
      </c>
      <c r="E624" s="1" t="n">
        <v>46230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46230</v>
      </c>
      <c r="F625" t="inlineStr">
        <is>
          <t>JÖNKÖPINGS LÄN</t>
        </is>
      </c>
      <c r="G625" t="inlineStr">
        <is>
          <t>JÖNKÖPING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24530-2026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46230</v>
      </c>
      <c r="F626" t="inlineStr">
        <is>
          <t>JÖNKÖPINGS LÄN</t>
        </is>
      </c>
      <c r="G626" t="inlineStr">
        <is>
          <t>JÖNKÖPING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46212</v>
      </c>
      <c r="E627" s="1" t="n">
        <v>46230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46230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46090</v>
      </c>
      <c r="E629" s="1" t="n">
        <v>46230</v>
      </c>
      <c r="F629" t="inlineStr">
        <is>
          <t>JÖNKÖPINGS LÄN</t>
        </is>
      </c>
      <c r="G629" t="inlineStr">
        <is>
          <t>JÖNKÖPING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44734</v>
      </c>
      <c r="E630" s="1" t="n">
        <v>46230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Kyrkan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26213-2022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44734</v>
      </c>
      <c r="E631" s="1" t="n">
        <v>46230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59318-2022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44904</v>
      </c>
      <c r="E632" s="1" t="n">
        <v>46230</v>
      </c>
      <c r="F632" t="inlineStr">
        <is>
          <t>JÖNKÖPINGS LÄN</t>
        </is>
      </c>
      <c r="G632" t="inlineStr">
        <is>
          <t>JÖNKÖPING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24536-2026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46170</v>
      </c>
      <c r="E633" s="1" t="n">
        <v>46230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12657-2026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46091</v>
      </c>
      <c r="E634" s="1" t="n">
        <v>46230</v>
      </c>
      <c r="F634" t="inlineStr">
        <is>
          <t>JÖNKÖPINGS LÄN</t>
        </is>
      </c>
      <c r="G634" t="inlineStr">
        <is>
          <t>JÖNKÖPING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46230</v>
      </c>
      <c r="F635" t="inlineStr">
        <is>
          <t>JÖNKÖPINGS LÄN</t>
        </is>
      </c>
      <c r="G635" t="inlineStr">
        <is>
          <t>JÖNKÖPING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46321-2023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45197</v>
      </c>
      <c r="E636" s="1" t="n">
        <v>46230</v>
      </c>
      <c r="F636" t="inlineStr">
        <is>
          <t>JÖNKÖPINGS LÄN</t>
        </is>
      </c>
      <c r="G636" t="inlineStr">
        <is>
          <t>JÖNKÖPING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45321</v>
      </c>
      <c r="E637" s="1" t="n">
        <v>46230</v>
      </c>
      <c r="F637" t="inlineStr">
        <is>
          <t>JÖNKÖPINGS LÄN</t>
        </is>
      </c>
      <c r="G637" t="inlineStr">
        <is>
          <t>JÖNKÖPING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18574-2023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45043</v>
      </c>
      <c r="E638" s="1" t="n">
        <v>46230</v>
      </c>
      <c r="F638" t="inlineStr">
        <is>
          <t>JÖNKÖPINGS LÄN</t>
        </is>
      </c>
      <c r="G638" t="inlineStr">
        <is>
          <t>JÖNKÖPING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46230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46230</v>
      </c>
      <c r="F640" t="inlineStr">
        <is>
          <t>JÖNKÖPINGS LÄN</t>
        </is>
      </c>
      <c r="G640" t="inlineStr">
        <is>
          <t>JÖNKÖPING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46230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46230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38258-2024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45545</v>
      </c>
      <c r="E643" s="1" t="n">
        <v>46230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44711</v>
      </c>
      <c r="E644" s="1" t="n">
        <v>46230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28305-2024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45477</v>
      </c>
      <c r="E645" s="1" t="n">
        <v>46230</v>
      </c>
      <c r="F645" t="inlineStr">
        <is>
          <t>JÖNKÖPINGS LÄN</t>
        </is>
      </c>
      <c r="G645" t="inlineStr">
        <is>
          <t>JÖNKÖPING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46230</v>
      </c>
      <c r="F646" t="inlineStr">
        <is>
          <t>JÖNKÖPINGS LÄN</t>
        </is>
      </c>
      <c r="G646" t="inlineStr">
        <is>
          <t>JÖNKÖPING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46230</v>
      </c>
      <c r="F647" t="inlineStr">
        <is>
          <t>JÖNKÖPINGS LÄN</t>
        </is>
      </c>
      <c r="G647" t="inlineStr">
        <is>
          <t>JÖNKÖPING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46230</v>
      </c>
      <c r="F648" t="inlineStr">
        <is>
          <t>JÖNKÖPINGS LÄN</t>
        </is>
      </c>
      <c r="G648" t="inlineStr">
        <is>
          <t>JÖNKÖPING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18846-2025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45764</v>
      </c>
      <c r="E649" s="1" t="n">
        <v>46230</v>
      </c>
      <c r="F649" t="inlineStr">
        <is>
          <t>JÖNKÖPINGS LÄN</t>
        </is>
      </c>
      <c r="G649" t="inlineStr">
        <is>
          <t>JÖNKÖPING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12301-2023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44998</v>
      </c>
      <c r="E650" s="1" t="n">
        <v>46230</v>
      </c>
      <c r="F650" t="inlineStr">
        <is>
          <t>JÖNKÖPINGS LÄN</t>
        </is>
      </c>
      <c r="G650" t="inlineStr">
        <is>
          <t>JÖNKÖPING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41481-2023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45175</v>
      </c>
      <c r="E651" s="1" t="n">
        <v>46230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33492-2023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45118</v>
      </c>
      <c r="E652" s="1" t="n">
        <v>46230</v>
      </c>
      <c r="F652" t="inlineStr">
        <is>
          <t>JÖNKÖPINGS LÄN</t>
        </is>
      </c>
      <c r="G652" t="inlineStr">
        <is>
          <t>JÖNKÖPING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44591</v>
      </c>
      <c r="E653" s="1" t="n">
        <v>46230</v>
      </c>
      <c r="F653" t="inlineStr">
        <is>
          <t>JÖNKÖPINGS LÄN</t>
        </is>
      </c>
      <c r="G653" t="inlineStr">
        <is>
          <t>JÖNKÖPING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31367-2026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46219</v>
      </c>
      <c r="E654" s="1" t="n">
        <v>46230</v>
      </c>
      <c r="F654" t="inlineStr">
        <is>
          <t>JÖNKÖPINGS LÄN</t>
        </is>
      </c>
      <c r="G654" t="inlineStr">
        <is>
          <t>JÖNKÖPING</t>
        </is>
      </c>
      <c r="I654" t="n">
        <v>7.6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45708</v>
      </c>
      <c r="E655" s="1" t="n">
        <v>46230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49343-2023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46230</v>
      </c>
      <c r="F656" t="inlineStr">
        <is>
          <t>JÖNKÖPINGS LÄN</t>
        </is>
      </c>
      <c r="G656" t="inlineStr">
        <is>
          <t>JÖNKÖPING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30585-2023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46230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47009-2025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45929</v>
      </c>
      <c r="E658" s="1" t="n">
        <v>46230</v>
      </c>
      <c r="F658" t="inlineStr">
        <is>
          <t>JÖNKÖPINGS LÄN</t>
        </is>
      </c>
      <c r="G658" t="inlineStr">
        <is>
          <t>JÖNKÖPING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46219</v>
      </c>
      <c r="E659" s="1" t="n">
        <v>46230</v>
      </c>
      <c r="F659" t="inlineStr">
        <is>
          <t>JÖNKÖPINGS LÄN</t>
        </is>
      </c>
      <c r="G659" t="inlineStr">
        <is>
          <t>JÖNKÖPING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11801-2024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45375</v>
      </c>
      <c r="E660" s="1" t="n">
        <v>46230</v>
      </c>
      <c r="F660" t="inlineStr">
        <is>
          <t>JÖNKÖPINGS LÄN</t>
        </is>
      </c>
      <c r="G660" t="inlineStr">
        <is>
          <t>JÖNKÖPING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37498-2024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46230</v>
      </c>
      <c r="F661" t="inlineStr">
        <is>
          <t>JÖNKÖPINGS LÄN</t>
        </is>
      </c>
      <c r="G661" t="inlineStr">
        <is>
          <t>JÖNKÖPING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48305-2022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44853</v>
      </c>
      <c r="E662" s="1" t="n">
        <v>46230</v>
      </c>
      <c r="F662" t="inlineStr">
        <is>
          <t>JÖNKÖPINGS LÄN</t>
        </is>
      </c>
      <c r="G662" t="inlineStr">
        <is>
          <t>JÖNKÖPING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30547-2024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45492</v>
      </c>
      <c r="E663" s="1" t="n">
        <v>46230</v>
      </c>
      <c r="F663" t="inlineStr">
        <is>
          <t>JÖNKÖPINGS LÄN</t>
        </is>
      </c>
      <c r="G663" t="inlineStr">
        <is>
          <t>JÖNKÖPING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46119</v>
      </c>
      <c r="E664" s="1" t="n">
        <v>46230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17325-2026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46119</v>
      </c>
      <c r="E665" s="1" t="n">
        <v>46230</v>
      </c>
      <c r="F665" t="inlineStr">
        <is>
          <t>JÖNKÖPINGS LÄN</t>
        </is>
      </c>
      <c r="G665" t="inlineStr">
        <is>
          <t>JÖNKÖPING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46120</v>
      </c>
      <c r="E666" s="1" t="n">
        <v>46230</v>
      </c>
      <c r="F666" t="inlineStr">
        <is>
          <t>JÖNKÖPINGS LÄN</t>
        </is>
      </c>
      <c r="G666" t="inlineStr">
        <is>
          <t>JÖNKÖPING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46203</v>
      </c>
      <c r="E667" s="1" t="n">
        <v>46230</v>
      </c>
      <c r="F667" t="inlineStr">
        <is>
          <t>JÖNKÖPINGS LÄN</t>
        </is>
      </c>
      <c r="G667" t="inlineStr">
        <is>
          <t>JÖNKÖPING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46230</v>
      </c>
      <c r="F668" t="inlineStr">
        <is>
          <t>JÖNKÖPINGS LÄN</t>
        </is>
      </c>
      <c r="G668" t="inlineStr">
        <is>
          <t>JÖNKÖPING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46230</v>
      </c>
      <c r="F669" t="inlineStr">
        <is>
          <t>JÖNKÖPINGS LÄN</t>
        </is>
      </c>
      <c r="G669" t="inlineStr">
        <is>
          <t>JÖNKÖPING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17294-2026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46230</v>
      </c>
      <c r="F670" t="inlineStr">
        <is>
          <t>JÖNKÖPINGS LÄN</t>
        </is>
      </c>
      <c r="G670" t="inlineStr">
        <is>
          <t>JÖNKÖPING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46230</v>
      </c>
      <c r="F671" t="inlineStr">
        <is>
          <t>JÖNKÖPINGS LÄN</t>
        </is>
      </c>
      <c r="G671" t="inlineStr">
        <is>
          <t>JÖNKÖPING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46230</v>
      </c>
      <c r="F672" t="inlineStr">
        <is>
          <t>JÖNKÖPINGS LÄN</t>
        </is>
      </c>
      <c r="G672" t="inlineStr">
        <is>
          <t>JÖNKÖPING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28232-2024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45477</v>
      </c>
      <c r="E673" s="1" t="n">
        <v>46230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28234-2024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46230</v>
      </c>
      <c r="F674" t="inlineStr">
        <is>
          <t>JÖNKÖPINGS LÄN</t>
        </is>
      </c>
      <c r="G674" t="inlineStr">
        <is>
          <t>JÖNKÖPING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45359</v>
      </c>
      <c r="E675" s="1" t="n">
        <v>46230</v>
      </c>
      <c r="F675" t="inlineStr">
        <is>
          <t>JÖNKÖPINGS LÄN</t>
        </is>
      </c>
      <c r="G675" t="inlineStr">
        <is>
          <t>JÖNKÖPING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56441-2023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45243</v>
      </c>
      <c r="E676" s="1" t="n">
        <v>46230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Övriga Aktiebolag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44697-2023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45184</v>
      </c>
      <c r="E677" s="1" t="n">
        <v>46230</v>
      </c>
      <c r="F677" t="inlineStr">
        <is>
          <t>JÖNKÖPINGS LÄN</t>
        </is>
      </c>
      <c r="G677" t="inlineStr">
        <is>
          <t>JÖNKÖPING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44950</v>
      </c>
      <c r="E678" s="1" t="n">
        <v>46230</v>
      </c>
      <c r="F678" t="inlineStr">
        <is>
          <t>JÖNKÖPINGS LÄN</t>
        </is>
      </c>
      <c r="G678" t="inlineStr">
        <is>
          <t>JÖNKÖPING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44950</v>
      </c>
      <c r="E679" s="1" t="n">
        <v>46230</v>
      </c>
      <c r="F679" t="inlineStr">
        <is>
          <t>JÖNKÖPINGS LÄN</t>
        </is>
      </c>
      <c r="G679" t="inlineStr">
        <is>
          <t>JÖNKÖPING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46230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1185-2023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44930</v>
      </c>
      <c r="E681" s="1" t="n">
        <v>46230</v>
      </c>
      <c r="F681" t="inlineStr">
        <is>
          <t>JÖNKÖPINGS LÄN</t>
        </is>
      </c>
      <c r="G681" t="inlineStr">
        <is>
          <t>JÖNKÖPING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35451-2024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45531</v>
      </c>
      <c r="E682" s="1" t="n">
        <v>46230</v>
      </c>
      <c r="F682" t="inlineStr">
        <is>
          <t>JÖNKÖPINGS LÄN</t>
        </is>
      </c>
      <c r="G682" t="inlineStr">
        <is>
          <t>JÖNKÖPING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45757</v>
      </c>
      <c r="E683" s="1" t="n">
        <v>46230</v>
      </c>
      <c r="F683" t="inlineStr">
        <is>
          <t>JÖNKÖPINGS LÄN</t>
        </is>
      </c>
      <c r="G683" t="inlineStr">
        <is>
          <t>JÖNKÖPING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31405-2026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46220</v>
      </c>
      <c r="E684" s="1" t="n">
        <v>46230</v>
      </c>
      <c r="F684" t="inlineStr">
        <is>
          <t>JÖNKÖPINGS LÄN</t>
        </is>
      </c>
      <c r="G684" t="inlineStr">
        <is>
          <t>JÖNKÖPING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25076-2024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45462</v>
      </c>
      <c r="E685" s="1" t="n">
        <v>46230</v>
      </c>
      <c r="F685" t="inlineStr">
        <is>
          <t>JÖNKÖPINGS LÄN</t>
        </is>
      </c>
      <c r="G685" t="inlineStr">
        <is>
          <t>JÖNKÖPING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47070-2023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45201</v>
      </c>
      <c r="E686" s="1" t="n">
        <v>46230</v>
      </c>
      <c r="F686" t="inlineStr">
        <is>
          <t>JÖNKÖPINGS LÄN</t>
        </is>
      </c>
      <c r="G686" t="inlineStr">
        <is>
          <t>JÖNKÖPING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46971-2023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45201</v>
      </c>
      <c r="E687" s="1" t="n">
        <v>46230</v>
      </c>
      <c r="F687" t="inlineStr">
        <is>
          <t>JÖNKÖPINGS LÄN</t>
        </is>
      </c>
      <c r="G687" t="inlineStr">
        <is>
          <t>JÖNKÖPING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23055-2022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44719</v>
      </c>
      <c r="E688" s="1" t="n">
        <v>46230</v>
      </c>
      <c r="F688" t="inlineStr">
        <is>
          <t>JÖNKÖPINGS LÄN</t>
        </is>
      </c>
      <c r="G688" t="inlineStr">
        <is>
          <t>JÖNKÖPING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45335</v>
      </c>
      <c r="E689" s="1" t="n">
        <v>46230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26512-2023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45092</v>
      </c>
      <c r="E690" s="1" t="n">
        <v>46230</v>
      </c>
      <c r="F690" t="inlineStr">
        <is>
          <t>JÖNKÖPINGS LÄN</t>
        </is>
      </c>
      <c r="G690" t="inlineStr">
        <is>
          <t>JÖNKÖPING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28334-2023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46230</v>
      </c>
      <c r="F691" t="inlineStr">
        <is>
          <t>JÖNKÖPINGS LÄN</t>
        </is>
      </c>
      <c r="G691" t="inlineStr">
        <is>
          <t>JÖNKÖPING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46184</v>
      </c>
      <c r="E692" s="1" t="n">
        <v>46230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Kyrkan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44943</v>
      </c>
      <c r="E693" s="1" t="n">
        <v>46230</v>
      </c>
      <c r="F693" t="inlineStr">
        <is>
          <t>JÖNKÖPINGS LÄN</t>
        </is>
      </c>
      <c r="G693" t="inlineStr">
        <is>
          <t>JÖNKÖPING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48404-2023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46230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Kyrkan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9924-2023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44985</v>
      </c>
      <c r="E695" s="1" t="n">
        <v>46230</v>
      </c>
      <c r="F695" t="inlineStr">
        <is>
          <t>JÖNKÖPINGS LÄN</t>
        </is>
      </c>
      <c r="G695" t="inlineStr">
        <is>
          <t>JÖNKÖPING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57180-2023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46230</v>
      </c>
      <c r="F696" t="inlineStr">
        <is>
          <t>JÖNKÖPINGS LÄN</t>
        </is>
      </c>
      <c r="G696" t="inlineStr">
        <is>
          <t>JÖNKÖPING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45107</v>
      </c>
      <c r="E697" s="1" t="n">
        <v>46230</v>
      </c>
      <c r="F697" t="inlineStr">
        <is>
          <t>JÖNKÖPINGS LÄN</t>
        </is>
      </c>
      <c r="G697" t="inlineStr">
        <is>
          <t>JÖNKÖPING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2779-2024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45314</v>
      </c>
      <c r="E698" s="1" t="n">
        <v>46230</v>
      </c>
      <c r="F698" t="inlineStr">
        <is>
          <t>JÖNKÖPINGS LÄN</t>
        </is>
      </c>
      <c r="G698" t="inlineStr">
        <is>
          <t>JÖNKÖPING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45295</v>
      </c>
      <c r="E699" s="1" t="n">
        <v>46230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36147-2024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45534</v>
      </c>
      <c r="E700" s="1" t="n">
        <v>46230</v>
      </c>
      <c r="F700" t="inlineStr">
        <is>
          <t>JÖNKÖPINGS LÄN</t>
        </is>
      </c>
      <c r="G700" t="inlineStr">
        <is>
          <t>JÖNKÖPING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46230</v>
      </c>
      <c r="F701" t="inlineStr">
        <is>
          <t>JÖNKÖPINGS LÄN</t>
        </is>
      </c>
      <c r="G701" t="inlineStr">
        <is>
          <t>JÖNKÖPING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44564</v>
      </c>
      <c r="E702" s="1" t="n">
        <v>46230</v>
      </c>
      <c r="F702" t="inlineStr">
        <is>
          <t>JÖNKÖPINGS LÄN</t>
        </is>
      </c>
      <c r="G702" t="inlineStr">
        <is>
          <t>JÖNKÖPING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12042-2024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45377</v>
      </c>
      <c r="E703" s="1" t="n">
        <v>46230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51188-2023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45219</v>
      </c>
      <c r="E704" s="1" t="n">
        <v>46230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45363</v>
      </c>
      <c r="E705" s="1" t="n">
        <v>46230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56051-2023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45240</v>
      </c>
      <c r="E706" s="1" t="n">
        <v>46230</v>
      </c>
      <c r="F706" t="inlineStr">
        <is>
          <t>JÖNKÖPINGS LÄN</t>
        </is>
      </c>
      <c r="G706" t="inlineStr">
        <is>
          <t>JÖNKÖPING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6634-2023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44966</v>
      </c>
      <c r="E707" s="1" t="n">
        <v>46230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45408-2023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45194</v>
      </c>
      <c r="E708" s="1" t="n">
        <v>46230</v>
      </c>
      <c r="F708" t="inlineStr">
        <is>
          <t>JÖNKÖPINGS LÄN</t>
        </is>
      </c>
      <c r="G708" t="inlineStr">
        <is>
          <t>JÖNKÖPING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45412-2023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45194</v>
      </c>
      <c r="E709" s="1" t="n">
        <v>46230</v>
      </c>
      <c r="F709" t="inlineStr">
        <is>
          <t>JÖNKÖPINGS LÄN</t>
        </is>
      </c>
      <c r="G709" t="inlineStr">
        <is>
          <t>JÖNKÖPING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46230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29880-2023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46230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15134-2023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45015</v>
      </c>
      <c r="E712" s="1" t="n">
        <v>46230</v>
      </c>
      <c r="F712" t="inlineStr">
        <is>
          <t>JÖNKÖPINGS LÄN</t>
        </is>
      </c>
      <c r="G712" t="inlineStr">
        <is>
          <t>JÖNKÖPING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59218-2022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44904</v>
      </c>
      <c r="E713" s="1" t="n">
        <v>46230</v>
      </c>
      <c r="F713" t="inlineStr">
        <is>
          <t>JÖNKÖPINGS LÄN</t>
        </is>
      </c>
      <c r="G713" t="inlineStr">
        <is>
          <t>JÖNKÖPING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46230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6458-2024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45338</v>
      </c>
      <c r="E715" s="1" t="n">
        <v>46230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Kyrkan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56747-2022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44894</v>
      </c>
      <c r="E716" s="1" t="n">
        <v>46230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56569-2022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44893</v>
      </c>
      <c r="E717" s="1" t="n">
        <v>46230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7177-2022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44605</v>
      </c>
      <c r="E718" s="1" t="n">
        <v>46230</v>
      </c>
      <c r="F718" t="inlineStr">
        <is>
          <t>JÖNKÖPINGS LÄN</t>
        </is>
      </c>
      <c r="G718" t="inlineStr">
        <is>
          <t>JÖNKÖPING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46460-2023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45197</v>
      </c>
      <c r="E719" s="1" t="n">
        <v>46230</v>
      </c>
      <c r="F719" t="inlineStr">
        <is>
          <t>JÖNKÖPINGS LÄN</t>
        </is>
      </c>
      <c r="G719" t="inlineStr">
        <is>
          <t>JÖNKÖPING</t>
        </is>
      </c>
      <c r="H719" t="inlineStr">
        <is>
          <t>Sveaskog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45406</v>
      </c>
      <c r="E720" s="1" t="n">
        <v>46230</v>
      </c>
      <c r="F720" t="inlineStr">
        <is>
          <t>JÖNKÖPINGS LÄN</t>
        </is>
      </c>
      <c r="G720" t="inlineStr">
        <is>
          <t>JÖNKÖPING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44985</v>
      </c>
      <c r="E721" s="1" t="n">
        <v>46230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46230</v>
      </c>
      <c r="F722" t="inlineStr">
        <is>
          <t>JÖNKÖPINGS LÄN</t>
        </is>
      </c>
      <c r="G722" t="inlineStr">
        <is>
          <t>JÖNKÖPING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57715-2021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44484</v>
      </c>
      <c r="E723" s="1" t="n">
        <v>46230</v>
      </c>
      <c r="F723" t="inlineStr">
        <is>
          <t>JÖNKÖPINGS LÄN</t>
        </is>
      </c>
      <c r="G723" t="inlineStr">
        <is>
          <t>JÖNKÖPING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46230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45671</v>
      </c>
      <c r="E725" s="1" t="n">
        <v>46230</v>
      </c>
      <c r="F725" t="inlineStr">
        <is>
          <t>JÖNKÖPINGS LÄN</t>
        </is>
      </c>
      <c r="G725" t="inlineStr">
        <is>
          <t>JÖNKÖPING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7401-2025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45705</v>
      </c>
      <c r="E726" s="1" t="n">
        <v>46230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14228-2025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45740</v>
      </c>
      <c r="E727" s="1" t="n">
        <v>46230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5661-2025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45693</v>
      </c>
      <c r="E728" s="1" t="n">
        <v>46230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14227-2023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45009</v>
      </c>
      <c r="E729" s="1" t="n">
        <v>46230</v>
      </c>
      <c r="F729" t="inlineStr">
        <is>
          <t>JÖNKÖPINGS LÄN</t>
        </is>
      </c>
      <c r="G729" t="inlineStr">
        <is>
          <t>JÖNKÖPING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33256-2023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45127</v>
      </c>
      <c r="E730" s="1" t="n">
        <v>46230</v>
      </c>
      <c r="F730" t="inlineStr">
        <is>
          <t>JÖNKÖPINGS LÄN</t>
        </is>
      </c>
      <c r="G730" t="inlineStr">
        <is>
          <t>JÖNKÖPING</t>
        </is>
      </c>
      <c r="I730" t="n">
        <v>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17203-2022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44677</v>
      </c>
      <c r="E731" s="1" t="n">
        <v>46230</v>
      </c>
      <c r="F731" t="inlineStr">
        <is>
          <t>JÖNKÖPINGS LÄN</t>
        </is>
      </c>
      <c r="G731" t="inlineStr">
        <is>
          <t>JÖNKÖPING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17362-2025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45756</v>
      </c>
      <c r="E732" s="1" t="n">
        <v>46230</v>
      </c>
      <c r="F732" t="inlineStr">
        <is>
          <t>JÖNKÖPINGS LÄN</t>
        </is>
      </c>
      <c r="G732" t="inlineStr">
        <is>
          <t>JÖNKÖPING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45324</v>
      </c>
      <c r="E733" s="1" t="n">
        <v>46230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Kyrkan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4311-2024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45324</v>
      </c>
      <c r="E734" s="1" t="n">
        <v>46230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1782-2025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45671</v>
      </c>
      <c r="E735" s="1" t="n">
        <v>46230</v>
      </c>
      <c r="F735" t="inlineStr">
        <is>
          <t>JÖNKÖPINGS LÄN</t>
        </is>
      </c>
      <c r="G735" t="inlineStr">
        <is>
          <t>JÖNKÖPING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45414</v>
      </c>
      <c r="E736" s="1" t="n">
        <v>46230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18069-2025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45761</v>
      </c>
      <c r="E737" s="1" t="n">
        <v>46230</v>
      </c>
      <c r="F737" t="inlineStr">
        <is>
          <t>JÖNKÖPINGS LÄN</t>
        </is>
      </c>
      <c r="G737" t="inlineStr">
        <is>
          <t>JÖNKÖPING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27246-2022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44741</v>
      </c>
      <c r="E738" s="1" t="n">
        <v>46230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52058-2023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45223</v>
      </c>
      <c r="E739" s="1" t="n">
        <v>46230</v>
      </c>
      <c r="F739" t="inlineStr">
        <is>
          <t>JÖNKÖPINGS LÄN</t>
        </is>
      </c>
      <c r="G739" t="inlineStr">
        <is>
          <t>JÖNKÖPING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45541</v>
      </c>
      <c r="E740" s="1" t="n">
        <v>46230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20384-2024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45435</v>
      </c>
      <c r="E741" s="1" t="n">
        <v>46230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Kyrkan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6970-2023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44967</v>
      </c>
      <c r="E742" s="1" t="n">
        <v>46230</v>
      </c>
      <c r="F742" t="inlineStr">
        <is>
          <t>JÖNKÖPINGS LÄN</t>
        </is>
      </c>
      <c r="G742" t="inlineStr">
        <is>
          <t>JÖNKÖPING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26208-2022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44734</v>
      </c>
      <c r="E743" s="1" t="n">
        <v>46230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15315-2025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45747</v>
      </c>
      <c r="E744" s="1" t="n">
        <v>46230</v>
      </c>
      <c r="F744" t="inlineStr">
        <is>
          <t>JÖNKÖPINGS LÄN</t>
        </is>
      </c>
      <c r="G744" t="inlineStr">
        <is>
          <t>JÖNKÖPING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35949-2024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45533</v>
      </c>
      <c r="E745" s="1" t="n">
        <v>46230</v>
      </c>
      <c r="F745" t="inlineStr">
        <is>
          <t>JÖNKÖPINGS LÄN</t>
        </is>
      </c>
      <c r="G745" t="inlineStr">
        <is>
          <t>JÖNKÖPING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7846-2025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45706</v>
      </c>
      <c r="E746" s="1" t="n">
        <v>46230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58437-2024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45635</v>
      </c>
      <c r="E747" s="1" t="n">
        <v>46230</v>
      </c>
      <c r="F747" t="inlineStr">
        <is>
          <t>JÖNKÖPINGS LÄN</t>
        </is>
      </c>
      <c r="G747" t="inlineStr">
        <is>
          <t>JÖNKÖPING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37510-2024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45541</v>
      </c>
      <c r="E748" s="1" t="n">
        <v>46230</v>
      </c>
      <c r="F748" t="inlineStr">
        <is>
          <t>JÖNKÖPINGS LÄN</t>
        </is>
      </c>
      <c r="G748" t="inlineStr">
        <is>
          <t>JÖNKÖPING</t>
        </is>
      </c>
      <c r="I748" t="n">
        <v>0.1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47067-2023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45201</v>
      </c>
      <c r="E749" s="1" t="n">
        <v>46230</v>
      </c>
      <c r="F749" t="inlineStr">
        <is>
          <t>JÖNKÖPINGS LÄN</t>
        </is>
      </c>
      <c r="G749" t="inlineStr">
        <is>
          <t>JÖNKÖPING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6663-2024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45341</v>
      </c>
      <c r="E750" s="1" t="n">
        <v>46230</v>
      </c>
      <c r="F750" t="inlineStr">
        <is>
          <t>JÖNKÖPINGS LÄN</t>
        </is>
      </c>
      <c r="G750" t="inlineStr">
        <is>
          <t>JÖNKÖPING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44950</v>
      </c>
      <c r="E751" s="1" t="n">
        <v>46230</v>
      </c>
      <c r="F751" t="inlineStr">
        <is>
          <t>JÖNKÖPINGS LÄN</t>
        </is>
      </c>
      <c r="G751" t="inlineStr">
        <is>
          <t>JÖNKÖPING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28337-2023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45099</v>
      </c>
      <c r="E752" s="1" t="n">
        <v>46230</v>
      </c>
      <c r="F752" t="inlineStr">
        <is>
          <t>JÖNKÖPINGS LÄN</t>
        </is>
      </c>
      <c r="G752" t="inlineStr">
        <is>
          <t>JÖNKÖPING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45681</v>
      </c>
      <c r="E753" s="1" t="n">
        <v>46230</v>
      </c>
      <c r="F753" t="inlineStr">
        <is>
          <t>JÖNKÖPINGS LÄN</t>
        </is>
      </c>
      <c r="G753" t="inlineStr">
        <is>
          <t>JÖNKÖPING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9604-2025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45715</v>
      </c>
      <c r="E754" s="1" t="n">
        <v>46230</v>
      </c>
      <c r="F754" t="inlineStr">
        <is>
          <t>JÖNKÖPINGS LÄN</t>
        </is>
      </c>
      <c r="G754" t="inlineStr">
        <is>
          <t>JÖNKÖPING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10760-2022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44627</v>
      </c>
      <c r="E755" s="1" t="n">
        <v>46230</v>
      </c>
      <c r="F755" t="inlineStr">
        <is>
          <t>JÖNKÖPINGS LÄN</t>
        </is>
      </c>
      <c r="G755" t="inlineStr">
        <is>
          <t>JÖNKÖPING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20425-2023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46230</v>
      </c>
      <c r="F756" t="inlineStr">
        <is>
          <t>JÖNKÖPINGS LÄN</t>
        </is>
      </c>
      <c r="G756" t="inlineStr">
        <is>
          <t>JÖNKÖPING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8554-2024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45355</v>
      </c>
      <c r="E757" s="1" t="n">
        <v>46230</v>
      </c>
      <c r="F757" t="inlineStr">
        <is>
          <t>JÖNKÖPINGS LÄN</t>
        </is>
      </c>
      <c r="G757" t="inlineStr">
        <is>
          <t>JÖNKÖPING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44966</v>
      </c>
      <c r="E758" s="1" t="n">
        <v>46230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4154-2022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44588</v>
      </c>
      <c r="E759" s="1" t="n">
        <v>46230</v>
      </c>
      <c r="F759" t="inlineStr">
        <is>
          <t>JÖNKÖPINGS LÄN</t>
        </is>
      </c>
      <c r="G759" t="inlineStr">
        <is>
          <t>JÖNKÖPING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44488</v>
      </c>
      <c r="E760" s="1" t="n">
        <v>46230</v>
      </c>
      <c r="F760" t="inlineStr">
        <is>
          <t>JÖNKÖPINGS LÄN</t>
        </is>
      </c>
      <c r="G760" t="inlineStr">
        <is>
          <t>JÖNKÖPING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46462-2023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45197</v>
      </c>
      <c r="E761" s="1" t="n">
        <v>46230</v>
      </c>
      <c r="F761" t="inlineStr">
        <is>
          <t>JÖNKÖPINGS LÄN</t>
        </is>
      </c>
      <c r="G761" t="inlineStr">
        <is>
          <t>JÖNKÖPING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38919-2024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45547</v>
      </c>
      <c r="E762" s="1" t="n">
        <v>46230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43573-2024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45569</v>
      </c>
      <c r="E763" s="1" t="n">
        <v>46230</v>
      </c>
      <c r="F763" t="inlineStr">
        <is>
          <t>JÖNKÖPINGS LÄN</t>
        </is>
      </c>
      <c r="G763" t="inlineStr">
        <is>
          <t>JÖNKÖPING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57620-2022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44897</v>
      </c>
      <c r="E764" s="1" t="n">
        <v>46230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Kyrkan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46230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45198</v>
      </c>
      <c r="E766" s="1" t="n">
        <v>46230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46230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46230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46230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46230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50293-2023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46230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1365-2025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46230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33398-2024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45519</v>
      </c>
      <c r="E773" s="1" t="n">
        <v>46230</v>
      </c>
      <c r="F773" t="inlineStr">
        <is>
          <t>JÖNKÖPINGS LÄN</t>
        </is>
      </c>
      <c r="G773" t="inlineStr">
        <is>
          <t>JÖNKÖPING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47190-2024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45586</v>
      </c>
      <c r="E774" s="1" t="n">
        <v>46230</v>
      </c>
      <c r="F774" t="inlineStr">
        <is>
          <t>JÖNKÖPINGS LÄN</t>
        </is>
      </c>
      <c r="G774" t="inlineStr">
        <is>
          <t>JÖNKÖPING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45541</v>
      </c>
      <c r="E775" s="1" t="n">
        <v>46230</v>
      </c>
      <c r="F775" t="inlineStr">
        <is>
          <t>JÖNKÖPINGS LÄN</t>
        </is>
      </c>
      <c r="G775" t="inlineStr">
        <is>
          <t>JÖNKÖPING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39280-2024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45551</v>
      </c>
      <c r="E776" s="1" t="n">
        <v>46230</v>
      </c>
      <c r="F776" t="inlineStr">
        <is>
          <t>JÖNKÖPINGS LÄN</t>
        </is>
      </c>
      <c r="G776" t="inlineStr">
        <is>
          <t>JÖNKÖPING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7959-2024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45350</v>
      </c>
      <c r="E777" s="1" t="n">
        <v>46230</v>
      </c>
      <c r="F777" t="inlineStr">
        <is>
          <t>JÖNKÖPINGS LÄN</t>
        </is>
      </c>
      <c r="G777" t="inlineStr">
        <is>
          <t>JÖNKÖPING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61523-2024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46230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46230</v>
      </c>
      <c r="F779" t="inlineStr">
        <is>
          <t>JÖNKÖPINGS LÄN</t>
        </is>
      </c>
      <c r="G779" t="inlineStr">
        <is>
          <t>JÖNKÖPING</t>
        </is>
      </c>
      <c r="I779" t="n">
        <v>15.5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45570</v>
      </c>
      <c r="E780" s="1" t="n">
        <v>46230</v>
      </c>
      <c r="F780" t="inlineStr">
        <is>
          <t>JÖNKÖPINGS LÄN</t>
        </is>
      </c>
      <c r="G780" t="inlineStr">
        <is>
          <t>JÖNKÖPING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46230</v>
      </c>
      <c r="F781" t="inlineStr">
        <is>
          <t>JÖNKÖPINGS LÄN</t>
        </is>
      </c>
      <c r="G781" t="inlineStr">
        <is>
          <t>JÖNKÖPING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45727</v>
      </c>
      <c r="E782" s="1" t="n">
        <v>46230</v>
      </c>
      <c r="F782" t="inlineStr">
        <is>
          <t>JÖNKÖPINGS LÄN</t>
        </is>
      </c>
      <c r="G782" t="inlineStr">
        <is>
          <t>JÖNKÖPING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14225-2025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45740</v>
      </c>
      <c r="E783" s="1" t="n">
        <v>46230</v>
      </c>
      <c r="F783" t="inlineStr">
        <is>
          <t>JÖNKÖPINGS LÄN</t>
        </is>
      </c>
      <c r="G783" t="inlineStr">
        <is>
          <t>JÖNKÖPING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45727</v>
      </c>
      <c r="E784" s="1" t="n">
        <v>46230</v>
      </c>
      <c r="F784" t="inlineStr">
        <is>
          <t>JÖNKÖPINGS LÄN</t>
        </is>
      </c>
      <c r="G784" t="inlineStr">
        <is>
          <t>JÖNKÖPING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13144-2025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46230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12933-2025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46230</v>
      </c>
      <c r="F786" t="inlineStr">
        <is>
          <t>JÖNKÖPINGS LÄN</t>
        </is>
      </c>
      <c r="G786" t="inlineStr">
        <is>
          <t>JÖNKÖPING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44992</v>
      </c>
      <c r="E787" s="1" t="n">
        <v>46230</v>
      </c>
      <c r="F787" t="inlineStr">
        <is>
          <t>JÖNKÖPINGS LÄN</t>
        </is>
      </c>
      <c r="G787" t="inlineStr">
        <is>
          <t>JÖNKÖPING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26274-2025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45805</v>
      </c>
      <c r="E788" s="1" t="n">
        <v>46230</v>
      </c>
      <c r="F788" t="inlineStr">
        <is>
          <t>JÖNKÖPINGS LÄN</t>
        </is>
      </c>
      <c r="G788" t="inlineStr">
        <is>
          <t>JÖNKÖPING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45805</v>
      </c>
      <c r="E789" s="1" t="n">
        <v>46230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26358-2025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45806</v>
      </c>
      <c r="E790" s="1" t="n">
        <v>46230</v>
      </c>
      <c r="F790" t="inlineStr">
        <is>
          <t>JÖNKÖPINGS LÄN</t>
        </is>
      </c>
      <c r="G790" t="inlineStr">
        <is>
          <t>JÖNKÖPING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49836-2024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46230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46230</v>
      </c>
      <c r="F792" t="inlineStr">
        <is>
          <t>JÖNKÖPINGS LÄN</t>
        </is>
      </c>
      <c r="G792" t="inlineStr">
        <is>
          <t>JÖNKÖPING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60557-2024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45643</v>
      </c>
      <c r="E793" s="1" t="n">
        <v>46230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42053-2024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45561</v>
      </c>
      <c r="E794" s="1" t="n">
        <v>46230</v>
      </c>
      <c r="F794" t="inlineStr">
        <is>
          <t>JÖNKÖPINGS LÄN</t>
        </is>
      </c>
      <c r="G794" t="inlineStr">
        <is>
          <t>JÖNKÖPING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46230</v>
      </c>
      <c r="F795" t="inlineStr">
        <is>
          <t>JÖNKÖPINGS LÄN</t>
        </is>
      </c>
      <c r="G795" t="inlineStr">
        <is>
          <t>JÖNKÖPING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45826</v>
      </c>
      <c r="E796" s="1" t="n">
        <v>46230</v>
      </c>
      <c r="F796" t="inlineStr">
        <is>
          <t>JÖNKÖPINGS LÄN</t>
        </is>
      </c>
      <c r="G796" t="inlineStr">
        <is>
          <t>JÖNKÖPING</t>
        </is>
      </c>
      <c r="I796" t="n">
        <v>11.9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17363-2025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45756</v>
      </c>
      <c r="E797" s="1" t="n">
        <v>46230</v>
      </c>
      <c r="F797" t="inlineStr">
        <is>
          <t>JÖNKÖPINGS LÄN</t>
        </is>
      </c>
      <c r="G797" t="inlineStr">
        <is>
          <t>JÖNKÖPING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33846-2025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46230</v>
      </c>
      <c r="F798" t="inlineStr">
        <is>
          <t>JÖNKÖPINGS LÄN</t>
        </is>
      </c>
      <c r="G798" t="inlineStr">
        <is>
          <t>JÖNKÖPING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24329-2025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45797</v>
      </c>
      <c r="E799" s="1" t="n">
        <v>46230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45842</v>
      </c>
      <c r="E800" s="1" t="n">
        <v>46230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46230</v>
      </c>
      <c r="F801" t="inlineStr">
        <is>
          <t>JÖNKÖPINGS LÄN</t>
        </is>
      </c>
      <c r="G801" t="inlineStr">
        <is>
          <t>JÖNKÖPING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47401-2024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46230</v>
      </c>
      <c r="F802" t="inlineStr">
        <is>
          <t>JÖNKÖPINGS LÄN</t>
        </is>
      </c>
      <c r="G802" t="inlineStr">
        <is>
          <t>JÖNKÖPING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34600-2025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45846</v>
      </c>
      <c r="E803" s="1" t="n">
        <v>46230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Kyrkan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34605-2025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45846</v>
      </c>
      <c r="E804" s="1" t="n">
        <v>46230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Kyrkan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45751</v>
      </c>
      <c r="E805" s="1" t="n">
        <v>46230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57509-2024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45630</v>
      </c>
      <c r="E806" s="1" t="n">
        <v>46230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7033-2025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45701</v>
      </c>
      <c r="E807" s="1" t="n">
        <v>46230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22541-2025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45788</v>
      </c>
      <c r="E808" s="1" t="n">
        <v>46230</v>
      </c>
      <c r="F808" t="inlineStr">
        <is>
          <t>JÖNKÖPINGS LÄN</t>
        </is>
      </c>
      <c r="G808" t="inlineStr">
        <is>
          <t>JÖNKÖPING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35820-2025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45861</v>
      </c>
      <c r="E809" s="1" t="n">
        <v>46230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46230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1870-2022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44658</v>
      </c>
      <c r="E811" s="1" t="n">
        <v>46230</v>
      </c>
      <c r="F811" t="inlineStr">
        <is>
          <t>JÖNKÖPINGS LÄN</t>
        </is>
      </c>
      <c r="G811" t="inlineStr">
        <is>
          <t>JÖNKÖPING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884-2022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44607</v>
      </c>
      <c r="E812" s="1" t="n">
        <v>46230</v>
      </c>
      <c r="F812" t="inlineStr">
        <is>
          <t>JÖNKÖPINGS LÄN</t>
        </is>
      </c>
      <c r="G812" t="inlineStr">
        <is>
          <t>JÖNKÖPING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2480-2023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45131</v>
      </c>
      <c r="E813" s="1" t="n">
        <v>46230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Kyrkan</t>
        </is>
      </c>
      <c r="I813" t="n">
        <v>66.7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589-2022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44593</v>
      </c>
      <c r="E814" s="1" t="n">
        <v>46230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9015-2021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44510</v>
      </c>
      <c r="E815" s="1" t="n">
        <v>46230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274-2023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44956</v>
      </c>
      <c r="E816" s="1" t="n">
        <v>46230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Sveaskog</t>
        </is>
      </c>
      <c r="I816" t="n">
        <v>50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1347-2024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45407</v>
      </c>
      <c r="E817" s="1" t="n">
        <v>46230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Övriga Aktiebolag</t>
        </is>
      </c>
      <c r="I817" t="n">
        <v>40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324-2024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45327</v>
      </c>
      <c r="E818" s="1" t="n">
        <v>46230</v>
      </c>
      <c r="F818" t="inlineStr">
        <is>
          <t>JÖNKÖPINGS LÄN</t>
        </is>
      </c>
      <c r="G818" t="inlineStr">
        <is>
          <t>JÖNKÖPING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2909-2022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44711</v>
      </c>
      <c r="E819" s="1" t="n">
        <v>46230</v>
      </c>
      <c r="F819" t="inlineStr">
        <is>
          <t>JÖNKÖPINGS LÄN</t>
        </is>
      </c>
      <c r="G819" t="inlineStr">
        <is>
          <t>JÖNKÖPING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46230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46230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46230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46230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46230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46230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46230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46230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46230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46230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46230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2026-07-27T01:50:36Z</dcterms:created>
  <dcterms:modified xmlns:dcterms="http://purl.org/dc/terms/" xmlns:xsi="http://www.w3.org/2001/XMLSchema-instance" xsi:type="dcterms:W3CDTF">2026-07-27T01:50:37Z</dcterms:modified>
</cp:coreProperties>
</file>