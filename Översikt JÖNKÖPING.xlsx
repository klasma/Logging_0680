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46321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46321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46321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46321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46321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46321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39511-2026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46288</v>
      </c>
      <c r="E15" s="1" t="n">
        <v>46321</v>
      </c>
      <c r="F15" t="inlineStr">
        <is>
          <t>JÖNKÖPINGS LÄN</t>
        </is>
      </c>
      <c r="G15" t="inlineStr">
        <is>
          <t>JÖNKÖPING</t>
        </is>
      </c>
      <c r="I15" t="n">
        <v>3</v>
      </c>
      <c r="J15" t="n">
        <v>1</v>
      </c>
      <c r="K15" t="n">
        <v>2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Stortimjan
Jungfrulin
Solvända
Svinrot
Sotlav
Svart trolldruva
Blåsippa</t>
        </is>
      </c>
      <c r="W15">
        <f>HYPERLINK("https://klasma.github.io/Logging_0680/artfynd/A 39511-2026 artfynd.xlsx", "A 39511-2026")</f>
        <v/>
      </c>
      <c r="X15">
        <f>HYPERLINK("https://klasma.github.io/Logging_0680/kartor/A 39511-2026 karta.png", "A 39511-2026")</f>
        <v/>
      </c>
      <c r="Y15">
        <f>HYPERLINK("https://klasma.github.io/Logging_0680/kartor_geotiff/A 39511-2026 georefererad karta.tif", "A 39511-2026")</f>
        <v/>
      </c>
      <c r="AA15">
        <f>HYPERLINK("https://klasma.github.io/Logging_0680/klagomål/A 39511-2026 FSC-klagomål.docx", "A 39511-2026")</f>
        <v/>
      </c>
      <c r="AB15">
        <f>HYPERLINK("https://klasma.github.io/Logging_0680/klagomålsmail/A 39511-2026 FSC-klagomål mail.docx", "A 39511-2026")</f>
        <v/>
      </c>
      <c r="AC15">
        <f>HYPERLINK("https://klasma.github.io/Logging_0680/tillsyn/A 39511-2026 tillsynsbegäran.docx", "A 39511-2026")</f>
        <v/>
      </c>
      <c r="AD15">
        <f>HYPERLINK("https://klasma.github.io/Logging_0680/tillsynsmail/A 39511-2026 tillsynsbegäran mail.docx", "A 39511-2026")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46321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1244-2024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46321</v>
      </c>
      <c r="F17" t="inlineStr">
        <is>
          <t>JÖNKÖPINGS LÄN</t>
        </is>
      </c>
      <c r="G17" t="inlineStr">
        <is>
          <t>JÖNKÖPING</t>
        </is>
      </c>
      <c r="I17" t="n">
        <v>1.4</v>
      </c>
      <c r="J17" t="n">
        <v>1</v>
      </c>
      <c r="K17" t="n">
        <v>2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1</v>
      </c>
      <c r="V17" s="2" t="inlineStr">
        <is>
          <t>Stickelfrö
Sårläka
Vippärt
Vårärt
Kransrams
Skogsbräsma
Brudsporre</t>
        </is>
      </c>
      <c r="W17">
        <f>HYPERLINK("https://klasma.github.io/Logging_0680/artfynd/A 1244-2024 artfynd.xlsx", "A 1244-2024")</f>
        <v/>
      </c>
      <c r="X17">
        <f>HYPERLINK("https://klasma.github.io/Logging_0680/kartor/A 1244-2024 karta.png", "A 1244-2024")</f>
        <v/>
      </c>
      <c r="Y17">
        <f>HYPERLINK("https://klasma.github.io/Logging_0680/kartor_geotiff/A 1244-2024 georefererad karta.tif", "A 1244-2024")</f>
        <v/>
      </c>
      <c r="AA17">
        <f>HYPERLINK("https://klasma.github.io/Logging_0680/klagomål/A 1244-2024 FSC-klagomål.docx", "A 1244-2024")</f>
        <v/>
      </c>
      <c r="AB17">
        <f>HYPERLINK("https://klasma.github.io/Logging_0680/klagomålsmail/A 1244-2024 FSC-klagomål mail.docx", "A 1244-2024")</f>
        <v/>
      </c>
      <c r="AC17">
        <f>HYPERLINK("https://klasma.github.io/Logging_0680/tillsyn/A 1244-2024 tillsynsbegäran.docx", "A 1244-2024")</f>
        <v/>
      </c>
      <c r="AD17">
        <f>HYPERLINK("https://klasma.github.io/Logging_0680/tillsynsmail/A 1244-2024 tillsynsbegäran mail.docx", "A 1244-2024")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46321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46321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46321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46321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46321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46321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46321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46321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46321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46321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11258-2023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46321</v>
      </c>
      <c r="F29" t="inlineStr">
        <is>
          <t>JÖNKÖPINGS LÄN</t>
        </is>
      </c>
      <c r="G29" t="inlineStr">
        <is>
          <t>JÖNKÖPING</t>
        </is>
      </c>
      <c r="I29" t="n">
        <v>2.3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Knärot
Nötkråka
Grönpyrola
Spindelblomster
Grönvit nattviol</t>
        </is>
      </c>
      <c r="W29">
        <f>HYPERLINK("https://klasma.github.io/Logging_0680/artfynd/A 11258-2023 artfynd.xlsx", "A 11258-2023")</f>
        <v/>
      </c>
      <c r="X29">
        <f>HYPERLINK("https://klasma.github.io/Logging_0680/kartor/A 11258-2023 karta.png", "A 11258-2023")</f>
        <v/>
      </c>
      <c r="Y29">
        <f>HYPERLINK("https://klasma.github.io/Logging_0680/kartor_geotiff/A 11258-2023 georefererad karta.tif", "A 11258-2023")</f>
        <v/>
      </c>
      <c r="Z29">
        <f>HYPERLINK("https://klasma.github.io/Logging_0680/knärot/A 11258-2023 karta knärot.png", "A 11258-2023")</f>
        <v/>
      </c>
      <c r="AA29">
        <f>HYPERLINK("https://klasma.github.io/Logging_0680/klagomål/A 11258-2023 FSC-klagomål.docx", "A 11258-2023")</f>
        <v/>
      </c>
      <c r="AB29">
        <f>HYPERLINK("https://klasma.github.io/Logging_0680/klagomålsmail/A 11258-2023 FSC-klagomål mail.docx", "A 11258-2023")</f>
        <v/>
      </c>
      <c r="AC29">
        <f>HYPERLINK("https://klasma.github.io/Logging_0680/tillsyn/A 11258-2023 tillsynsbegäran.docx", "A 11258-2023")</f>
        <v/>
      </c>
      <c r="AD29">
        <f>HYPERLINK("https://klasma.github.io/Logging_0680/tillsynsmail/A 11258-2023 tillsynsbegäran mail.docx", "A 11258-2023")</f>
        <v/>
      </c>
      <c r="AE29">
        <f>HYPERLINK("https://klasma.github.io/Logging_0680/fåglar/A 11258-2023 prioriterade fågelarter.docx", "A 11258-2023")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46321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46321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46321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46321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6799-2022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46321</v>
      </c>
      <c r="F34" t="inlineStr">
        <is>
          <t>JÖNKÖPINGS LÄN</t>
        </is>
      </c>
      <c r="G34" t="inlineStr">
        <is>
          <t>JÖNKÖPING</t>
        </is>
      </c>
      <c r="H34" t="inlineStr">
        <is>
          <t>Kyrkan</t>
        </is>
      </c>
      <c r="I34" t="n">
        <v>2.2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8</v>
      </c>
      <c r="U34" t="n">
        <v>7</v>
      </c>
      <c r="V34" s="2" t="inlineStr">
        <is>
          <t>Dvärgtufs
Grön sköldmossa
Västlig hakmossa
Mattlummer</t>
        </is>
      </c>
      <c r="W34">
        <f>HYPERLINK("https://klasma.github.io/Logging_0680/artfynd/A 6799-2022 artfynd.xlsx", "A 6799-2022")</f>
        <v/>
      </c>
      <c r="X34">
        <f>HYPERLINK("https://klasma.github.io/Logging_0680/kartor/A 6799-2022 karta.png", "A 6799-2022")</f>
        <v/>
      </c>
      <c r="Y34">
        <f>HYPERLINK("https://klasma.github.io/Logging_0680/kartor_geotiff/A 6799-2022 georefererad karta.tif", "A 6799-2022")</f>
        <v/>
      </c>
      <c r="AA34">
        <f>HYPERLINK("https://klasma.github.io/Logging_0680/klagomål/A 6799-2022 FSC-klagomål.docx", "A 6799-2022")</f>
        <v/>
      </c>
      <c r="AB34">
        <f>HYPERLINK("https://klasma.github.io/Logging_0680/klagomålsmail/A 6799-2022 FSC-klagomål mail.docx", "A 6799-2022")</f>
        <v/>
      </c>
      <c r="AC34">
        <f>HYPERLINK("https://klasma.github.io/Logging_0680/tillsyn/A 6799-2022 tillsynsbegäran.docx", "A 6799-2022")</f>
        <v/>
      </c>
      <c r="AD34">
        <f>HYPERLINK("https://klasma.github.io/Logging_0680/tillsynsmail/A 6799-2022 tillsynsbegäran mail.docx", "A 6799-2022")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46321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46321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46321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46321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46321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46321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46321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46321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41104-2025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46321</v>
      </c>
      <c r="F43" t="inlineStr">
        <is>
          <t>JÖNKÖPINGS LÄN</t>
        </is>
      </c>
      <c r="G43" t="inlineStr">
        <is>
          <t>JÖNKÖPING</t>
        </is>
      </c>
      <c r="I43" t="n">
        <v>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Duvhök
Havsörn
Trana</t>
        </is>
      </c>
      <c r="W43">
        <f>HYPERLINK("https://klasma.github.io/Logging_0680/artfynd/A 41104-2025 artfynd.xlsx", "A 41104-2025")</f>
        <v/>
      </c>
      <c r="X43">
        <f>HYPERLINK("https://klasma.github.io/Logging_0680/kartor/A 41104-2025 karta.png", "A 41104-2025")</f>
        <v/>
      </c>
      <c r="Y43">
        <f>HYPERLINK("https://klasma.github.io/Logging_0680/kartor_geotiff/A 41104-2025 georefererad karta.tif", "A 41104-2025")</f>
        <v/>
      </c>
      <c r="AA43">
        <f>HYPERLINK("https://klasma.github.io/Logging_0680/klagomål/A 41104-2025 FSC-klagomål.docx", "A 41104-2025")</f>
        <v/>
      </c>
      <c r="AB43">
        <f>HYPERLINK("https://klasma.github.io/Logging_0680/klagomålsmail/A 41104-2025 FSC-klagomål mail.docx", "A 41104-2025")</f>
        <v/>
      </c>
      <c r="AC43">
        <f>HYPERLINK("https://klasma.github.io/Logging_0680/tillsyn/A 41104-2025 tillsynsbegäran.docx", "A 41104-2025")</f>
        <v/>
      </c>
      <c r="AD43">
        <f>HYPERLINK("https://klasma.github.io/Logging_0680/tillsynsmail/A 41104-2025 tillsynsbegäran mail.docx", "A 41104-2025")</f>
        <v/>
      </c>
      <c r="AE43">
        <f>HYPERLINK("https://klasma.github.io/Logging_0680/fåglar/A 41104-2025 prioriterade fågelarter.docx", "A 41104-2025")</f>
        <v/>
      </c>
    </row>
    <row r="44" ht="15" customHeight="1">
      <c r="A44" t="inlineStr">
        <is>
          <t>A 21006-2025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46321</v>
      </c>
      <c r="F44" t="inlineStr">
        <is>
          <t>JÖNKÖPINGS LÄN</t>
        </is>
      </c>
      <c r="G44" t="inlineStr">
        <is>
          <t>JÖNKÖPING</t>
        </is>
      </c>
      <c r="I44" t="n">
        <v>2.3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Gullpudra
Blåsippa
Spillkråka</t>
        </is>
      </c>
      <c r="W44">
        <f>HYPERLINK("https://klasma.github.io/Logging_0680/artfynd/A 21006-2025 artfynd.xlsx", "A 21006-2025")</f>
        <v/>
      </c>
      <c r="X44">
        <f>HYPERLINK("https://klasma.github.io/Logging_0680/kartor/A 21006-2025 karta.png", "A 21006-2025")</f>
        <v/>
      </c>
      <c r="Y44">
        <f>HYPERLINK("https://klasma.github.io/Logging_0680/kartor_geotiff/A 21006-2025 georefererad karta.tif", "A 21006-2025")</f>
        <v/>
      </c>
      <c r="AA44">
        <f>HYPERLINK("https://klasma.github.io/Logging_0680/klagomål/A 21006-2025 FSC-klagomål.docx", "A 21006-2025")</f>
        <v/>
      </c>
      <c r="AB44">
        <f>HYPERLINK("https://klasma.github.io/Logging_0680/klagomålsmail/A 21006-2025 FSC-klagomål mail.docx", "A 21006-2025")</f>
        <v/>
      </c>
      <c r="AC44">
        <f>HYPERLINK("https://klasma.github.io/Logging_0680/tillsyn/A 21006-2025 tillsynsbegäran.docx", "A 21006-2025")</f>
        <v/>
      </c>
      <c r="AD44">
        <f>HYPERLINK("https://klasma.github.io/Logging_0680/tillsynsmail/A 21006-2025 tillsynsbegäran mail.docx", "A 21006-2025")</f>
        <v/>
      </c>
      <c r="AE44">
        <f>HYPERLINK("https://klasma.github.io/Logging_0680/fåglar/A 21006-2025 prioriterade fågelarter.docx", "A 21006-2025")</f>
        <v/>
      </c>
    </row>
    <row r="45" ht="15" customHeight="1">
      <c r="A45" t="inlineStr">
        <is>
          <t>A 21591-2025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45783</v>
      </c>
      <c r="E45" s="1" t="n">
        <v>46321</v>
      </c>
      <c r="F45" t="inlineStr">
        <is>
          <t>JÖNKÖPINGS LÄN</t>
        </is>
      </c>
      <c r="G45" t="inlineStr">
        <is>
          <t>JÖNKÖPING</t>
        </is>
      </c>
      <c r="I45" t="n">
        <v>4.6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Svinrot
Sotlav
Nattviol</t>
        </is>
      </c>
      <c r="W45">
        <f>HYPERLINK("https://klasma.github.io/Logging_0680/artfynd/A 21591-2025 artfynd.xlsx", "A 21591-2025")</f>
        <v/>
      </c>
      <c r="X45">
        <f>HYPERLINK("https://klasma.github.io/Logging_0680/kartor/A 21591-2025 karta.png", "A 21591-2025")</f>
        <v/>
      </c>
      <c r="Y45">
        <f>HYPERLINK("https://klasma.github.io/Logging_0680/kartor_geotiff/A 21591-2025 georefererad karta.tif", "A 21591-2025")</f>
        <v/>
      </c>
      <c r="AA45">
        <f>HYPERLINK("https://klasma.github.io/Logging_0680/klagomål/A 21591-2025 FSC-klagomål.docx", "A 21591-2025")</f>
        <v/>
      </c>
      <c r="AB45">
        <f>HYPERLINK("https://klasma.github.io/Logging_0680/klagomålsmail/A 21591-2025 FSC-klagomål mail.docx", "A 21591-2025")</f>
        <v/>
      </c>
      <c r="AC45">
        <f>HYPERLINK("https://klasma.github.io/Logging_0680/tillsyn/A 21591-2025 tillsynsbegäran.docx", "A 21591-2025")</f>
        <v/>
      </c>
      <c r="AD45">
        <f>HYPERLINK("https://klasma.github.io/Logging_0680/tillsynsmail/A 21591-2025 tillsynsbegäran mail.docx", "A 21591-2025")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46321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46321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46321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46321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2486-2023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44943</v>
      </c>
      <c r="E50" s="1" t="n">
        <v>46321</v>
      </c>
      <c r="F50" t="inlineStr">
        <is>
          <t>JÖNKÖPINGS LÄN</t>
        </is>
      </c>
      <c r="G50" t="inlineStr">
        <is>
          <t>JÖNKÖPING</t>
        </is>
      </c>
      <c r="I50" t="n">
        <v>2.5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Solvända
Fällmossa</t>
        </is>
      </c>
      <c r="W50">
        <f>HYPERLINK("https://klasma.github.io/Logging_0680/artfynd/A 2486-2023 artfynd.xlsx", "A 2486-2023")</f>
        <v/>
      </c>
      <c r="X50">
        <f>HYPERLINK("https://klasma.github.io/Logging_0680/kartor/A 2486-2023 karta.png", "A 2486-2023")</f>
        <v/>
      </c>
      <c r="Y50">
        <f>HYPERLINK("https://klasma.github.io/Logging_0680/kartor_geotiff/A 2486-2023 georefererad karta.tif", "A 2486-2023")</f>
        <v/>
      </c>
      <c r="AA50">
        <f>HYPERLINK("https://klasma.github.io/Logging_0680/klagomål/A 2486-2023 FSC-klagomål.docx", "A 2486-2023")</f>
        <v/>
      </c>
      <c r="AB50">
        <f>HYPERLINK("https://klasma.github.io/Logging_0680/klagomålsmail/A 2486-2023 FSC-klagomål mail.docx", "A 2486-2023")</f>
        <v/>
      </c>
      <c r="AC50">
        <f>HYPERLINK("https://klasma.github.io/Logging_0680/tillsyn/A 2486-2023 tillsynsbegäran.docx", "A 2486-2023")</f>
        <v/>
      </c>
      <c r="AD50">
        <f>HYPERLINK("https://klasma.github.io/Logging_0680/tillsynsmail/A 2486-2023 tillsynsbegäran mail.docx", "A 2486-2023")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46321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25071-2026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46174</v>
      </c>
      <c r="E52" s="1" t="n">
        <v>46321</v>
      </c>
      <c r="F52" t="inlineStr">
        <is>
          <t>JÖNKÖPINGS LÄN</t>
        </is>
      </c>
      <c r="G52" t="inlineStr">
        <is>
          <t>JÖNKÖPING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Nattskärra
Tjäder</t>
        </is>
      </c>
      <c r="W52">
        <f>HYPERLINK("https://klasma.github.io/Logging_0680/artfynd/A 25071-2026 artfynd.xlsx", "A 25071-2026")</f>
        <v/>
      </c>
      <c r="X52">
        <f>HYPERLINK("https://klasma.github.io/Logging_0680/kartor/A 25071-2026 karta.png", "A 25071-2026")</f>
        <v/>
      </c>
      <c r="Y52">
        <f>HYPERLINK("https://klasma.github.io/Logging_0680/kartor_geotiff/A 25071-2026 georefererad karta.tif", "A 25071-2026")</f>
        <v/>
      </c>
      <c r="AA52">
        <f>HYPERLINK("https://klasma.github.io/Logging_0680/klagomål/A 25071-2026 FSC-klagomål.docx", "A 25071-2026")</f>
        <v/>
      </c>
      <c r="AB52">
        <f>HYPERLINK("https://klasma.github.io/Logging_0680/klagomålsmail/A 25071-2026 FSC-klagomål mail.docx", "A 25071-2026")</f>
        <v/>
      </c>
      <c r="AC52">
        <f>HYPERLINK("https://klasma.github.io/Logging_0680/tillsyn/A 25071-2026 tillsynsbegäran.docx", "A 25071-2026")</f>
        <v/>
      </c>
      <c r="AD52">
        <f>HYPERLINK("https://klasma.github.io/Logging_0680/tillsynsmail/A 25071-2026 tillsynsbegäran mail.docx", "A 25071-2026")</f>
        <v/>
      </c>
      <c r="AE52">
        <f>HYPERLINK("https://klasma.github.io/Logging_0680/fåglar/A 25071-2026 prioriterade fågelarter.docx", "A 25071-2026")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46321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46321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9974-2023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46321</v>
      </c>
      <c r="F55" t="inlineStr">
        <is>
          <t>JÖNKÖPINGS LÄN</t>
        </is>
      </c>
      <c r="G55" t="inlineStr">
        <is>
          <t>JÖNKÖPING</t>
        </is>
      </c>
      <c r="I55" t="n">
        <v>1.2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Entita
Kungsfågel</t>
        </is>
      </c>
      <c r="W55">
        <f>HYPERLINK("https://klasma.github.io/Logging_0680/artfynd/A 9974-2023 artfynd.xlsx", "A 9974-2023")</f>
        <v/>
      </c>
      <c r="X55">
        <f>HYPERLINK("https://klasma.github.io/Logging_0680/kartor/A 9974-2023 karta.png", "A 9974-2023")</f>
        <v/>
      </c>
      <c r="Y55">
        <f>HYPERLINK("https://klasma.github.io/Logging_0680/kartor_geotiff/A 9974-2023 georefererad karta.tif", "A 9974-2023")</f>
        <v/>
      </c>
      <c r="AA55">
        <f>HYPERLINK("https://klasma.github.io/Logging_0680/klagomål/A 9974-2023 FSC-klagomål.docx", "A 9974-2023")</f>
        <v/>
      </c>
      <c r="AB55">
        <f>HYPERLINK("https://klasma.github.io/Logging_0680/klagomålsmail/A 9974-2023 FSC-klagomål mail.docx", "A 9974-2023")</f>
        <v/>
      </c>
      <c r="AC55">
        <f>HYPERLINK("https://klasma.github.io/Logging_0680/tillsyn/A 9974-2023 tillsynsbegäran.docx", "A 9974-2023")</f>
        <v/>
      </c>
      <c r="AD55">
        <f>HYPERLINK("https://klasma.github.io/Logging_0680/tillsynsmail/A 9974-2023 tillsynsbegäran mail.docx", "A 9974-2023")</f>
        <v/>
      </c>
      <c r="AE55">
        <f>HYPERLINK("https://klasma.github.io/Logging_0680/fåglar/A 9974-2023 prioriterade fågelarter.docx", "A 9974-2023")</f>
        <v/>
      </c>
    </row>
    <row r="56" ht="15" customHeight="1">
      <c r="A56" t="inlineStr">
        <is>
          <t>A 28211-2026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46321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Backtimjan
Solvända</t>
        </is>
      </c>
      <c r="W56">
        <f>HYPERLINK("https://klasma.github.io/Logging_0680/artfynd/A 28211-2026 artfynd.xlsx", "A 28211-2026")</f>
        <v/>
      </c>
      <c r="X56">
        <f>HYPERLINK("https://klasma.github.io/Logging_0680/kartor/A 28211-2026 karta.png", "A 28211-2026")</f>
        <v/>
      </c>
      <c r="Y56">
        <f>HYPERLINK("https://klasma.github.io/Logging_0680/kartor_geotiff/A 28211-2026 georefererad karta.tif", "A 28211-2026")</f>
        <v/>
      </c>
      <c r="AA56">
        <f>HYPERLINK("https://klasma.github.io/Logging_0680/klagomål/A 28211-2026 FSC-klagomål.docx", "A 28211-2026")</f>
        <v/>
      </c>
      <c r="AB56">
        <f>HYPERLINK("https://klasma.github.io/Logging_0680/klagomålsmail/A 28211-2026 FSC-klagomål mail.docx", "A 28211-2026")</f>
        <v/>
      </c>
      <c r="AC56">
        <f>HYPERLINK("https://klasma.github.io/Logging_0680/tillsyn/A 28211-2026 tillsynsbegäran.docx", "A 28211-2026")</f>
        <v/>
      </c>
      <c r="AD56">
        <f>HYPERLINK("https://klasma.github.io/Logging_0680/tillsynsmail/A 28211-2026 tillsynsbegäran mail.docx", "A 28211-2026")</f>
        <v/>
      </c>
    </row>
    <row r="57" ht="15" customHeight="1">
      <c r="A57" t="inlineStr">
        <is>
          <t>A 31770-2026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46321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Grönpyrola</t>
        </is>
      </c>
      <c r="W57">
        <f>HYPERLINK("https://klasma.github.io/Logging_0680/artfynd/A 31770-2026 artfynd.xlsx", "A 31770-2026")</f>
        <v/>
      </c>
      <c r="X57">
        <f>HYPERLINK("https://klasma.github.io/Logging_0680/kartor/A 31770-2026 karta.png", "A 31770-2026")</f>
        <v/>
      </c>
      <c r="Y57">
        <f>HYPERLINK("https://klasma.github.io/Logging_0680/kartor_geotiff/A 31770-2026 georefererad karta.tif", "A 31770-2026")</f>
        <v/>
      </c>
      <c r="Z57">
        <f>HYPERLINK("https://klasma.github.io/Logging_0680/knärot/A 31770-2026 karta knärot.png", "A 31770-2026")</f>
        <v/>
      </c>
      <c r="AA57">
        <f>HYPERLINK("https://klasma.github.io/Logging_0680/klagomål/A 31770-2026 FSC-klagomål.docx", "A 31770-2026")</f>
        <v/>
      </c>
      <c r="AB57">
        <f>HYPERLINK("https://klasma.github.io/Logging_0680/klagomålsmail/A 31770-2026 FSC-klagomål mail.docx", "A 31770-2026")</f>
        <v/>
      </c>
      <c r="AC57">
        <f>HYPERLINK("https://klasma.github.io/Logging_0680/tillsyn/A 31770-2026 tillsynsbegäran.docx", "A 31770-2026")</f>
        <v/>
      </c>
      <c r="AD57">
        <f>HYPERLINK("https://klasma.github.io/Logging_0680/tillsynsmail/A 31770-2026 tillsynsbegäran mail.docx", "A 31770-2026")</f>
        <v/>
      </c>
    </row>
    <row r="58" ht="15" customHeight="1">
      <c r="A58" t="inlineStr">
        <is>
          <t>A 38934-2026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46321</v>
      </c>
      <c r="F58" t="inlineStr">
        <is>
          <t>JÖNKÖPINGS LÄN</t>
        </is>
      </c>
      <c r="G58" t="inlineStr">
        <is>
          <t>JÖNKÖPING</t>
        </is>
      </c>
      <c r="I58" t="n">
        <v>3.9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6</v>
      </c>
      <c r="U58" t="n">
        <v>0</v>
      </c>
      <c r="V58" s="2" t="inlineStr">
        <is>
          <t>Knärot
Revlummer</t>
        </is>
      </c>
      <c r="W58">
        <f>HYPERLINK("https://klasma.github.io/Logging_0680/artfynd/A 38934-2026 artfynd.xlsx", "A 38934-2026")</f>
        <v/>
      </c>
      <c r="X58">
        <f>HYPERLINK("https://klasma.github.io/Logging_0680/kartor/A 38934-2026 karta.png", "A 38934-2026")</f>
        <v/>
      </c>
      <c r="Y58">
        <f>HYPERLINK("https://klasma.github.io/Logging_0680/kartor_geotiff/A 38934-2026 georefererad karta.tif", "A 38934-2026")</f>
        <v/>
      </c>
      <c r="Z58">
        <f>HYPERLINK("https://klasma.github.io/Logging_0680/knärot/A 38934-2026 karta knärot.png", "A 38934-2026")</f>
        <v/>
      </c>
      <c r="AA58">
        <f>HYPERLINK("https://klasma.github.io/Logging_0680/klagomål/A 38934-2026 FSC-klagomål.docx", "A 38934-2026")</f>
        <v/>
      </c>
      <c r="AB58">
        <f>HYPERLINK("https://klasma.github.io/Logging_0680/klagomålsmail/A 38934-2026 FSC-klagomål mail.docx", "A 38934-2026")</f>
        <v/>
      </c>
      <c r="AC58">
        <f>HYPERLINK("https://klasma.github.io/Logging_0680/tillsyn/A 38934-2026 tillsynsbegäran.docx", "A 38934-2026")</f>
        <v/>
      </c>
      <c r="AD58">
        <f>HYPERLINK("https://klasma.github.io/Logging_0680/tillsynsmail/A 38934-2026 tillsynsbegäran mail.docx", "A 38934-2026")</f>
        <v/>
      </c>
    </row>
    <row r="59" ht="15" customHeight="1">
      <c r="A59" t="inlineStr">
        <is>
          <t>A 23066-2025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45790</v>
      </c>
      <c r="E59" s="1" t="n">
        <v>46321</v>
      </c>
      <c r="F59" t="inlineStr">
        <is>
          <t>JÖNKÖPINGS LÄN</t>
        </is>
      </c>
      <c r="G59" t="inlineStr">
        <is>
          <t>JÖNKÖPING</t>
        </is>
      </c>
      <c r="I59" t="n">
        <v>1.5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Slåttergubbe
Nattviol</t>
        </is>
      </c>
      <c r="W59">
        <f>HYPERLINK("https://klasma.github.io/Logging_0680/artfynd/A 23066-2025 artfynd.xlsx", "A 23066-2025")</f>
        <v/>
      </c>
      <c r="X59">
        <f>HYPERLINK("https://klasma.github.io/Logging_0680/kartor/A 23066-2025 karta.png", "A 23066-2025")</f>
        <v/>
      </c>
      <c r="Y59">
        <f>HYPERLINK("https://klasma.github.io/Logging_0680/kartor_geotiff/A 23066-2025 georefererad karta.tif", "A 23066-2025")</f>
        <v/>
      </c>
      <c r="AA59">
        <f>HYPERLINK("https://klasma.github.io/Logging_0680/klagomål/A 23066-2025 FSC-klagomål.docx", "A 23066-2025")</f>
        <v/>
      </c>
      <c r="AB59">
        <f>HYPERLINK("https://klasma.github.io/Logging_0680/klagomålsmail/A 23066-2025 FSC-klagomål mail.docx", "A 23066-2025")</f>
        <v/>
      </c>
      <c r="AC59">
        <f>HYPERLINK("https://klasma.github.io/Logging_0680/tillsyn/A 23066-2025 tillsynsbegäran.docx", "A 23066-2025")</f>
        <v/>
      </c>
      <c r="AD59">
        <f>HYPERLINK("https://klasma.github.io/Logging_0680/tillsynsmail/A 23066-2025 tillsynsbegäran mail.docx", "A 23066-2025")</f>
        <v/>
      </c>
    </row>
    <row r="60" ht="15" customHeight="1">
      <c r="A60" t="inlineStr">
        <is>
          <t>A 3361-2025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46321</v>
      </c>
      <c r="F60" t="inlineStr">
        <is>
          <t>JÖNKÖPINGS LÄN</t>
        </is>
      </c>
      <c r="G60" t="inlineStr">
        <is>
          <t>JÖNKÖPING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Vårärt
Blåsippa</t>
        </is>
      </c>
      <c r="W60">
        <f>HYPERLINK("https://klasma.github.io/Logging_0680/artfynd/A 3361-2025 artfynd.xlsx", "A 3361-2025")</f>
        <v/>
      </c>
      <c r="X60">
        <f>HYPERLINK("https://klasma.github.io/Logging_0680/kartor/A 3361-2025 karta.png", "A 3361-2025")</f>
        <v/>
      </c>
      <c r="Y60">
        <f>HYPERLINK("https://klasma.github.io/Logging_0680/kartor_geotiff/A 3361-2025 georefererad karta.tif", "A 3361-2025")</f>
        <v/>
      </c>
      <c r="AA60">
        <f>HYPERLINK("https://klasma.github.io/Logging_0680/klagomål/A 3361-2025 FSC-klagomål.docx", "A 3361-2025")</f>
        <v/>
      </c>
      <c r="AB60">
        <f>HYPERLINK("https://klasma.github.io/Logging_0680/klagomålsmail/A 3361-2025 FSC-klagomål mail.docx", "A 3361-2025")</f>
        <v/>
      </c>
      <c r="AC60">
        <f>HYPERLINK("https://klasma.github.io/Logging_0680/tillsyn/A 3361-2025 tillsynsbegäran.docx", "A 3361-2025")</f>
        <v/>
      </c>
      <c r="AD60">
        <f>HYPERLINK("https://klasma.github.io/Logging_0680/tillsynsmail/A 3361-2025 tillsynsbegäran mail.docx", "A 3361-2025")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46321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46321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46321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51183-2024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46321</v>
      </c>
      <c r="F64" t="inlineStr">
        <is>
          <t>JÖNKÖPINGS LÄN</t>
        </is>
      </c>
      <c r="G64" t="inlineStr">
        <is>
          <t>JÖNKÖPING</t>
        </is>
      </c>
      <c r="I64" t="n">
        <v>5.9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Sångsvan
Trana</t>
        </is>
      </c>
      <c r="W64">
        <f>HYPERLINK("https://klasma.github.io/Logging_0680/artfynd/A 51183-2024 artfynd.xlsx", "A 51183-2024")</f>
        <v/>
      </c>
      <c r="X64">
        <f>HYPERLINK("https://klasma.github.io/Logging_0680/kartor/A 51183-2024 karta.png", "A 51183-2024")</f>
        <v/>
      </c>
      <c r="Y64">
        <f>HYPERLINK("https://klasma.github.io/Logging_0680/kartor_geotiff/A 51183-2024 georefererad karta.tif", "A 51183-2024")</f>
        <v/>
      </c>
      <c r="AA64">
        <f>HYPERLINK("https://klasma.github.io/Logging_0680/klagomål/A 51183-2024 FSC-klagomål.docx", "A 51183-2024")</f>
        <v/>
      </c>
      <c r="AB64">
        <f>HYPERLINK("https://klasma.github.io/Logging_0680/klagomålsmail/A 51183-2024 FSC-klagomål mail.docx", "A 51183-2024")</f>
        <v/>
      </c>
      <c r="AC64">
        <f>HYPERLINK("https://klasma.github.io/Logging_0680/tillsyn/A 51183-2024 tillsynsbegäran.docx", "A 51183-2024")</f>
        <v/>
      </c>
      <c r="AD64">
        <f>HYPERLINK("https://klasma.github.io/Logging_0680/tillsynsmail/A 51183-2024 tillsynsbegäran mail.docx", "A 51183-2024")</f>
        <v/>
      </c>
      <c r="AE64">
        <f>HYPERLINK("https://klasma.github.io/Logging_0680/fåglar/A 51183-2024 prioriterade fågelarter.docx", "A 51183-2024")</f>
        <v/>
      </c>
    </row>
    <row r="65" ht="15" customHeight="1">
      <c r="A65" t="inlineStr">
        <is>
          <t>A 45917-2024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45580</v>
      </c>
      <c r="E65" s="1" t="n">
        <v>46321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Lunglav
Grön sköldmossa</t>
        </is>
      </c>
      <c r="W65">
        <f>HYPERLINK("https://klasma.github.io/Logging_0680/artfynd/A 45917-2024 artfynd.xlsx", "A 45917-2024")</f>
        <v/>
      </c>
      <c r="X65">
        <f>HYPERLINK("https://klasma.github.io/Logging_0680/kartor/A 45917-2024 karta.png", "A 45917-2024")</f>
        <v/>
      </c>
      <c r="Y65">
        <f>HYPERLINK("https://klasma.github.io/Logging_0680/kartor_geotiff/A 45917-2024 georefererad karta.tif", "A 45917-2024")</f>
        <v/>
      </c>
      <c r="AA65">
        <f>HYPERLINK("https://klasma.github.io/Logging_0680/klagomål/A 45917-2024 FSC-klagomål.docx", "A 45917-2024")</f>
        <v/>
      </c>
      <c r="AB65">
        <f>HYPERLINK("https://klasma.github.io/Logging_0680/klagomålsmail/A 45917-2024 FSC-klagomål mail.docx", "A 45917-2024")</f>
        <v/>
      </c>
      <c r="AC65">
        <f>HYPERLINK("https://klasma.github.io/Logging_0680/tillsyn/A 45917-2024 tillsynsbegäran.docx", "A 45917-2024")</f>
        <v/>
      </c>
      <c r="AD65">
        <f>HYPERLINK("https://klasma.github.io/Logging_0680/tillsynsmail/A 45917-2024 tillsynsbegäran mail.docx", "A 45917-2024")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46321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22303-2024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46321</v>
      </c>
      <c r="F67" t="inlineStr">
        <is>
          <t>JÖNKÖPINGS LÄN</t>
        </is>
      </c>
      <c r="G67" t="inlineStr">
        <is>
          <t>JÖNKÖPING</t>
        </is>
      </c>
      <c r="I67" t="n">
        <v>4.1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Grönvit nattviol</t>
        </is>
      </c>
      <c r="W67">
        <f>HYPERLINK("https://klasma.github.io/Logging_0680/artfynd/A 22303-2024 artfynd.xlsx", "A 22303-2024")</f>
        <v/>
      </c>
      <c r="X67">
        <f>HYPERLINK("https://klasma.github.io/Logging_0680/kartor/A 22303-2024 karta.png", "A 22303-2024")</f>
        <v/>
      </c>
      <c r="Y67">
        <f>HYPERLINK("https://klasma.github.io/Logging_0680/kartor_geotiff/A 22303-2024 georefererad karta.tif", "A 22303-2024")</f>
        <v/>
      </c>
      <c r="AA67">
        <f>HYPERLINK("https://klasma.github.io/Logging_0680/klagomål/A 22303-2024 FSC-klagomål.docx", "A 22303-2024")</f>
        <v/>
      </c>
      <c r="AB67">
        <f>HYPERLINK("https://klasma.github.io/Logging_0680/klagomålsmail/A 22303-2024 FSC-klagomål mail.docx", "A 22303-2024")</f>
        <v/>
      </c>
      <c r="AC67">
        <f>HYPERLINK("https://klasma.github.io/Logging_0680/tillsyn/A 22303-2024 tillsynsbegäran.docx", "A 22303-2024")</f>
        <v/>
      </c>
      <c r="AD67">
        <f>HYPERLINK("https://klasma.github.io/Logging_0680/tillsynsmail/A 22303-2024 tillsynsbegäran mail.docx", "A 22303-2024")</f>
        <v/>
      </c>
    </row>
    <row r="68" ht="15" customHeight="1">
      <c r="A68" t="inlineStr">
        <is>
          <t>A 5291-2024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46321</v>
      </c>
      <c r="F68" t="inlineStr">
        <is>
          <t>JÖNKÖPINGS LÄN</t>
        </is>
      </c>
      <c r="G68" t="inlineStr">
        <is>
          <t>JÖNKÖPING</t>
        </is>
      </c>
      <c r="I68" t="n">
        <v>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Grönvit nattviol</t>
        </is>
      </c>
      <c r="W68">
        <f>HYPERLINK("https://klasma.github.io/Logging_0680/artfynd/A 5291-2024 artfynd.xlsx", "A 5291-2024")</f>
        <v/>
      </c>
      <c r="X68">
        <f>HYPERLINK("https://klasma.github.io/Logging_0680/kartor/A 5291-2024 karta.png", "A 5291-2024")</f>
        <v/>
      </c>
      <c r="Y68">
        <f>HYPERLINK("https://klasma.github.io/Logging_0680/kartor_geotiff/A 5291-2024 georefererad karta.tif", "A 5291-2024")</f>
        <v/>
      </c>
      <c r="AA68">
        <f>HYPERLINK("https://klasma.github.io/Logging_0680/klagomål/A 5291-2024 FSC-klagomål.docx", "A 5291-2024")</f>
        <v/>
      </c>
      <c r="AB68">
        <f>HYPERLINK("https://klasma.github.io/Logging_0680/klagomålsmail/A 5291-2024 FSC-klagomål mail.docx", "A 5291-2024")</f>
        <v/>
      </c>
      <c r="AC68">
        <f>HYPERLINK("https://klasma.github.io/Logging_0680/tillsyn/A 5291-2024 tillsynsbegäran.docx", "A 5291-2024")</f>
        <v/>
      </c>
      <c r="AD68">
        <f>HYPERLINK("https://klasma.github.io/Logging_0680/tillsynsmail/A 5291-2024 tillsynsbegäran mail.docx", "A 5291-2024")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46321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46321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36799-2024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46321</v>
      </c>
      <c r="F71" t="inlineStr">
        <is>
          <t>JÖNKÖPINGS LÄN</t>
        </is>
      </c>
      <c r="G71" t="inlineStr">
        <is>
          <t>JÖNKÖPING</t>
        </is>
      </c>
      <c r="I71" t="n">
        <v>1.1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Svinrot
Grönpyrola</t>
        </is>
      </c>
      <c r="W71">
        <f>HYPERLINK("https://klasma.github.io/Logging_0680/artfynd/A 36799-2024 artfynd.xlsx", "A 36799-2024")</f>
        <v/>
      </c>
      <c r="X71">
        <f>HYPERLINK("https://klasma.github.io/Logging_0680/kartor/A 36799-2024 karta.png", "A 36799-2024")</f>
        <v/>
      </c>
      <c r="Y71">
        <f>HYPERLINK("https://klasma.github.io/Logging_0680/kartor_geotiff/A 36799-2024 georefererad karta.tif", "A 36799-2024")</f>
        <v/>
      </c>
      <c r="AA71">
        <f>HYPERLINK("https://klasma.github.io/Logging_0680/klagomål/A 36799-2024 FSC-klagomål.docx", "A 36799-2024")</f>
        <v/>
      </c>
      <c r="AB71">
        <f>HYPERLINK("https://klasma.github.io/Logging_0680/klagomålsmail/A 36799-2024 FSC-klagomål mail.docx", "A 36799-2024")</f>
        <v/>
      </c>
      <c r="AC71">
        <f>HYPERLINK("https://klasma.github.io/Logging_0680/tillsyn/A 36799-2024 tillsynsbegäran.docx", "A 36799-2024")</f>
        <v/>
      </c>
      <c r="AD71">
        <f>HYPERLINK("https://klasma.github.io/Logging_0680/tillsynsmail/A 36799-2024 tillsynsbegäran mail.docx", "A 36799-2024")</f>
        <v/>
      </c>
    </row>
    <row r="72" ht="15" customHeight="1">
      <c r="A72" t="inlineStr">
        <is>
          <t>A 1235-2024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46321</v>
      </c>
      <c r="F72" t="inlineStr">
        <is>
          <t>JÖNKÖPINGS LÄN</t>
        </is>
      </c>
      <c r="G72" t="inlineStr">
        <is>
          <t>JÖNKÖPING</t>
        </is>
      </c>
      <c r="I72" t="n">
        <v>2.8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Lakritsmusseron
Dropptaggsvamp</t>
        </is>
      </c>
      <c r="W72">
        <f>HYPERLINK("https://klasma.github.io/Logging_0680/artfynd/A 1235-2024 artfynd.xlsx", "A 1235-2024")</f>
        <v/>
      </c>
      <c r="X72">
        <f>HYPERLINK("https://klasma.github.io/Logging_0680/kartor/A 1235-2024 karta.png", "A 1235-2024")</f>
        <v/>
      </c>
      <c r="Y72">
        <f>HYPERLINK("https://klasma.github.io/Logging_0680/kartor_geotiff/A 1235-2024 georefererad karta.tif", "A 1235-2024")</f>
        <v/>
      </c>
      <c r="AA72">
        <f>HYPERLINK("https://klasma.github.io/Logging_0680/klagomål/A 1235-2024 FSC-klagomål.docx", "A 1235-2024")</f>
        <v/>
      </c>
      <c r="AB72">
        <f>HYPERLINK("https://klasma.github.io/Logging_0680/klagomålsmail/A 1235-2024 FSC-klagomål mail.docx", "A 1235-2024")</f>
        <v/>
      </c>
      <c r="AC72">
        <f>HYPERLINK("https://klasma.github.io/Logging_0680/tillsyn/A 1235-2024 tillsynsbegäran.docx", "A 1235-2024")</f>
        <v/>
      </c>
      <c r="AD72">
        <f>HYPERLINK("https://klasma.github.io/Logging_0680/tillsynsmail/A 1235-2024 tillsynsbegäran mail.docx", "A 1235-2024")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46321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46321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46321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46321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46321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46321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46321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46321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46321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46321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43624-2023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46321</v>
      </c>
      <c r="F83" t="inlineStr">
        <is>
          <t>JÖNKÖPINGS LÄN</t>
        </is>
      </c>
      <c r="G83" t="inlineStr">
        <is>
          <t>JÖNKÖPING</t>
        </is>
      </c>
      <c r="I83" t="n">
        <v>4.1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HYPERLINK("https://klasma.github.io/Logging_0680/artfynd/A 43624-2023 artfynd.xlsx", "A 43624-2023")</f>
        <v/>
      </c>
      <c r="X83">
        <f>HYPERLINK("https://klasma.github.io/Logging_0680/kartor/A 43624-2023 karta.png", "A 43624-2023")</f>
        <v/>
      </c>
      <c r="Y83">
        <f>HYPERLINK("https://klasma.github.io/Logging_0680/kartor_geotiff/A 43624-2023 georefererad karta.tif", "A 43624-2023")</f>
        <v/>
      </c>
      <c r="AA83">
        <f>HYPERLINK("https://klasma.github.io/Logging_0680/klagomål/A 43624-2023 FSC-klagomål.docx", "A 43624-2023")</f>
        <v/>
      </c>
      <c r="AB83">
        <f>HYPERLINK("https://klasma.github.io/Logging_0680/klagomålsmail/A 43624-2023 FSC-klagomål mail.docx", "A 43624-2023")</f>
        <v/>
      </c>
      <c r="AC83">
        <f>HYPERLINK("https://klasma.github.io/Logging_0680/tillsyn/A 43624-2023 tillsynsbegäran.docx", "A 43624-2023")</f>
        <v/>
      </c>
      <c r="AD83">
        <f>HYPERLINK("https://klasma.github.io/Logging_0680/tillsynsmail/A 43624-2023 tillsynsbegäran mail.docx", "A 43624-2023")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46321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23234-2026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46321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Klasefibbla</t>
        </is>
      </c>
      <c r="W85">
        <f>HYPERLINK("https://klasma.github.io/Logging_0680/artfynd/A 23234-2026 artfynd.xlsx", "A 23234-2026")</f>
        <v/>
      </c>
      <c r="X85">
        <f>HYPERLINK("https://klasma.github.io/Logging_0680/kartor/A 23234-2026 karta.png", "A 23234-2026")</f>
        <v/>
      </c>
      <c r="Y85">
        <f>HYPERLINK("https://klasma.github.io/Logging_0680/kartor_geotiff/A 23234-2026 georefererad karta.tif", "A 23234-2026")</f>
        <v/>
      </c>
      <c r="AA85">
        <f>HYPERLINK("https://klasma.github.io/Logging_0680/klagomål/A 23234-2026 FSC-klagomål.docx", "A 23234-2026")</f>
        <v/>
      </c>
      <c r="AB85">
        <f>HYPERLINK("https://klasma.github.io/Logging_0680/klagomålsmail/A 23234-2026 FSC-klagomål mail.docx", "A 23234-2026")</f>
        <v/>
      </c>
      <c r="AC85">
        <f>HYPERLINK("https://klasma.github.io/Logging_0680/tillsyn/A 23234-2026 tillsynsbegäran.docx", "A 23234-2026")</f>
        <v/>
      </c>
      <c r="AD85">
        <f>HYPERLINK("https://klasma.github.io/Logging_0680/tillsynsmail/A 23234-2026 tillsynsbegäran mail.docx", "A 23234-2026")</f>
        <v/>
      </c>
    </row>
    <row r="86" ht="15" customHeight="1">
      <c r="A86" t="inlineStr">
        <is>
          <t>A 5898-2023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46321</v>
      </c>
      <c r="F86" t="inlineStr">
        <is>
          <t>JÖNKÖPINGS LÄN</t>
        </is>
      </c>
      <c r="G86" t="inlineStr">
        <is>
          <t>JÖNKÖPING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Utter</t>
        </is>
      </c>
      <c r="W86">
        <f>HYPERLINK("https://klasma.github.io/Logging_0680/artfynd/A 5898-2023 artfynd.xlsx", "A 5898-2023")</f>
        <v/>
      </c>
      <c r="X86">
        <f>HYPERLINK("https://klasma.github.io/Logging_0680/kartor/A 5898-2023 karta.png", "A 5898-2023")</f>
        <v/>
      </c>
      <c r="Y86">
        <f>HYPERLINK("https://klasma.github.io/Logging_0680/kartor_geotiff/A 5898-2023 georefererad karta.tif", "A 5898-2023")</f>
        <v/>
      </c>
      <c r="AA86">
        <f>HYPERLINK("https://klasma.github.io/Logging_0680/klagomål/A 5898-2023 FSC-klagomål.docx", "A 5898-2023")</f>
        <v/>
      </c>
      <c r="AB86">
        <f>HYPERLINK("https://klasma.github.io/Logging_0680/klagomålsmail/A 5898-2023 FSC-klagomål mail.docx", "A 5898-2023")</f>
        <v/>
      </c>
      <c r="AC86">
        <f>HYPERLINK("https://klasma.github.io/Logging_0680/tillsyn/A 5898-2023 tillsynsbegäran.docx", "A 5898-2023")</f>
        <v/>
      </c>
      <c r="AD86">
        <f>HYPERLINK("https://klasma.github.io/Logging_0680/tillsynsmail/A 5898-2023 tillsynsbegäran mail.docx", "A 5898-2023")</f>
        <v/>
      </c>
    </row>
    <row r="87" ht="15" customHeight="1">
      <c r="A87" t="inlineStr">
        <is>
          <t>A 23260-2026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46162</v>
      </c>
      <c r="E87" s="1" t="n">
        <v>46321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HYPERLINK("https://klasma.github.io/Logging_0680/artfynd/A 23260-2026 artfynd.xlsx", "A 23260-2026")</f>
        <v/>
      </c>
      <c r="X87">
        <f>HYPERLINK("https://klasma.github.io/Logging_0680/kartor/A 23260-2026 karta.png", "A 23260-2026")</f>
        <v/>
      </c>
      <c r="Y87">
        <f>HYPERLINK("https://klasma.github.io/Logging_0680/kartor_geotiff/A 23260-2026 georefererad karta.tif", "A 23260-2026")</f>
        <v/>
      </c>
      <c r="AA87">
        <f>HYPERLINK("https://klasma.github.io/Logging_0680/klagomål/A 23260-2026 FSC-klagomål.docx", "A 23260-2026")</f>
        <v/>
      </c>
      <c r="AB87">
        <f>HYPERLINK("https://klasma.github.io/Logging_0680/klagomålsmail/A 23260-2026 FSC-klagomål mail.docx", "A 23260-2026")</f>
        <v/>
      </c>
      <c r="AC87">
        <f>HYPERLINK("https://klasma.github.io/Logging_0680/tillsyn/A 23260-2026 tillsynsbegäran.docx", "A 23260-2026")</f>
        <v/>
      </c>
      <c r="AD87">
        <f>HYPERLINK("https://klasma.github.io/Logging_0680/tillsynsmail/A 23260-2026 tillsynsbegäran mail.docx", "A 23260-2026")</f>
        <v/>
      </c>
    </row>
    <row r="88" ht="15" customHeight="1">
      <c r="A88" t="inlineStr">
        <is>
          <t>A 11260-2023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46321</v>
      </c>
      <c r="F88" t="inlineStr">
        <is>
          <t>JÖNKÖPINGS LÄN</t>
        </is>
      </c>
      <c r="G88" t="inlineStr">
        <is>
          <t>JÖNKÖPING</t>
        </is>
      </c>
      <c r="I88" t="n">
        <v>2.4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11260-2023 artfynd.xlsx", "A 11260-2023")</f>
        <v/>
      </c>
      <c r="X88">
        <f>HYPERLINK("https://klasma.github.io/Logging_0680/kartor/A 11260-2023 karta.png", "A 11260-2023")</f>
        <v/>
      </c>
      <c r="Y88">
        <f>HYPERLINK("https://klasma.github.io/Logging_0680/kartor_geotiff/A 11260-2023 georefererad karta.tif", "A 11260-2023")</f>
        <v/>
      </c>
      <c r="Z88">
        <f>HYPERLINK("https://klasma.github.io/Logging_0680/knärot/A 11260-2023 karta knärot.png", "A 11260-2023")</f>
        <v/>
      </c>
      <c r="AA88">
        <f>HYPERLINK("https://klasma.github.io/Logging_0680/klagomål/A 11260-2023 FSC-klagomål.docx", "A 11260-2023")</f>
        <v/>
      </c>
      <c r="AB88">
        <f>HYPERLINK("https://klasma.github.io/Logging_0680/klagomålsmail/A 11260-2023 FSC-klagomål mail.docx", "A 11260-2023")</f>
        <v/>
      </c>
      <c r="AC88">
        <f>HYPERLINK("https://klasma.github.io/Logging_0680/tillsyn/A 11260-2023 tillsynsbegäran.docx", "A 11260-2023")</f>
        <v/>
      </c>
      <c r="AD88">
        <f>HYPERLINK("https://klasma.github.io/Logging_0680/tillsynsmail/A 11260-2023 tillsynsbegäran mail.docx", "A 11260-2023")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46321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40795-2024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45558</v>
      </c>
      <c r="E90" s="1" t="n">
        <v>46321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HYPERLINK("https://klasma.github.io/Logging_0680/artfynd/A 40795-2024 artfynd.xlsx", "A 40795-2024")</f>
        <v/>
      </c>
      <c r="X90">
        <f>HYPERLINK("https://klasma.github.io/Logging_0680/kartor/A 40795-2024 karta.png", "A 40795-2024")</f>
        <v/>
      </c>
      <c r="Y90">
        <f>HYPERLINK("https://klasma.github.io/Logging_0680/kartor_geotiff/A 40795-2024 georefererad karta.tif", "A 40795-2024")</f>
        <v/>
      </c>
      <c r="AA90">
        <f>HYPERLINK("https://klasma.github.io/Logging_0680/klagomål/A 40795-2024 FSC-klagomål.docx", "A 40795-2024")</f>
        <v/>
      </c>
      <c r="AB90">
        <f>HYPERLINK("https://klasma.github.io/Logging_0680/klagomålsmail/A 40795-2024 FSC-klagomål mail.docx", "A 40795-2024")</f>
        <v/>
      </c>
      <c r="AC90">
        <f>HYPERLINK("https://klasma.github.io/Logging_0680/tillsyn/A 40795-2024 tillsynsbegäran.docx", "A 40795-2024")</f>
        <v/>
      </c>
      <c r="AD90">
        <f>HYPERLINK("https://klasma.github.io/Logging_0680/tillsynsmail/A 40795-2024 tillsynsbegäran mail.docx", "A 40795-2024")</f>
        <v/>
      </c>
    </row>
    <row r="91" ht="15" customHeight="1">
      <c r="A91" t="inlineStr">
        <is>
          <t>A 20740-2024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46321</v>
      </c>
      <c r="F91" t="inlineStr">
        <is>
          <t>JÖNKÖPINGS LÄN</t>
        </is>
      </c>
      <c r="G91" t="inlineStr">
        <is>
          <t>JÖNKÖPING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Svartvit flugsnappare</t>
        </is>
      </c>
      <c r="W91">
        <f>HYPERLINK("https://klasma.github.io/Logging_0680/artfynd/A 20740-2024 artfynd.xlsx", "A 20740-2024")</f>
        <v/>
      </c>
      <c r="X91">
        <f>HYPERLINK("https://klasma.github.io/Logging_0680/kartor/A 20740-2024 karta.png", "A 20740-2024")</f>
        <v/>
      </c>
      <c r="Y91">
        <f>HYPERLINK("https://klasma.github.io/Logging_0680/kartor_geotiff/A 20740-2024 georefererad karta.tif", "A 20740-2024")</f>
        <v/>
      </c>
      <c r="AA91">
        <f>HYPERLINK("https://klasma.github.io/Logging_0680/klagomål/A 20740-2024 FSC-klagomål.docx", "A 20740-2024")</f>
        <v/>
      </c>
      <c r="AB91">
        <f>HYPERLINK("https://klasma.github.io/Logging_0680/klagomålsmail/A 20740-2024 FSC-klagomål mail.docx", "A 20740-2024")</f>
        <v/>
      </c>
      <c r="AC91">
        <f>HYPERLINK("https://klasma.github.io/Logging_0680/tillsyn/A 20740-2024 tillsynsbegäran.docx", "A 20740-2024")</f>
        <v/>
      </c>
      <c r="AD91">
        <f>HYPERLINK("https://klasma.github.io/Logging_0680/tillsynsmail/A 20740-2024 tillsynsbegäran mail.docx", "A 20740-2024")</f>
        <v/>
      </c>
    </row>
    <row r="92" ht="15" customHeight="1">
      <c r="A92" t="inlineStr">
        <is>
          <t>A 54424-2024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46321</v>
      </c>
      <c r="F92" t="inlineStr">
        <is>
          <t>JÖNKÖPINGS LÄN</t>
        </is>
      </c>
      <c r="G92" t="inlineStr">
        <is>
          <t>JÖNKÖPING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HYPERLINK("https://klasma.github.io/Logging_0680/artfynd/A 54424-2024 artfynd.xlsx", "A 54424-2024")</f>
        <v/>
      </c>
      <c r="X92">
        <f>HYPERLINK("https://klasma.github.io/Logging_0680/kartor/A 54424-2024 karta.png", "A 54424-2024")</f>
        <v/>
      </c>
      <c r="Y92">
        <f>HYPERLINK("https://klasma.github.io/Logging_0680/kartor_geotiff/A 54424-2024 georefererad karta.tif", "A 54424-2024")</f>
        <v/>
      </c>
      <c r="AA92">
        <f>HYPERLINK("https://klasma.github.io/Logging_0680/klagomål/A 54424-2024 FSC-klagomål.docx", "A 54424-2024")</f>
        <v/>
      </c>
      <c r="AB92">
        <f>HYPERLINK("https://klasma.github.io/Logging_0680/klagomålsmail/A 54424-2024 FSC-klagomål mail.docx", "A 54424-2024")</f>
        <v/>
      </c>
      <c r="AC92">
        <f>HYPERLINK("https://klasma.github.io/Logging_0680/tillsyn/A 54424-2024 tillsynsbegäran.docx", "A 54424-2024")</f>
        <v/>
      </c>
      <c r="AD92">
        <f>HYPERLINK("https://klasma.github.io/Logging_0680/tillsynsmail/A 54424-2024 tillsynsbegäran mail.docx", "A 54424-2024")</f>
        <v/>
      </c>
    </row>
    <row r="93" ht="15" customHeight="1">
      <c r="A93" t="inlineStr">
        <is>
          <t>A 28230-2024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46321</v>
      </c>
      <c r="F93" t="inlineStr">
        <is>
          <t>JÖNKÖPINGS LÄN</t>
        </is>
      </c>
      <c r="G93" t="inlineStr">
        <is>
          <t>JÖNKÖPING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HYPERLINK("https://klasma.github.io/Logging_0680/artfynd/A 28230-2024 artfynd.xlsx", "A 28230-2024")</f>
        <v/>
      </c>
      <c r="X93">
        <f>HYPERLINK("https://klasma.github.io/Logging_0680/kartor/A 28230-2024 karta.png", "A 28230-2024")</f>
        <v/>
      </c>
      <c r="Y93">
        <f>HYPERLINK("https://klasma.github.io/Logging_0680/kartor_geotiff/A 28230-2024 georefererad karta.tif", "A 28230-2024")</f>
        <v/>
      </c>
      <c r="AA93">
        <f>HYPERLINK("https://klasma.github.io/Logging_0680/klagomål/A 28230-2024 FSC-klagomål.docx", "A 28230-2024")</f>
        <v/>
      </c>
      <c r="AB93">
        <f>HYPERLINK("https://klasma.github.io/Logging_0680/klagomålsmail/A 28230-2024 FSC-klagomål mail.docx", "A 28230-2024")</f>
        <v/>
      </c>
      <c r="AC93">
        <f>HYPERLINK("https://klasma.github.io/Logging_0680/tillsyn/A 28230-2024 tillsynsbegäran.docx", "A 28230-2024")</f>
        <v/>
      </c>
      <c r="AD93">
        <f>HYPERLINK("https://klasma.github.io/Logging_0680/tillsynsmail/A 28230-2024 tillsynsbegäran mail.docx", "A 28230-2024")</f>
        <v/>
      </c>
    </row>
    <row r="94" ht="15" customHeight="1">
      <c r="A94" t="inlineStr">
        <is>
          <t>A 29462-2026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46321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HYPERLINK("https://klasma.github.io/Logging_0680/artfynd/A 29462-2026 artfynd.xlsx", "A 29462-2026")</f>
        <v/>
      </c>
      <c r="X94">
        <f>HYPERLINK("https://klasma.github.io/Logging_0680/kartor/A 29462-2026 karta.png", "A 29462-2026")</f>
        <v/>
      </c>
      <c r="Y94">
        <f>HYPERLINK("https://klasma.github.io/Logging_0680/kartor_geotiff/A 29462-2026 georefererad karta.tif", "A 29462-2026")</f>
        <v/>
      </c>
      <c r="Z94">
        <f>HYPERLINK("https://klasma.github.io/Logging_0680/knärot/A 29462-2026 karta knärot.png", "A 29462-2026")</f>
        <v/>
      </c>
      <c r="AA94">
        <f>HYPERLINK("https://klasma.github.io/Logging_0680/klagomål/A 29462-2026 FSC-klagomål.docx", "A 29462-2026")</f>
        <v/>
      </c>
      <c r="AB94">
        <f>HYPERLINK("https://klasma.github.io/Logging_0680/klagomålsmail/A 29462-2026 FSC-klagomål mail.docx", "A 29462-2026")</f>
        <v/>
      </c>
      <c r="AC94">
        <f>HYPERLINK("https://klasma.github.io/Logging_0680/tillsyn/A 29462-2026 tillsynsbegäran.docx", "A 29462-2026")</f>
        <v/>
      </c>
      <c r="AD94">
        <f>HYPERLINK("https://klasma.github.io/Logging_0680/tillsynsmail/A 29462-2026 tillsynsbegäran mail.docx", "A 29462-2026")</f>
        <v/>
      </c>
    </row>
    <row r="95" ht="15" customHeight="1">
      <c r="A95" t="inlineStr">
        <is>
          <t>A 30718-2026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46211</v>
      </c>
      <c r="E95" s="1" t="n">
        <v>46321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11.4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Spindelblomster</t>
        </is>
      </c>
      <c r="W95">
        <f>HYPERLINK("https://klasma.github.io/Logging_0680/artfynd/A 30718-2026 artfynd.xlsx", "A 30718-2026")</f>
        <v/>
      </c>
      <c r="X95">
        <f>HYPERLINK("https://klasma.github.io/Logging_0680/kartor/A 30718-2026 karta.png", "A 30718-2026")</f>
        <v/>
      </c>
      <c r="Y95">
        <f>HYPERLINK("https://klasma.github.io/Logging_0680/kartor_geotiff/A 30718-2026 georefererad karta.tif", "A 30718-2026")</f>
        <v/>
      </c>
      <c r="AA95">
        <f>HYPERLINK("https://klasma.github.io/Logging_0680/klagomål/A 30718-2026 FSC-klagomål.docx", "A 30718-2026")</f>
        <v/>
      </c>
      <c r="AB95">
        <f>HYPERLINK("https://klasma.github.io/Logging_0680/klagomålsmail/A 30718-2026 FSC-klagomål mail.docx", "A 30718-2026")</f>
        <v/>
      </c>
      <c r="AC95">
        <f>HYPERLINK("https://klasma.github.io/Logging_0680/tillsyn/A 30718-2026 tillsynsbegäran.docx", "A 30718-2026")</f>
        <v/>
      </c>
      <c r="AD95">
        <f>HYPERLINK("https://klasma.github.io/Logging_0680/tillsynsmail/A 30718-2026 tillsynsbegäran mail.docx", "A 30718-2026")</f>
        <v/>
      </c>
    </row>
    <row r="96" ht="15" customHeight="1">
      <c r="A96" t="inlineStr">
        <is>
          <t>A 30868-2026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46321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2.5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30868-2026 artfynd.xlsx", "A 30868-2026")</f>
        <v/>
      </c>
      <c r="X96">
        <f>HYPERLINK("https://klasma.github.io/Logging_0680/kartor/A 30868-2026 karta.png", "A 30868-2026")</f>
        <v/>
      </c>
      <c r="Y96">
        <f>HYPERLINK("https://klasma.github.io/Logging_0680/kartor_geotiff/A 30868-2026 georefererad karta.tif", "A 30868-2026")</f>
        <v/>
      </c>
      <c r="AA96">
        <f>HYPERLINK("https://klasma.github.io/Logging_0680/klagomål/A 30868-2026 FSC-klagomål.docx", "A 30868-2026")</f>
        <v/>
      </c>
      <c r="AB96">
        <f>HYPERLINK("https://klasma.github.io/Logging_0680/klagomålsmail/A 30868-2026 FSC-klagomål mail.docx", "A 30868-2026")</f>
        <v/>
      </c>
      <c r="AC96">
        <f>HYPERLINK("https://klasma.github.io/Logging_0680/tillsyn/A 30868-2026 tillsynsbegäran.docx", "A 30868-2026")</f>
        <v/>
      </c>
      <c r="AD96">
        <f>HYPERLINK("https://klasma.github.io/Logging_0680/tillsynsmail/A 30868-2026 tillsynsbegäran mail.docx", "A 30868-2026")</f>
        <v/>
      </c>
    </row>
    <row r="97" ht="15" customHeight="1">
      <c r="A97" t="inlineStr">
        <is>
          <t>A 63550-2025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46321</v>
      </c>
      <c r="F97" t="inlineStr">
        <is>
          <t>JÖNKÖPINGS LÄN</t>
        </is>
      </c>
      <c r="G97" t="inlineStr">
        <is>
          <t>JÖNKÖPING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HYPERLINK("https://klasma.github.io/Logging_0680/artfynd/A 63550-2025 artfynd.xlsx", "A 63550-2025")</f>
        <v/>
      </c>
      <c r="X97">
        <f>HYPERLINK("https://klasma.github.io/Logging_0680/kartor/A 63550-2025 karta.png", "A 63550-2025")</f>
        <v/>
      </c>
      <c r="Y97">
        <f>HYPERLINK("https://klasma.github.io/Logging_0680/kartor_geotiff/A 63550-2025 georefererad karta.tif", "A 63550-2025")</f>
        <v/>
      </c>
      <c r="AA97">
        <f>HYPERLINK("https://klasma.github.io/Logging_0680/klagomål/A 63550-2025 FSC-klagomål.docx", "A 63550-2025")</f>
        <v/>
      </c>
      <c r="AB97">
        <f>HYPERLINK("https://klasma.github.io/Logging_0680/klagomålsmail/A 63550-2025 FSC-klagomål mail.docx", "A 63550-2025")</f>
        <v/>
      </c>
      <c r="AC97">
        <f>HYPERLINK("https://klasma.github.io/Logging_0680/tillsyn/A 63550-2025 tillsynsbegäran.docx", "A 63550-2025")</f>
        <v/>
      </c>
      <c r="AD97">
        <f>HYPERLINK("https://klasma.github.io/Logging_0680/tillsynsmail/A 63550-2025 tillsynsbegäran mail.docx", "A 63550-2025")</f>
        <v/>
      </c>
    </row>
    <row r="98" ht="15" customHeight="1">
      <c r="A98" t="inlineStr">
        <is>
          <t>A 4582-2026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46321</v>
      </c>
      <c r="F98" t="inlineStr">
        <is>
          <t>JÖNKÖPINGS LÄN</t>
        </is>
      </c>
      <c r="G98" t="inlineStr">
        <is>
          <t>JÖNKÖPING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Grovticka</t>
        </is>
      </c>
      <c r="W98">
        <f>HYPERLINK("https://klasma.github.io/Logging_0680/artfynd/A 4582-2026 artfynd.xlsx", "A 4582-2026")</f>
        <v/>
      </c>
      <c r="X98">
        <f>HYPERLINK("https://klasma.github.io/Logging_0680/kartor/A 4582-2026 karta.png", "A 4582-2026")</f>
        <v/>
      </c>
      <c r="Y98">
        <f>HYPERLINK("https://klasma.github.io/Logging_0680/kartor_geotiff/A 4582-2026 georefererad karta.tif", "A 4582-2026")</f>
        <v/>
      </c>
      <c r="AA98">
        <f>HYPERLINK("https://klasma.github.io/Logging_0680/klagomål/A 4582-2026 FSC-klagomål.docx", "A 4582-2026")</f>
        <v/>
      </c>
      <c r="AB98">
        <f>HYPERLINK("https://klasma.github.io/Logging_0680/klagomålsmail/A 4582-2026 FSC-klagomål mail.docx", "A 4582-2026")</f>
        <v/>
      </c>
      <c r="AC98">
        <f>HYPERLINK("https://klasma.github.io/Logging_0680/tillsyn/A 4582-2026 tillsynsbegäran.docx", "A 4582-2026")</f>
        <v/>
      </c>
      <c r="AD98">
        <f>HYPERLINK("https://klasma.github.io/Logging_0680/tillsynsmail/A 4582-2026 tillsynsbegäran mail.docx", "A 4582-2026")</f>
        <v/>
      </c>
    </row>
    <row r="99" ht="15" customHeight="1">
      <c r="A99" t="inlineStr">
        <is>
          <t>A 14221-2025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46321</v>
      </c>
      <c r="F99" t="inlineStr">
        <is>
          <t>JÖNKÖPINGS LÄN</t>
        </is>
      </c>
      <c r="G99" t="inlineStr">
        <is>
          <t>JÖNKÖPING</t>
        </is>
      </c>
      <c r="I99" t="n">
        <v>8.699999999999999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1</v>
      </c>
      <c r="V99" s="2" t="inlineStr">
        <is>
          <t>Gaffelglim</t>
        </is>
      </c>
      <c r="W99">
        <f>HYPERLINK("https://klasma.github.io/Logging_0680/artfynd/A 14221-2025 artfynd.xlsx", "A 14221-2025")</f>
        <v/>
      </c>
      <c r="X99">
        <f>HYPERLINK("https://klasma.github.io/Logging_0680/kartor/A 14221-2025 karta.png", "A 14221-2025")</f>
        <v/>
      </c>
      <c r="Y99">
        <f>HYPERLINK("https://klasma.github.io/Logging_0680/kartor_geotiff/A 14221-2025 georefererad karta.tif", "A 14221-2025")</f>
        <v/>
      </c>
      <c r="AA99">
        <f>HYPERLINK("https://klasma.github.io/Logging_0680/klagomål/A 14221-2025 FSC-klagomål.docx", "A 14221-2025")</f>
        <v/>
      </c>
      <c r="AB99">
        <f>HYPERLINK("https://klasma.github.io/Logging_0680/klagomålsmail/A 14221-2025 FSC-klagomål mail.docx", "A 14221-2025")</f>
        <v/>
      </c>
      <c r="AC99">
        <f>HYPERLINK("https://klasma.github.io/Logging_0680/tillsyn/A 14221-2025 tillsynsbegäran.docx", "A 14221-2025")</f>
        <v/>
      </c>
      <c r="AD99">
        <f>HYPERLINK("https://klasma.github.io/Logging_0680/tillsynsmail/A 14221-2025 tillsynsbegäran mail.docx", "A 14221-2025")</f>
        <v/>
      </c>
    </row>
    <row r="100" ht="15" customHeight="1">
      <c r="A100" t="inlineStr">
        <is>
          <t>A 37885-2026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46321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Jungfrulin</t>
        </is>
      </c>
      <c r="W100">
        <f>HYPERLINK("https://klasma.github.io/Logging_0680/artfynd/A 37885-2026 artfynd.xlsx", "A 37885-2026")</f>
        <v/>
      </c>
      <c r="X100">
        <f>HYPERLINK("https://klasma.github.io/Logging_0680/kartor/A 37885-2026 karta.png", "A 37885-2026")</f>
        <v/>
      </c>
      <c r="Y100">
        <f>HYPERLINK("https://klasma.github.io/Logging_0680/kartor_geotiff/A 37885-2026 georefererad karta.tif", "A 37885-2026")</f>
        <v/>
      </c>
      <c r="AA100">
        <f>HYPERLINK("https://klasma.github.io/Logging_0680/klagomål/A 37885-2026 FSC-klagomål.docx", "A 37885-2026")</f>
        <v/>
      </c>
      <c r="AB100">
        <f>HYPERLINK("https://klasma.github.io/Logging_0680/klagomålsmail/A 37885-2026 FSC-klagomål mail.docx", "A 37885-2026")</f>
        <v/>
      </c>
      <c r="AC100">
        <f>HYPERLINK("https://klasma.github.io/Logging_0680/tillsyn/A 37885-2026 tillsynsbegäran.docx", "A 37885-2026")</f>
        <v/>
      </c>
      <c r="AD100">
        <f>HYPERLINK("https://klasma.github.io/Logging_0680/tillsynsmail/A 37885-2026 tillsynsbegäran mail.docx", "A 37885-2026")</f>
        <v/>
      </c>
    </row>
    <row r="101" ht="15" customHeight="1">
      <c r="A101" t="inlineStr">
        <is>
          <t>A 47492-2024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45587</v>
      </c>
      <c r="E101" s="1" t="n">
        <v>46321</v>
      </c>
      <c r="F101" t="inlineStr">
        <is>
          <t>JÖNKÖPINGS LÄN</t>
        </is>
      </c>
      <c r="G101" t="inlineStr">
        <is>
          <t>JÖNKÖPING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Ask</t>
        </is>
      </c>
      <c r="W101">
        <f>HYPERLINK("https://klasma.github.io/Logging_0680/artfynd/A 47492-2024 artfynd.xlsx", "A 47492-2024")</f>
        <v/>
      </c>
      <c r="X101">
        <f>HYPERLINK("https://klasma.github.io/Logging_0680/kartor/A 47492-2024 karta.png", "A 47492-2024")</f>
        <v/>
      </c>
      <c r="Y101">
        <f>HYPERLINK("https://klasma.github.io/Logging_0680/kartor_geotiff/A 47492-2024 georefererad karta.tif", "A 47492-2024")</f>
        <v/>
      </c>
      <c r="AA101">
        <f>HYPERLINK("https://klasma.github.io/Logging_0680/klagomål/A 47492-2024 FSC-klagomål.docx", "A 47492-2024")</f>
        <v/>
      </c>
      <c r="AB101">
        <f>HYPERLINK("https://klasma.github.io/Logging_0680/klagomålsmail/A 47492-2024 FSC-klagomål mail.docx", "A 47492-2024")</f>
        <v/>
      </c>
      <c r="AC101">
        <f>HYPERLINK("https://klasma.github.io/Logging_0680/tillsyn/A 47492-2024 tillsynsbegäran.docx", "A 47492-2024")</f>
        <v/>
      </c>
      <c r="AD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46321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46321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40549-2026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46321</v>
      </c>
      <c r="F104" t="inlineStr">
        <is>
          <t>JÖNKÖPINGS LÄN</t>
        </is>
      </c>
      <c r="G104" t="inlineStr">
        <is>
          <t>JÖNKÖPING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Ask</t>
        </is>
      </c>
      <c r="W104">
        <f>HYPERLINK("https://klasma.github.io/Logging_0680/artfynd/A 40549-2026 artfynd.xlsx", "A 40549-2026")</f>
        <v/>
      </c>
      <c r="X104">
        <f>HYPERLINK("https://klasma.github.io/Logging_0680/kartor/A 40549-2026 karta.png", "A 40549-2026")</f>
        <v/>
      </c>
      <c r="Y104">
        <f>HYPERLINK("https://klasma.github.io/Logging_0680/kartor_geotiff/A 40549-2026 georefererad karta.tif", "A 40549-2026")</f>
        <v/>
      </c>
      <c r="AA104">
        <f>HYPERLINK("https://klasma.github.io/Logging_0680/klagomål/A 40549-2026 FSC-klagomål.docx", "A 40549-2026")</f>
        <v/>
      </c>
      <c r="AB104">
        <f>HYPERLINK("https://klasma.github.io/Logging_0680/klagomålsmail/A 40549-2026 FSC-klagomål mail.docx", "A 40549-2026")</f>
        <v/>
      </c>
      <c r="AC104">
        <f>HYPERLINK("https://klasma.github.io/Logging_0680/tillsyn/A 40549-2026 tillsynsbegäran.docx", "A 40549-2026")</f>
        <v/>
      </c>
      <c r="AD104">
        <f>HYPERLINK("https://klasma.github.io/Logging_0680/tillsynsmail/A 40549-2026 tillsynsbegäran mail.docx", "A 40549-2026")</f>
        <v/>
      </c>
    </row>
    <row r="105" ht="15" customHeight="1">
      <c r="A105" t="inlineStr">
        <is>
          <t>A 33849-2025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46321</v>
      </c>
      <c r="F105" t="inlineStr">
        <is>
          <t>JÖNKÖPINGS LÄN</t>
        </is>
      </c>
      <c r="G105" t="inlineStr">
        <is>
          <t>JÖNKÖPING</t>
        </is>
      </c>
      <c r="I105" t="n">
        <v>1.7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Jungfrulin</t>
        </is>
      </c>
      <c r="W105">
        <f>HYPERLINK("https://klasma.github.io/Logging_0680/artfynd/A 33849-2025 artfynd.xlsx", "A 33849-2025")</f>
        <v/>
      </c>
      <c r="X105">
        <f>HYPERLINK("https://klasma.github.io/Logging_0680/kartor/A 33849-2025 karta.png", "A 33849-2025")</f>
        <v/>
      </c>
      <c r="Y105">
        <f>HYPERLINK("https://klasma.github.io/Logging_0680/kartor_geotiff/A 33849-2025 georefererad karta.tif", "A 33849-2025")</f>
        <v/>
      </c>
      <c r="AA105">
        <f>HYPERLINK("https://klasma.github.io/Logging_0680/klagomål/A 33849-2025 FSC-klagomål.docx", "A 33849-2025")</f>
        <v/>
      </c>
      <c r="AB105">
        <f>HYPERLINK("https://klasma.github.io/Logging_0680/klagomålsmail/A 33849-2025 FSC-klagomål mail.docx", "A 33849-2025")</f>
        <v/>
      </c>
      <c r="AC105">
        <f>HYPERLINK("https://klasma.github.io/Logging_0680/tillsyn/A 33849-2025 tillsynsbegäran.docx", "A 33849-2025")</f>
        <v/>
      </c>
      <c r="AD105">
        <f>HYPERLINK("https://klasma.github.io/Logging_0680/tillsynsmail/A 33849-2025 tillsynsbegäran mail.docx", "A 33849-2025")</f>
        <v/>
      </c>
    </row>
    <row r="106" ht="15" customHeight="1">
      <c r="A106" t="inlineStr">
        <is>
          <t>A 33405-2025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46321</v>
      </c>
      <c r="F106" t="inlineStr">
        <is>
          <t>JÖNKÖPINGS LÄN</t>
        </is>
      </c>
      <c r="G106" t="inlineStr">
        <is>
          <t>JÖNKÖPING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Läkeögontröst</t>
        </is>
      </c>
      <c r="W106">
        <f>HYPERLINK("https://klasma.github.io/Logging_0680/artfynd/A 33405-2025 artfynd.xlsx", "A 33405-2025")</f>
        <v/>
      </c>
      <c r="X106">
        <f>HYPERLINK("https://klasma.github.io/Logging_0680/kartor/A 33405-2025 karta.png", "A 33405-2025")</f>
        <v/>
      </c>
      <c r="Y106">
        <f>HYPERLINK("https://klasma.github.io/Logging_0680/kartor_geotiff/A 33405-2025 georefererad karta.tif", "A 33405-2025")</f>
        <v/>
      </c>
      <c r="AA106">
        <f>HYPERLINK("https://klasma.github.io/Logging_0680/klagomål/A 33405-2025 FSC-klagomål.docx", "A 33405-2025")</f>
        <v/>
      </c>
      <c r="AB106">
        <f>HYPERLINK("https://klasma.github.io/Logging_0680/klagomålsmail/A 33405-2025 FSC-klagomål mail.docx", "A 33405-2025")</f>
        <v/>
      </c>
      <c r="AC106">
        <f>HYPERLINK("https://klasma.github.io/Logging_0680/tillsyn/A 33405-2025 tillsynsbegäran.docx", "A 33405-2025")</f>
        <v/>
      </c>
      <c r="AD106">
        <f>HYPERLINK("https://klasma.github.io/Logging_0680/tillsynsmail/A 33405-2025 tillsynsbegäran mail.docx", "A 33405-2025")</f>
        <v/>
      </c>
    </row>
    <row r="107" ht="15" customHeight="1">
      <c r="A107" t="inlineStr">
        <is>
          <t>A 34046-2026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46252</v>
      </c>
      <c r="E107" s="1" t="n">
        <v>46321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34046-2026 artfynd.xlsx", "A 34046-2026")</f>
        <v/>
      </c>
      <c r="X107">
        <f>HYPERLINK("https://klasma.github.io/Logging_0680/kartor/A 34046-2026 karta.png", "A 34046-2026")</f>
        <v/>
      </c>
      <c r="Y107">
        <f>HYPERLINK("https://klasma.github.io/Logging_0680/kartor_geotiff/A 34046-2026 georefererad karta.tif", "A 34046-2026")</f>
        <v/>
      </c>
      <c r="AA107">
        <f>HYPERLINK("https://klasma.github.io/Logging_0680/klagomål/A 34046-2026 FSC-klagomål.docx", "A 34046-2026")</f>
        <v/>
      </c>
      <c r="AB107">
        <f>HYPERLINK("https://klasma.github.io/Logging_0680/klagomålsmail/A 34046-2026 FSC-klagomål mail.docx", "A 34046-2026")</f>
        <v/>
      </c>
      <c r="AC107">
        <f>HYPERLINK("https://klasma.github.io/Logging_0680/tillsyn/A 34046-2026 tillsynsbegäran.docx", "A 34046-2026")</f>
        <v/>
      </c>
      <c r="AD107">
        <f>HYPERLINK("https://klasma.github.io/Logging_0680/tillsynsmail/A 34046-2026 tillsynsbegäran mail.docx", "A 34046-2026")</f>
        <v/>
      </c>
    </row>
    <row r="108" ht="15" customHeight="1">
      <c r="A108" t="inlineStr">
        <is>
          <t>A 45366-2022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46321</v>
      </c>
      <c r="F108" t="inlineStr">
        <is>
          <t>JÖNKÖPINGS LÄN</t>
        </is>
      </c>
      <c r="G108" t="inlineStr">
        <is>
          <t>JÖNKÖPING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Mörk husmossa</t>
        </is>
      </c>
      <c r="W108">
        <f>HYPERLINK("https://klasma.github.io/Logging_0680/artfynd/A 45366-2022 artfynd.xlsx", "A 45366-2022")</f>
        <v/>
      </c>
      <c r="X108">
        <f>HYPERLINK("https://klasma.github.io/Logging_0680/kartor/A 45366-2022 karta.png", "A 45366-2022")</f>
        <v/>
      </c>
      <c r="Y108">
        <f>HYPERLINK("https://klasma.github.io/Logging_0680/kartor_geotiff/A 45366-2022 georefererad karta.tif", "A 45366-2022")</f>
        <v/>
      </c>
      <c r="AA108">
        <f>HYPERLINK("https://klasma.github.io/Logging_0680/klagomål/A 45366-2022 FSC-klagomål.docx", "A 45366-2022")</f>
        <v/>
      </c>
      <c r="AB108">
        <f>HYPERLINK("https://klasma.github.io/Logging_0680/klagomålsmail/A 45366-2022 FSC-klagomål mail.docx", "A 45366-2022")</f>
        <v/>
      </c>
      <c r="AC108">
        <f>HYPERLINK("https://klasma.github.io/Logging_0680/tillsyn/A 45366-2022 tillsynsbegäran.docx", "A 45366-2022")</f>
        <v/>
      </c>
      <c r="AD108">
        <f>HYPERLINK("https://klasma.github.io/Logging_0680/tillsynsmail/A 45366-2022 tillsynsbegäran mail.docx", "A 45366-2022")</f>
        <v/>
      </c>
    </row>
    <row r="109" ht="15" customHeight="1">
      <c r="A109" t="inlineStr">
        <is>
          <t>A 54325-2024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45616</v>
      </c>
      <c r="E109" s="1" t="n">
        <v>46321</v>
      </c>
      <c r="F109" t="inlineStr">
        <is>
          <t>JÖNKÖPINGS LÄN</t>
        </is>
      </c>
      <c r="G109" t="inlineStr">
        <is>
          <t>JÖNKÖPING</t>
        </is>
      </c>
      <c r="I109" t="n">
        <v>8.699999999999999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HYPERLINK("https://klasma.github.io/Logging_0680/artfynd/A 54325-2024 artfynd.xlsx", "A 54325-2024")</f>
        <v/>
      </c>
      <c r="X109">
        <f>HYPERLINK("https://klasma.github.io/Logging_0680/kartor/A 54325-2024 karta.png", "A 54325-2024")</f>
        <v/>
      </c>
      <c r="Y109">
        <f>HYPERLINK("https://klasma.github.io/Logging_0680/kartor_geotiff/A 54325-2024 georefererad karta.tif", "A 54325-2024")</f>
        <v/>
      </c>
      <c r="AA109">
        <f>HYPERLINK("https://klasma.github.io/Logging_0680/klagomål/A 54325-2024 FSC-klagomål.docx", "A 54325-2024")</f>
        <v/>
      </c>
      <c r="AB109">
        <f>HYPERLINK("https://klasma.github.io/Logging_0680/klagomålsmail/A 54325-2024 FSC-klagomål mail.docx", "A 54325-2024")</f>
        <v/>
      </c>
      <c r="AC109">
        <f>HYPERLINK("https://klasma.github.io/Logging_0680/tillsyn/A 54325-2024 tillsynsbegäran.docx", "A 54325-2024")</f>
        <v/>
      </c>
      <c r="AD109">
        <f>HYPERLINK("https://klasma.github.io/Logging_0680/tillsynsmail/A 54325-2024 tillsynsbegäran mail.docx", "A 54325-2024")</f>
        <v/>
      </c>
      <c r="AE109">
        <f>HYPERLINK("https://klasma.github.io/Logging_0680/fåglar/A 54325-2024 prioriterade fågelarter.docx", "A 54325-2024")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46321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41617-2026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46321</v>
      </c>
      <c r="F111" t="inlineStr">
        <is>
          <t>JÖNKÖPINGS LÄN</t>
        </is>
      </c>
      <c r="G111" t="inlineStr">
        <is>
          <t>JÖNKÖPING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41617-2026 artfynd.xlsx", "A 41617-2026")</f>
        <v/>
      </c>
      <c r="X111">
        <f>HYPERLINK("https://klasma.github.io/Logging_0680/kartor/A 41617-2026 karta.png", "A 41617-2026")</f>
        <v/>
      </c>
      <c r="Y111">
        <f>HYPERLINK("https://klasma.github.io/Logging_0680/kartor_geotiff/A 41617-2026 georefererad karta.tif", "A 41617-2026")</f>
        <v/>
      </c>
      <c r="Z111">
        <f>HYPERLINK("https://klasma.github.io/Logging_0680/knärot/A 41617-2026 karta knärot.png", "A 41617-2026")</f>
        <v/>
      </c>
      <c r="AA111">
        <f>HYPERLINK("https://klasma.github.io/Logging_0680/klagomål/A 41617-2026 FSC-klagomål.docx", "A 41617-2026")</f>
        <v/>
      </c>
      <c r="AB111">
        <f>HYPERLINK("https://klasma.github.io/Logging_0680/klagomålsmail/A 41617-2026 FSC-klagomål mail.docx", "A 41617-2026")</f>
        <v/>
      </c>
      <c r="AC111">
        <f>HYPERLINK("https://klasma.github.io/Logging_0680/tillsyn/A 41617-2026 tillsynsbegäran.docx", "A 41617-2026")</f>
        <v/>
      </c>
      <c r="AD111">
        <f>HYPERLINK("https://klasma.github.io/Logging_0680/tillsynsmail/A 41617-2026 tillsynsbegäran mail.docx", "A 41617-2026")</f>
        <v/>
      </c>
    </row>
    <row r="112" ht="15" customHeight="1">
      <c r="A112" t="inlineStr">
        <is>
          <t>A 34597-2025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46321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Kyrkan</t>
        </is>
      </c>
      <c r="I112" t="n">
        <v>7.3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34597-2025 artfynd.xlsx", "A 34597-2025")</f>
        <v/>
      </c>
      <c r="X112">
        <f>HYPERLINK("https://klasma.github.io/Logging_0680/kartor/A 34597-2025 karta.png", "A 34597-2025")</f>
        <v/>
      </c>
      <c r="Y112">
        <f>HYPERLINK("https://klasma.github.io/Logging_0680/kartor_geotiff/A 34597-2025 georefererad karta.tif", "A 34597-2025")</f>
        <v/>
      </c>
      <c r="Z112">
        <f>HYPERLINK("https://klasma.github.io/Logging_0680/knärot/A 34597-2025 karta knärot.png", "A 34597-2025")</f>
        <v/>
      </c>
      <c r="AA112">
        <f>HYPERLINK("https://klasma.github.io/Logging_0680/klagomål/A 34597-2025 FSC-klagomål.docx", "A 34597-2025")</f>
        <v/>
      </c>
      <c r="AB112">
        <f>HYPERLINK("https://klasma.github.io/Logging_0680/klagomålsmail/A 34597-2025 FSC-klagomål mail.docx", "A 34597-2025")</f>
        <v/>
      </c>
      <c r="AC112">
        <f>HYPERLINK("https://klasma.github.io/Logging_0680/tillsyn/A 34597-2025 tillsynsbegäran.docx", "A 34597-2025")</f>
        <v/>
      </c>
      <c r="AD112">
        <f>HYPERLINK("https://klasma.github.io/Logging_0680/tillsynsmail/A 34597-2025 tillsynsbegäran mail.docx", "A 34597-2025")</f>
        <v/>
      </c>
    </row>
    <row r="113" ht="15" customHeight="1">
      <c r="A113" t="inlineStr">
        <is>
          <t>A 74117-2021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46321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Nattskärra</t>
        </is>
      </c>
      <c r="W113">
        <f>HYPERLINK("https://klasma.github.io/Logging_0680/artfynd/A 74117-2021 artfynd.xlsx", "A 74117-2021")</f>
        <v/>
      </c>
      <c r="X113">
        <f>HYPERLINK("https://klasma.github.io/Logging_0680/kartor/A 74117-2021 karta.png", "A 74117-2021")</f>
        <v/>
      </c>
      <c r="Y113">
        <f>HYPERLINK("https://klasma.github.io/Logging_0680/kartor_geotiff/A 74117-2021 georefererad karta.tif", "A 74117-2021")</f>
        <v/>
      </c>
      <c r="AA113">
        <f>HYPERLINK("https://klasma.github.io/Logging_0680/klagomål/A 74117-2021 FSC-klagomål.docx", "A 74117-2021")</f>
        <v/>
      </c>
      <c r="AB113">
        <f>HYPERLINK("https://klasma.github.io/Logging_0680/klagomålsmail/A 74117-2021 FSC-klagomål mail.docx", "A 74117-2021")</f>
        <v/>
      </c>
      <c r="AC113">
        <f>HYPERLINK("https://klasma.github.io/Logging_0680/tillsyn/A 74117-2021 tillsynsbegäran.docx", "A 74117-2021")</f>
        <v/>
      </c>
      <c r="AD113">
        <f>HYPERLINK("https://klasma.github.io/Logging_0680/tillsynsmail/A 74117-2021 tillsynsbegäran mail.docx", "A 74117-2021")</f>
        <v/>
      </c>
      <c r="AE113">
        <f>HYPERLINK("https://klasma.github.io/Logging_0680/fåglar/A 74117-2021 prioriterade fågelarter.docx", "A 74117-2021")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46321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41676-2026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46302</v>
      </c>
      <c r="E115" s="1" t="n">
        <v>46321</v>
      </c>
      <c r="F115" t="inlineStr">
        <is>
          <t>JÖNKÖPINGS LÄN</t>
        </is>
      </c>
      <c r="G115" t="inlineStr">
        <is>
          <t>JÖNKÖPING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Svedjenäva</t>
        </is>
      </c>
      <c r="W115">
        <f>HYPERLINK("https://klasma.github.io/Logging_0680/artfynd/A 41676-2026 artfynd.xlsx", "A 41676-2026")</f>
        <v/>
      </c>
      <c r="X115">
        <f>HYPERLINK("https://klasma.github.io/Logging_0680/kartor/A 41676-2026 karta.png", "A 41676-2026")</f>
        <v/>
      </c>
      <c r="Y115">
        <f>HYPERLINK("https://klasma.github.io/Logging_0680/kartor_geotiff/A 41676-2026 georefererad karta.tif", "A 41676-2026")</f>
        <v/>
      </c>
      <c r="AA115">
        <f>HYPERLINK("https://klasma.github.io/Logging_0680/klagomål/A 41676-2026 FSC-klagomål.docx", "A 41676-2026")</f>
        <v/>
      </c>
      <c r="AB115">
        <f>HYPERLINK("https://klasma.github.io/Logging_0680/klagomålsmail/A 41676-2026 FSC-klagomål mail.docx", "A 41676-2026")</f>
        <v/>
      </c>
      <c r="AC115">
        <f>HYPERLINK("https://klasma.github.io/Logging_0680/tillsyn/A 41676-2026 tillsynsbegäran.docx", "A 41676-2026")</f>
        <v/>
      </c>
      <c r="AD115">
        <f>HYPERLINK("https://klasma.github.io/Logging_0680/tillsynsmail/A 41676-2026 tillsynsbegäran mail.docx", "A 41676-2026")</f>
        <v/>
      </c>
    </row>
    <row r="116" ht="15" customHeight="1">
      <c r="A116" t="inlineStr">
        <is>
          <t>A 41618-2026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46302</v>
      </c>
      <c r="E116" s="1" t="n">
        <v>46321</v>
      </c>
      <c r="F116" t="inlineStr">
        <is>
          <t>JÖNKÖPINGS LÄN</t>
        </is>
      </c>
      <c r="G116" t="inlineStr">
        <is>
          <t>JÖNKÖPING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HYPERLINK("https://klasma.github.io/Logging_0680/artfynd/A 41618-2026 artfynd.xlsx", "A 41618-2026")</f>
        <v/>
      </c>
      <c r="X116">
        <f>HYPERLINK("https://klasma.github.io/Logging_0680/kartor/A 41618-2026 karta.png", "A 41618-2026")</f>
        <v/>
      </c>
      <c r="Y116">
        <f>HYPERLINK("https://klasma.github.io/Logging_0680/kartor_geotiff/A 41618-2026 georefererad karta.tif", "A 41618-2026")</f>
        <v/>
      </c>
      <c r="AA116">
        <f>HYPERLINK("https://klasma.github.io/Logging_0680/klagomål/A 41618-2026 FSC-klagomål.docx", "A 41618-2026")</f>
        <v/>
      </c>
      <c r="AB116">
        <f>HYPERLINK("https://klasma.github.io/Logging_0680/klagomålsmail/A 41618-2026 FSC-klagomål mail.docx", "A 41618-2026")</f>
        <v/>
      </c>
      <c r="AC116">
        <f>HYPERLINK("https://klasma.github.io/Logging_0680/tillsyn/A 41618-2026 tillsynsbegäran.docx", "A 41618-2026")</f>
        <v/>
      </c>
      <c r="AD116">
        <f>HYPERLINK("https://klasma.github.io/Logging_0680/tillsynsmail/A 41618-2026 tillsynsbegäran mail.docx", "A 41618-2026")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46321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278-2024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45295</v>
      </c>
      <c r="E118" s="1" t="n">
        <v>46321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Mattlummer</t>
        </is>
      </c>
      <c r="W118">
        <f>HYPERLINK("https://klasma.github.io/Logging_0680/artfynd/A 278-2024 artfynd.xlsx", "A 278-2024")</f>
        <v/>
      </c>
      <c r="X118">
        <f>HYPERLINK("https://klasma.github.io/Logging_0680/kartor/A 278-2024 karta.png", "A 278-2024")</f>
        <v/>
      </c>
      <c r="Y118">
        <f>HYPERLINK("https://klasma.github.io/Logging_0680/kartor_geotiff/A 278-2024 georefererad karta.tif", "A 278-2024")</f>
        <v/>
      </c>
      <c r="AA118">
        <f>HYPERLINK("https://klasma.github.io/Logging_0680/klagomål/A 278-2024 FSC-klagomål.docx", "A 278-2024")</f>
        <v/>
      </c>
      <c r="AB118">
        <f>HYPERLINK("https://klasma.github.io/Logging_0680/klagomålsmail/A 278-2024 FSC-klagomål mail.docx", "A 278-2024")</f>
        <v/>
      </c>
      <c r="AC118">
        <f>HYPERLINK("https://klasma.github.io/Logging_0680/tillsyn/A 278-2024 tillsynsbegäran.docx", "A 278-2024")</f>
        <v/>
      </c>
      <c r="AD118">
        <f>HYPERLINK("https://klasma.github.io/Logging_0680/tillsynsmail/A 278-2024 tillsynsbegäran mail.docx", "A 278-2024")</f>
        <v/>
      </c>
    </row>
    <row r="119" ht="15" customHeight="1">
      <c r="A119" t="inlineStr">
        <is>
          <t>A 7092-2024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46321</v>
      </c>
      <c r="F119" t="inlineStr">
        <is>
          <t>JÖNKÖPINGS LÄN</t>
        </is>
      </c>
      <c r="G119" t="inlineStr">
        <is>
          <t>JÖNKÖPING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HYPERLINK("https://klasma.github.io/Logging_0680/artfynd/A 7092-2024 artfynd.xlsx", "A 7092-2024")</f>
        <v/>
      </c>
      <c r="X119">
        <f>HYPERLINK("https://klasma.github.io/Logging_0680/kartor/A 7092-2024 karta.png", "A 7092-2024")</f>
        <v/>
      </c>
      <c r="Y119">
        <f>HYPERLINK("https://klasma.github.io/Logging_0680/kartor_geotiff/A 7092-2024 georefererad karta.tif", "A 7092-2024")</f>
        <v/>
      </c>
      <c r="AA119">
        <f>HYPERLINK("https://klasma.github.io/Logging_0680/klagomål/A 7092-2024 FSC-klagomål.docx", "A 7092-2024")</f>
        <v/>
      </c>
      <c r="AB119">
        <f>HYPERLINK("https://klasma.github.io/Logging_0680/klagomålsmail/A 7092-2024 FSC-klagomål mail.docx", "A 7092-2024")</f>
        <v/>
      </c>
      <c r="AC119">
        <f>HYPERLINK("https://klasma.github.io/Logging_0680/tillsyn/A 7092-2024 tillsynsbegäran.docx", "A 7092-2024")</f>
        <v/>
      </c>
      <c r="AD119">
        <f>HYPERLINK("https://klasma.github.io/Logging_0680/tillsynsmail/A 7092-2024 tillsynsbegäran mail.docx", "A 7092-2024")</f>
        <v/>
      </c>
    </row>
    <row r="120" ht="15" customHeight="1">
      <c r="A120" t="inlineStr">
        <is>
          <t>A 29056-2022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44750</v>
      </c>
      <c r="E120" s="1" t="n">
        <v>46321</v>
      </c>
      <c r="F120" t="inlineStr">
        <is>
          <t>JÖNKÖPINGS LÄN</t>
        </is>
      </c>
      <c r="G120" t="inlineStr">
        <is>
          <t>JÖNKÖPING</t>
        </is>
      </c>
      <c r="I120" t="n">
        <v>1.8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Toppvaxing</t>
        </is>
      </c>
      <c r="W120">
        <f>HYPERLINK("https://klasma.github.io/Logging_0680/artfynd/A 29056-2022 artfynd.xlsx", "A 29056-2022")</f>
        <v/>
      </c>
      <c r="X120">
        <f>HYPERLINK("https://klasma.github.io/Logging_0680/kartor/A 29056-2022 karta.png", "A 29056-2022")</f>
        <v/>
      </c>
      <c r="Y120">
        <f>HYPERLINK("https://klasma.github.io/Logging_0680/kartor_geotiff/A 29056-2022 georefererad karta.tif", "A 29056-2022")</f>
        <v/>
      </c>
      <c r="AA120">
        <f>HYPERLINK("https://klasma.github.io/Logging_0680/klagomål/A 29056-2022 FSC-klagomål.docx", "A 29056-2022")</f>
        <v/>
      </c>
      <c r="AB120">
        <f>HYPERLINK("https://klasma.github.io/Logging_0680/klagomålsmail/A 29056-2022 FSC-klagomål mail.docx", "A 29056-2022")</f>
        <v/>
      </c>
      <c r="AC120">
        <f>HYPERLINK("https://klasma.github.io/Logging_0680/tillsyn/A 29056-2022 tillsynsbegäran.docx", "A 29056-2022")</f>
        <v/>
      </c>
      <c r="AD120">
        <f>HYPERLINK("https://klasma.github.io/Logging_0680/tillsynsmail/A 29056-2022 tillsynsbegäran mail.docx", "A 29056-2022")</f>
        <v/>
      </c>
    </row>
    <row r="121" ht="15" customHeight="1">
      <c r="A121" t="inlineStr">
        <is>
          <t>A 48114-2023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46321</v>
      </c>
      <c r="F121" t="inlineStr">
        <is>
          <t>JÖNKÖPINGS LÄN</t>
        </is>
      </c>
      <c r="G121" t="inlineStr">
        <is>
          <t>JÖNKÖPING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HYPERLINK("https://klasma.github.io/Logging_0680/artfynd/A 48114-2023 artfynd.xlsx", "A 48114-2023")</f>
        <v/>
      </c>
      <c r="X121">
        <f>HYPERLINK("https://klasma.github.io/Logging_0680/kartor/A 48114-2023 karta.png", "A 48114-2023")</f>
        <v/>
      </c>
      <c r="Y121">
        <f>HYPERLINK("https://klasma.github.io/Logging_0680/kartor_geotiff/A 48114-2023 georefererad karta.tif", "A 48114-2023")</f>
        <v/>
      </c>
      <c r="AA121">
        <f>HYPERLINK("https://klasma.github.io/Logging_0680/klagomål/A 48114-2023 FSC-klagomål.docx", "A 48114-2023")</f>
        <v/>
      </c>
      <c r="AB121">
        <f>HYPERLINK("https://klasma.github.io/Logging_0680/klagomålsmail/A 48114-2023 FSC-klagomål mail.docx", "A 48114-2023")</f>
        <v/>
      </c>
      <c r="AC121">
        <f>HYPERLINK("https://klasma.github.io/Logging_0680/tillsyn/A 48114-2023 tillsynsbegäran.docx", "A 48114-2023")</f>
        <v/>
      </c>
      <c r="AD121">
        <f>HYPERLINK("https://klasma.github.io/Logging_0680/tillsynsmail/A 48114-2023 tillsynsbegäran mail.docx", "A 48114-2023")</f>
        <v/>
      </c>
    </row>
    <row r="122" ht="15" customHeight="1">
      <c r="A122" t="inlineStr">
        <is>
          <t>A 18770-2025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46321</v>
      </c>
      <c r="F122" t="inlineStr">
        <is>
          <t>JÖNKÖPINGS LÄN</t>
        </is>
      </c>
      <c r="G122" t="inlineStr">
        <is>
          <t>JÖNKÖPING</t>
        </is>
      </c>
      <c r="I122" t="n">
        <v>3.3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Gullpudra</t>
        </is>
      </c>
      <c r="W122">
        <f>HYPERLINK("https://klasma.github.io/Logging_0680/artfynd/A 18770-2025 artfynd.xlsx", "A 18770-2025")</f>
        <v/>
      </c>
      <c r="X122">
        <f>HYPERLINK("https://klasma.github.io/Logging_0680/kartor/A 18770-2025 karta.png", "A 18770-2025")</f>
        <v/>
      </c>
      <c r="Y122">
        <f>HYPERLINK("https://klasma.github.io/Logging_0680/kartor_geotiff/A 18770-2025 georefererad karta.tif", "A 18770-2025")</f>
        <v/>
      </c>
      <c r="AA122">
        <f>HYPERLINK("https://klasma.github.io/Logging_0680/klagomål/A 18770-2025 FSC-klagomål.docx", "A 18770-2025")</f>
        <v/>
      </c>
      <c r="AB122">
        <f>HYPERLINK("https://klasma.github.io/Logging_0680/klagomålsmail/A 18770-2025 FSC-klagomål mail.docx", "A 18770-2025")</f>
        <v/>
      </c>
      <c r="AC122">
        <f>HYPERLINK("https://klasma.github.io/Logging_0680/tillsyn/A 18770-2025 tillsynsbegäran.docx", "A 18770-2025")</f>
        <v/>
      </c>
      <c r="AD122">
        <f>HYPERLINK("https://klasma.github.io/Logging_0680/tillsynsmail/A 18770-2025 tillsynsbegäran mail.docx", "A 18770-2025")</f>
        <v/>
      </c>
    </row>
    <row r="123" ht="15" customHeight="1">
      <c r="A123" t="inlineStr">
        <is>
          <t>A 16455-2025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45751</v>
      </c>
      <c r="E123" s="1" t="n">
        <v>46321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HYPERLINK("https://klasma.github.io/Logging_0680/artfynd/A 16455-2025 artfynd.xlsx", "A 16455-2025")</f>
        <v/>
      </c>
      <c r="X123">
        <f>HYPERLINK("https://klasma.github.io/Logging_0680/kartor/A 16455-2025 karta.png", "A 16455-2025")</f>
        <v/>
      </c>
      <c r="Y123">
        <f>HYPERLINK("https://klasma.github.io/Logging_0680/kartor_geotiff/A 16455-2025 georefererad karta.tif", "A 16455-2025")</f>
        <v/>
      </c>
      <c r="AA123">
        <f>HYPERLINK("https://klasma.github.io/Logging_0680/klagomål/A 16455-2025 FSC-klagomål.docx", "A 16455-2025")</f>
        <v/>
      </c>
      <c r="AB123">
        <f>HYPERLINK("https://klasma.github.io/Logging_0680/klagomålsmail/A 16455-2025 FSC-klagomål mail.docx", "A 16455-2025")</f>
        <v/>
      </c>
      <c r="AC123">
        <f>HYPERLINK("https://klasma.github.io/Logging_0680/tillsyn/A 16455-2025 tillsynsbegäran.docx", "A 16455-2025")</f>
        <v/>
      </c>
      <c r="AD123">
        <f>HYPERLINK("https://klasma.github.io/Logging_0680/tillsynsmail/A 16455-2025 tillsynsbegäran mail.docx", "A 16455-2025")</f>
        <v/>
      </c>
    </row>
    <row r="124" ht="15" customHeight="1">
      <c r="A124" t="inlineStr">
        <is>
          <t>A 58346-2022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46321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Övriga statliga verk och myndigheter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Gyllensopp</t>
        </is>
      </c>
      <c r="W124">
        <f>HYPERLINK("https://klasma.github.io/Logging_0680/artfynd/A 58346-2022 artfynd.xlsx", "A 58346-2022")</f>
        <v/>
      </c>
      <c r="X124">
        <f>HYPERLINK("https://klasma.github.io/Logging_0680/kartor/A 58346-2022 karta.png", "A 58346-2022")</f>
        <v/>
      </c>
      <c r="Y124">
        <f>HYPERLINK("https://klasma.github.io/Logging_0680/kartor_geotiff/A 58346-2022 georefererad karta.tif", "A 58346-2022")</f>
        <v/>
      </c>
      <c r="AA124">
        <f>HYPERLINK("https://klasma.github.io/Logging_0680/klagomål/A 58346-2022 FSC-klagomål.docx", "A 58346-2022")</f>
        <v/>
      </c>
      <c r="AB124">
        <f>HYPERLINK("https://klasma.github.io/Logging_0680/klagomålsmail/A 58346-2022 FSC-klagomål mail.docx", "A 58346-2022")</f>
        <v/>
      </c>
      <c r="AC124">
        <f>HYPERLINK("https://klasma.github.io/Logging_0680/tillsyn/A 58346-2022 tillsynsbegäran.docx", "A 58346-2022")</f>
        <v/>
      </c>
      <c r="AD124">
        <f>HYPERLINK("https://klasma.github.io/Logging_0680/tillsynsmail/A 58346-2022 tillsynsbegäran mail.docx", "A 58346-2022")</f>
        <v/>
      </c>
    </row>
    <row r="125" ht="15" customHeight="1">
      <c r="A125" t="inlineStr">
        <is>
          <t>A 42038-2023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46321</v>
      </c>
      <c r="F125" t="inlineStr">
        <is>
          <t>JÖNKÖPINGS LÄN</t>
        </is>
      </c>
      <c r="G125" t="inlineStr">
        <is>
          <t>JÖNKÖPING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42038-2023 artfynd.xlsx", "A 42038-2023")</f>
        <v/>
      </c>
      <c r="X125">
        <f>HYPERLINK("https://klasma.github.io/Logging_0680/kartor/A 42038-2023 karta.png", "A 42038-2023")</f>
        <v/>
      </c>
      <c r="Y125">
        <f>HYPERLINK("https://klasma.github.io/Logging_0680/kartor_geotiff/A 42038-2023 georefererad karta.tif", "A 42038-2023")</f>
        <v/>
      </c>
      <c r="AA125">
        <f>HYPERLINK("https://klasma.github.io/Logging_0680/klagomål/A 42038-2023 FSC-klagomål.docx", "A 42038-2023")</f>
        <v/>
      </c>
      <c r="AB125">
        <f>HYPERLINK("https://klasma.github.io/Logging_0680/klagomålsmail/A 42038-2023 FSC-klagomål mail.docx", "A 42038-2023")</f>
        <v/>
      </c>
      <c r="AC125">
        <f>HYPERLINK("https://klasma.github.io/Logging_0680/tillsyn/A 42038-2023 tillsynsbegäran.docx", "A 42038-2023")</f>
        <v/>
      </c>
      <c r="AD125">
        <f>HYPERLINK("https://klasma.github.io/Logging_0680/tillsynsmail/A 42038-2023 tillsynsbegäran mail.docx", "A 42038-2023")</f>
        <v/>
      </c>
    </row>
    <row r="126" ht="15" customHeight="1">
      <c r="A126" t="inlineStr">
        <is>
          <t>A 50190-2024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45600</v>
      </c>
      <c r="E126" s="1" t="n">
        <v>46321</v>
      </c>
      <c r="F126" t="inlineStr">
        <is>
          <t>JÖNKÖPINGS LÄN</t>
        </is>
      </c>
      <c r="G126" t="inlineStr">
        <is>
          <t>JÖNKÖPING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Skogsalm</t>
        </is>
      </c>
      <c r="W126">
        <f>HYPERLINK("https://klasma.github.io/Logging_0680/artfynd/A 50190-2024 artfynd.xlsx", "A 50190-2024")</f>
        <v/>
      </c>
      <c r="X126">
        <f>HYPERLINK("https://klasma.github.io/Logging_0680/kartor/A 50190-2024 karta.png", "A 50190-2024")</f>
        <v/>
      </c>
      <c r="Y126">
        <f>HYPERLINK("https://klasma.github.io/Logging_0680/kartor_geotiff/A 50190-2024 georefererad karta.tif", "A 50190-2024")</f>
        <v/>
      </c>
      <c r="AA126">
        <f>HYPERLINK("https://klasma.github.io/Logging_0680/klagomål/A 50190-2024 FSC-klagomål.docx", "A 50190-2024")</f>
        <v/>
      </c>
      <c r="AB126">
        <f>HYPERLINK("https://klasma.github.io/Logging_0680/klagomålsmail/A 50190-2024 FSC-klagomål mail.docx", "A 50190-2024")</f>
        <v/>
      </c>
      <c r="AC126">
        <f>HYPERLINK("https://klasma.github.io/Logging_0680/tillsyn/A 50190-2024 tillsynsbegäran.docx", "A 50190-2024")</f>
        <v/>
      </c>
      <c r="AD126">
        <f>HYPERLINK("https://klasma.github.io/Logging_0680/tillsynsmail/A 50190-2024 tillsynsbegäran mail.docx", "A 50190-2024")</f>
        <v/>
      </c>
    </row>
    <row r="127" ht="15" customHeight="1">
      <c r="A127" t="inlineStr">
        <is>
          <t>A 48371-2023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45205</v>
      </c>
      <c r="E127" s="1" t="n">
        <v>46321</v>
      </c>
      <c r="F127" t="inlineStr">
        <is>
          <t>JÖNKÖPINGS LÄN</t>
        </is>
      </c>
      <c r="G127" t="inlineStr">
        <is>
          <t>JÖNKÖPING</t>
        </is>
      </c>
      <c r="I127" t="n">
        <v>4.9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HYPERLINK("https://klasma.github.io/Logging_0680/artfynd/A 48371-2023 artfynd.xlsx", "A 48371-2023")</f>
        <v/>
      </c>
      <c r="X127">
        <f>HYPERLINK("https://klasma.github.io/Logging_0680/kartor/A 48371-2023 karta.png", "A 48371-2023")</f>
        <v/>
      </c>
      <c r="Y127">
        <f>HYPERLINK("https://klasma.github.io/Logging_0680/kartor_geotiff/A 48371-2023 georefererad karta.tif", "A 48371-2023")</f>
        <v/>
      </c>
      <c r="AA127">
        <f>HYPERLINK("https://klasma.github.io/Logging_0680/klagomål/A 48371-2023 FSC-klagomål.docx", "A 48371-2023")</f>
        <v/>
      </c>
      <c r="AB127">
        <f>HYPERLINK("https://klasma.github.io/Logging_0680/klagomålsmail/A 48371-2023 FSC-klagomål mail.docx", "A 48371-2023")</f>
        <v/>
      </c>
      <c r="AC127">
        <f>HYPERLINK("https://klasma.github.io/Logging_0680/tillsyn/A 48371-2023 tillsynsbegäran.docx", "A 48371-2023")</f>
        <v/>
      </c>
      <c r="AD127">
        <f>HYPERLINK("https://klasma.github.io/Logging_0680/tillsynsmail/A 48371-2023 tillsynsbegäran mail.docx", "A 48371-2023")</f>
        <v/>
      </c>
    </row>
    <row r="128" ht="15" customHeight="1">
      <c r="A128" t="inlineStr">
        <is>
          <t>A 62844-2023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46321</v>
      </c>
      <c r="F128" t="inlineStr">
        <is>
          <t>JÖNKÖPINGS LÄN</t>
        </is>
      </c>
      <c r="G128" t="inlineStr">
        <is>
          <t>JÖNKÖPING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0</v>
      </c>
      <c r="V128" s="2" t="inlineStr">
        <is>
          <t>Ask</t>
        </is>
      </c>
      <c r="W128">
        <f>HYPERLINK("https://klasma.github.io/Logging_0680/artfynd/A 62844-2023 artfynd.xlsx", "A 62844-2023")</f>
        <v/>
      </c>
      <c r="X128">
        <f>HYPERLINK("https://klasma.github.io/Logging_0680/kartor/A 62844-2023 karta.png", "A 62844-2023")</f>
        <v/>
      </c>
      <c r="Y128">
        <f>HYPERLINK("https://klasma.github.io/Logging_0680/kartor_geotiff/A 62844-2023 georefererad karta.tif", "A 62844-2023")</f>
        <v/>
      </c>
      <c r="AA128">
        <f>HYPERLINK("https://klasma.github.io/Logging_0680/klagomål/A 62844-2023 FSC-klagomål.docx", "A 62844-2023")</f>
        <v/>
      </c>
      <c r="AB128">
        <f>HYPERLINK("https://klasma.github.io/Logging_0680/klagomålsmail/A 62844-2023 FSC-klagomål mail.docx", "A 62844-2023")</f>
        <v/>
      </c>
      <c r="AC128">
        <f>HYPERLINK("https://klasma.github.io/Logging_0680/tillsyn/A 62844-2023 tillsynsbegäran.docx", "A 62844-2023")</f>
        <v/>
      </c>
      <c r="AD128">
        <f>HYPERLINK("https://klasma.github.io/Logging_0680/tillsynsmail/A 62844-2023 tillsynsbegäran mail.docx", "A 62844-2023")</f>
        <v/>
      </c>
    </row>
    <row r="129" ht="15" customHeight="1">
      <c r="A129" t="inlineStr">
        <is>
          <t>A 71504-2021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46321</v>
      </c>
      <c r="F129" t="inlineStr">
        <is>
          <t>JÖNKÖPINGS LÄN</t>
        </is>
      </c>
      <c r="G129" t="inlineStr">
        <is>
          <t>JÖNKÖPING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HYPERLINK("https://klasma.github.io/Logging_0680/artfynd/A 71504-2021 artfynd.xlsx", "A 71504-2021")</f>
        <v/>
      </c>
      <c r="X129">
        <f>HYPERLINK("https://klasma.github.io/Logging_0680/kartor/A 71504-2021 karta.png", "A 71504-2021")</f>
        <v/>
      </c>
      <c r="Y129">
        <f>HYPERLINK("https://klasma.github.io/Logging_0680/kartor_geotiff/A 71504-2021 georefererad karta.tif", "A 71504-2021")</f>
        <v/>
      </c>
      <c r="AA129">
        <f>HYPERLINK("https://klasma.github.io/Logging_0680/klagomål/A 71504-2021 FSC-klagomål.docx", "A 71504-2021")</f>
        <v/>
      </c>
      <c r="AB129">
        <f>HYPERLINK("https://klasma.github.io/Logging_0680/klagomålsmail/A 71504-2021 FSC-klagomål mail.docx", "A 71504-2021")</f>
        <v/>
      </c>
      <c r="AC129">
        <f>HYPERLINK("https://klasma.github.io/Logging_0680/tillsyn/A 71504-2021 tillsynsbegäran.docx", "A 71504-2021")</f>
        <v/>
      </c>
      <c r="AD129">
        <f>HYPERLINK("https://klasma.github.io/Logging_0680/tillsynsmail/A 71504-2021 tillsynsbegäran mail.docx", "A 71504-2021")</f>
        <v/>
      </c>
    </row>
    <row r="130" ht="15" customHeight="1">
      <c r="A130" t="inlineStr">
        <is>
          <t>A 53601-2022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46321</v>
      </c>
      <c r="F130" t="inlineStr">
        <is>
          <t>JÖNKÖPINGS LÄN</t>
        </is>
      </c>
      <c r="G130" t="inlineStr">
        <is>
          <t>JÖNKÖPING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Knärot</t>
        </is>
      </c>
      <c r="W130">
        <f>HYPERLINK("https://klasma.github.io/Logging_0680/artfynd/A 53601-2022 artfynd.xlsx", "A 53601-2022")</f>
        <v/>
      </c>
      <c r="X130">
        <f>HYPERLINK("https://klasma.github.io/Logging_0680/kartor/A 53601-2022 karta.png", "A 53601-2022")</f>
        <v/>
      </c>
      <c r="Y130">
        <f>HYPERLINK("https://klasma.github.io/Logging_0680/kartor_geotiff/A 53601-2022 georefererad karta.tif", "A 53601-2022")</f>
        <v/>
      </c>
      <c r="Z130">
        <f>HYPERLINK("https://klasma.github.io/Logging_0680/knärot/A 53601-2022 karta knärot.png", "A 53601-2022")</f>
        <v/>
      </c>
      <c r="AA130">
        <f>HYPERLINK("https://klasma.github.io/Logging_0680/klagomål/A 53601-2022 FSC-klagomål.docx", "A 53601-2022")</f>
        <v/>
      </c>
      <c r="AB130">
        <f>HYPERLINK("https://klasma.github.io/Logging_0680/klagomålsmail/A 53601-2022 FSC-klagomål mail.docx", "A 53601-2022")</f>
        <v/>
      </c>
      <c r="AC130">
        <f>HYPERLINK("https://klasma.github.io/Logging_0680/tillsyn/A 53601-2022 tillsynsbegäran.docx", "A 53601-2022")</f>
        <v/>
      </c>
      <c r="AD130">
        <f>HYPERLINK("https://klasma.github.io/Logging_0680/tillsynsmail/A 53601-2022 tillsynsbegäran mail.docx", "A 53601-2022")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46321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46321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273-2023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44955</v>
      </c>
      <c r="E133" s="1" t="n">
        <v>46321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26.3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Hållav</t>
        </is>
      </c>
      <c r="W133">
        <f>HYPERLINK("https://klasma.github.io/Logging_0680/artfynd/S 273-2023 artfynd.xlsx", "S 273-2023")</f>
        <v/>
      </c>
      <c r="X133">
        <f>HYPERLINK("https://klasma.github.io/Logging_0680/kartor/S 273-2023 karta.png", "S 273-2023")</f>
        <v/>
      </c>
      <c r="Y133">
        <f>HYPERLINK("https://klasma.github.io/Logging_0680/kartor_geotiff/S 273-2023 georefererad karta.tif", "S 273-2023")</f>
        <v/>
      </c>
      <c r="AA133">
        <f>HYPERLINK("https://klasma.github.io/Logging_0680/klagomål/S 273-2023 FSC-klagomål.docx", "S 273-2023")</f>
        <v/>
      </c>
      <c r="AB133">
        <f>HYPERLINK("https://klasma.github.io/Logging_0680/klagomålsmail/S 273-2023 FSC-klagomål mail.docx", "S 273-2023")</f>
        <v/>
      </c>
      <c r="AC133">
        <f>HYPERLINK("https://klasma.github.io/Logging_0680/tillsyn/S 273-2023 tillsynsbegäran.docx", "S 273-2023")</f>
        <v/>
      </c>
      <c r="AD133">
        <f>HYPERLINK("https://klasma.github.io/Logging_0680/tillsynsmail/S 273-2023 tillsynsbegäran mail.docx", "S 273-2023")</f>
        <v/>
      </c>
    </row>
    <row r="134" ht="15" customHeight="1">
      <c r="A134" t="inlineStr">
        <is>
          <t>S 1266-2023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45029</v>
      </c>
      <c r="E134" s="1" t="n">
        <v>46321</v>
      </c>
      <c r="F134" t="inlineStr">
        <is>
          <t>JÖNKÖPINGS LÄN</t>
        </is>
      </c>
      <c r="G134" t="inlineStr">
        <is>
          <t>JÖNKÖPING</t>
        </is>
      </c>
      <c r="I134" t="n">
        <v>16.7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Grönsångare</t>
        </is>
      </c>
      <c r="W134">
        <f>HYPERLINK("https://klasma.github.io/Logging_0680/artfynd/S 1266-2023 artfynd.xlsx", "S 1266-2023")</f>
        <v/>
      </c>
      <c r="X134">
        <f>HYPERLINK("https://klasma.github.io/Logging_0680/kartor/S 1266-2023 karta.png", "S 1266-2023")</f>
        <v/>
      </c>
      <c r="Y134">
        <f>HYPERLINK("https://klasma.github.io/Logging_0680/kartor_geotiff/S 1266-2023 georefererad karta.tif", "S 1266-2023")</f>
        <v/>
      </c>
      <c r="AA134">
        <f>HYPERLINK("https://klasma.github.io/Logging_0680/klagomål/S 1266-2023 FSC-klagomål.docx", "S 1266-2023")</f>
        <v/>
      </c>
      <c r="AB134">
        <f>HYPERLINK("https://klasma.github.io/Logging_0680/klagomålsmail/S 1266-2023 FSC-klagomål mail.docx", "S 1266-2023")</f>
        <v/>
      </c>
      <c r="AC134">
        <f>HYPERLINK("https://klasma.github.io/Logging_0680/tillsyn/S 1266-2023 tillsynsbegäran.docx", "S 1266-2023")</f>
        <v/>
      </c>
      <c r="AD134">
        <f>HYPERLINK("https://klasma.github.io/Logging_0680/tillsynsmail/S 1266-2023 tillsynsbegäran mail.docx", "S 1266-2023")</f>
        <v/>
      </c>
      <c r="AE134">
        <f>HYPERLINK("https://klasma.github.io/Logging_0680/fåglar/S 1266-2023 prioriterade fågelarter.docx", "S 1266-2023")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46321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46321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46321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46321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46321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46321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46321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46321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46321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46321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46321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46321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46321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46321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46321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46321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46321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46321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46321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46321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46321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46321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46321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46321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46321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46321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46321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46321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46321</v>
      </c>
      <c r="F163" t="inlineStr">
        <is>
          <t>JÖNKÖPINGS LÄN</t>
        </is>
      </c>
      <c r="G163" t="inlineStr">
        <is>
          <t>JÖNKÖPING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46321</v>
      </c>
      <c r="F164" t="inlineStr">
        <is>
          <t>JÖNKÖPINGS LÄN</t>
        </is>
      </c>
      <c r="G164" t="inlineStr">
        <is>
          <t>JÖNKÖPING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46321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46321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46321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46321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46321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46321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46321</v>
      </c>
      <c r="F171" t="inlineStr">
        <is>
          <t>JÖNKÖPINGS LÄN</t>
        </is>
      </c>
      <c r="G171" t="inlineStr">
        <is>
          <t>JÖNKÖPING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46321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46321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46321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46321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46321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46321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46321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46321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46321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46321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46321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46321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46321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46321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46321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46321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44622</v>
      </c>
      <c r="E188" s="1" t="n">
        <v>46321</v>
      </c>
      <c r="F188" t="inlineStr">
        <is>
          <t>JÖNKÖPINGS LÄN</t>
        </is>
      </c>
      <c r="G188" t="inlineStr">
        <is>
          <t>JÖNKÖPING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46321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46321</v>
      </c>
      <c r="F190" t="inlineStr">
        <is>
          <t>JÖNKÖPINGS LÄN</t>
        </is>
      </c>
      <c r="G190" t="inlineStr">
        <is>
          <t>JÖNKÖPING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38901-2025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45887</v>
      </c>
      <c r="E191" s="1" t="n">
        <v>46321</v>
      </c>
      <c r="F191" t="inlineStr">
        <is>
          <t>JÖNKÖPINGS LÄN</t>
        </is>
      </c>
      <c r="G191" t="inlineStr">
        <is>
          <t>JÖNKÖPING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46321</v>
      </c>
      <c r="F192" t="inlineStr">
        <is>
          <t>JÖNKÖPINGS LÄN</t>
        </is>
      </c>
      <c r="G192" t="inlineStr">
        <is>
          <t>JÖNKÖPING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46321</v>
      </c>
      <c r="F193" t="inlineStr">
        <is>
          <t>JÖNKÖPINGS LÄN</t>
        </is>
      </c>
      <c r="G193" t="inlineStr">
        <is>
          <t>JÖNKÖPING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45008</v>
      </c>
      <c r="E194" s="1" t="n">
        <v>46321</v>
      </c>
      <c r="F194" t="inlineStr">
        <is>
          <t>JÖNKÖPINGS LÄN</t>
        </is>
      </c>
      <c r="G194" t="inlineStr">
        <is>
          <t>JÖNKÖPING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46321</v>
      </c>
      <c r="F195" t="inlineStr">
        <is>
          <t>JÖNKÖPINGS LÄN</t>
        </is>
      </c>
      <c r="G195" t="inlineStr">
        <is>
          <t>JÖNKÖPING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46321</v>
      </c>
      <c r="F196" t="inlineStr">
        <is>
          <t>JÖNKÖPINGS LÄN</t>
        </is>
      </c>
      <c r="G196" t="inlineStr">
        <is>
          <t>JÖNKÖPING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46321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45697</v>
      </c>
      <c r="E198" s="1" t="n">
        <v>46321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46321</v>
      </c>
      <c r="F199" t="inlineStr">
        <is>
          <t>JÖNKÖPINGS LÄN</t>
        </is>
      </c>
      <c r="G199" t="inlineStr">
        <is>
          <t>JÖNKÖPING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44662</v>
      </c>
      <c r="E200" s="1" t="n">
        <v>46321</v>
      </c>
      <c r="F200" t="inlineStr">
        <is>
          <t>JÖNKÖPINGS LÄN</t>
        </is>
      </c>
      <c r="G200" t="inlineStr">
        <is>
          <t>JÖNKÖPING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45892</v>
      </c>
      <c r="E201" s="1" t="n">
        <v>46321</v>
      </c>
      <c r="F201" t="inlineStr">
        <is>
          <t>JÖNKÖPINGS LÄN</t>
        </is>
      </c>
      <c r="G201" t="inlineStr">
        <is>
          <t>JÖNKÖPING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45892</v>
      </c>
      <c r="E202" s="1" t="n">
        <v>46321</v>
      </c>
      <c r="F202" t="inlineStr">
        <is>
          <t>JÖNKÖPINGS LÄN</t>
        </is>
      </c>
      <c r="G202" t="inlineStr">
        <is>
          <t>JÖNKÖPING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46321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46321</v>
      </c>
      <c r="F204" t="inlineStr">
        <is>
          <t>JÖNKÖPINGS LÄN</t>
        </is>
      </c>
      <c r="G204" t="inlineStr">
        <is>
          <t>JÖNKÖPING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46321</v>
      </c>
      <c r="F205" t="inlineStr">
        <is>
          <t>JÖNKÖPINGS LÄN</t>
        </is>
      </c>
      <c r="G205" t="inlineStr">
        <is>
          <t>JÖNKÖPING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46321</v>
      </c>
      <c r="F206" t="inlineStr">
        <is>
          <t>JÖNKÖPINGS LÄN</t>
        </is>
      </c>
      <c r="G206" t="inlineStr">
        <is>
          <t>JÖNKÖPING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62909-2023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45271</v>
      </c>
      <c r="E207" s="1" t="n">
        <v>46321</v>
      </c>
      <c r="F207" t="inlineStr">
        <is>
          <t>JÖNKÖPINGS LÄN</t>
        </is>
      </c>
      <c r="G207" t="inlineStr">
        <is>
          <t>JÖNKÖPING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46321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46321</v>
      </c>
      <c r="F209" t="inlineStr">
        <is>
          <t>JÖNKÖPINGS LÄN</t>
        </is>
      </c>
      <c r="G209" t="inlineStr">
        <is>
          <t>JÖNKÖPING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45461</v>
      </c>
      <c r="E210" s="1" t="n">
        <v>46321</v>
      </c>
      <c r="F210" t="inlineStr">
        <is>
          <t>JÖNKÖPINGS LÄN</t>
        </is>
      </c>
      <c r="G210" t="inlineStr">
        <is>
          <t>JÖNKÖPING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46321</v>
      </c>
      <c r="F211" t="inlineStr">
        <is>
          <t>JÖNKÖPINGS LÄN</t>
        </is>
      </c>
      <c r="G211" t="inlineStr">
        <is>
          <t>JÖNKÖPING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46321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46321</v>
      </c>
      <c r="F213" t="inlineStr">
        <is>
          <t>JÖNKÖPINGS LÄN</t>
        </is>
      </c>
      <c r="G213" t="inlineStr">
        <is>
          <t>JÖNKÖPING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46321</v>
      </c>
      <c r="F214" t="inlineStr">
        <is>
          <t>JÖNKÖPINGS LÄN</t>
        </is>
      </c>
      <c r="G214" t="inlineStr">
        <is>
          <t>JÖNKÖPING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46321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46321</v>
      </c>
      <c r="F216" t="inlineStr">
        <is>
          <t>JÖNKÖPINGS LÄN</t>
        </is>
      </c>
      <c r="G216" t="inlineStr">
        <is>
          <t>JÖNKÖPING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46321</v>
      </c>
      <c r="F217" t="inlineStr">
        <is>
          <t>JÖNKÖPINGS LÄN</t>
        </is>
      </c>
      <c r="G217" t="inlineStr">
        <is>
          <t>JÖNKÖPING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46321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46321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Kyrkan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46321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46321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46321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46321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46321</v>
      </c>
      <c r="F224" t="inlineStr">
        <is>
          <t>JÖNKÖPINGS LÄN</t>
        </is>
      </c>
      <c r="G224" t="inlineStr">
        <is>
          <t>JÖNKÖPING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46321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44507</v>
      </c>
      <c r="E226" s="1" t="n">
        <v>46321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46321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46321</v>
      </c>
      <c r="F228" t="inlineStr">
        <is>
          <t>JÖNKÖPINGS LÄN</t>
        </is>
      </c>
      <c r="G228" t="inlineStr">
        <is>
          <t>JÖNKÖPING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46321</v>
      </c>
      <c r="F229" t="inlineStr">
        <is>
          <t>JÖNKÖPINGS LÄN</t>
        </is>
      </c>
      <c r="G229" t="inlineStr">
        <is>
          <t>JÖNKÖPING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46321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46321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46321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46321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46321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46321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46162</v>
      </c>
      <c r="E236" s="1" t="n">
        <v>46321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46321</v>
      </c>
      <c r="F237" t="inlineStr">
        <is>
          <t>JÖNKÖPINGS LÄN</t>
        </is>
      </c>
      <c r="G237" t="inlineStr">
        <is>
          <t>JÖNKÖPING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46321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46321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46321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44677</v>
      </c>
      <c r="E241" s="1" t="n">
        <v>46321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46321</v>
      </c>
      <c r="F242" t="inlineStr">
        <is>
          <t>JÖNKÖPINGS LÄN</t>
        </is>
      </c>
      <c r="G242" t="inlineStr">
        <is>
          <t>JÖNKÖPING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46321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46321</v>
      </c>
      <c r="F244" t="inlineStr">
        <is>
          <t>JÖNKÖPINGS LÄN</t>
        </is>
      </c>
      <c r="G244" t="inlineStr">
        <is>
          <t>JÖNKÖPING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46321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46321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Kyrkan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46321</v>
      </c>
      <c r="F247" t="inlineStr">
        <is>
          <t>JÖNKÖPINGS LÄN</t>
        </is>
      </c>
      <c r="G247" t="inlineStr">
        <is>
          <t>JÖNKÖPING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46321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46321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24422-2026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46168</v>
      </c>
      <c r="E250" s="1" t="n">
        <v>46321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46321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46321</v>
      </c>
      <c r="F252" t="inlineStr">
        <is>
          <t>JÖNKÖPINGS LÄN</t>
        </is>
      </c>
      <c r="G252" t="inlineStr">
        <is>
          <t>JÖNKÖPING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46321</v>
      </c>
      <c r="F253" t="inlineStr">
        <is>
          <t>JÖNKÖPINGS LÄN</t>
        </is>
      </c>
      <c r="G253" t="inlineStr">
        <is>
          <t>JÖNKÖPING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46321</v>
      </c>
      <c r="F254" t="inlineStr">
        <is>
          <t>JÖNKÖPINGS LÄN</t>
        </is>
      </c>
      <c r="G254" t="inlineStr">
        <is>
          <t>JÖNKÖPING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46321</v>
      </c>
      <c r="F255" t="inlineStr">
        <is>
          <t>JÖNKÖPINGS LÄN</t>
        </is>
      </c>
      <c r="G255" t="inlineStr">
        <is>
          <t>JÖNKÖPING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44628</v>
      </c>
      <c r="E256" s="1" t="n">
        <v>46321</v>
      </c>
      <c r="F256" t="inlineStr">
        <is>
          <t>JÖNKÖPINGS LÄN</t>
        </is>
      </c>
      <c r="G256" t="inlineStr">
        <is>
          <t>JÖNKÖPING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45051</v>
      </c>
      <c r="E257" s="1" t="n">
        <v>46321</v>
      </c>
      <c r="F257" t="inlineStr">
        <is>
          <t>JÖNKÖPINGS LÄN</t>
        </is>
      </c>
      <c r="G257" t="inlineStr">
        <is>
          <t>JÖNKÖPING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46321</v>
      </c>
      <c r="F258" t="inlineStr">
        <is>
          <t>JÖNKÖPINGS LÄN</t>
        </is>
      </c>
      <c r="G258" t="inlineStr">
        <is>
          <t>JÖNKÖPING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46321</v>
      </c>
      <c r="F259" t="inlineStr">
        <is>
          <t>JÖNKÖPINGS LÄN</t>
        </is>
      </c>
      <c r="G259" t="inlineStr">
        <is>
          <t>JÖNKÖPING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45934</v>
      </c>
      <c r="E260" s="1" t="n">
        <v>46321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46321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45130</v>
      </c>
      <c r="E262" s="1" t="n">
        <v>46321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46321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44804</v>
      </c>
      <c r="E264" s="1" t="n">
        <v>46321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46321</v>
      </c>
      <c r="F265" t="inlineStr">
        <is>
          <t>JÖNKÖPINGS LÄN</t>
        </is>
      </c>
      <c r="G265" t="inlineStr">
        <is>
          <t>JÖNKÖPING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46321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46321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46321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46321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44998</v>
      </c>
      <c r="E270" s="1" t="n">
        <v>46321</v>
      </c>
      <c r="F270" t="inlineStr">
        <is>
          <t>JÖNKÖPINGS LÄN</t>
        </is>
      </c>
      <c r="G270" t="inlineStr">
        <is>
          <t>JÖNKÖPING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46321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45673</v>
      </c>
      <c r="E272" s="1" t="n">
        <v>46321</v>
      </c>
      <c r="F272" t="inlineStr">
        <is>
          <t>JÖNKÖPINGS LÄN</t>
        </is>
      </c>
      <c r="G272" t="inlineStr">
        <is>
          <t>JÖNKÖPING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46321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46321</v>
      </c>
      <c r="F274" t="inlineStr">
        <is>
          <t>JÖNKÖPINGS LÄN</t>
        </is>
      </c>
      <c r="G274" t="inlineStr">
        <is>
          <t>JÖNKÖPING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46321</v>
      </c>
      <c r="F275" t="inlineStr">
        <is>
          <t>JÖNKÖPINGS LÄN</t>
        </is>
      </c>
      <c r="G275" t="inlineStr">
        <is>
          <t>JÖNKÖPING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46321</v>
      </c>
      <c r="F276" t="inlineStr">
        <is>
          <t>JÖNKÖPINGS LÄN</t>
        </is>
      </c>
      <c r="G276" t="inlineStr">
        <is>
          <t>JÖNKÖPING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46321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46321</v>
      </c>
      <c r="F278" t="inlineStr">
        <is>
          <t>JÖNKÖPINGS LÄN</t>
        </is>
      </c>
      <c r="G278" t="inlineStr">
        <is>
          <t>JÖNKÖPING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46321</v>
      </c>
      <c r="F279" t="inlineStr">
        <is>
          <t>JÖNKÖPINGS LÄN</t>
        </is>
      </c>
      <c r="G279" t="inlineStr">
        <is>
          <t>JÖNKÖPING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46321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46321</v>
      </c>
      <c r="F281" t="inlineStr">
        <is>
          <t>JÖNKÖPINGS LÄN</t>
        </is>
      </c>
      <c r="G281" t="inlineStr">
        <is>
          <t>JÖNKÖPING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46321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44893</v>
      </c>
      <c r="E283" s="1" t="n">
        <v>46321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46321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46321</v>
      </c>
      <c r="F285" t="inlineStr">
        <is>
          <t>JÖNKÖPINGS LÄN</t>
        </is>
      </c>
      <c r="G285" t="inlineStr">
        <is>
          <t>JÖNKÖPING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46321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46321</v>
      </c>
      <c r="F287" t="inlineStr">
        <is>
          <t>JÖNKÖPINGS LÄN</t>
        </is>
      </c>
      <c r="G287" t="inlineStr">
        <is>
          <t>JÖNKÖPING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46321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45477</v>
      </c>
      <c r="E289" s="1" t="n">
        <v>46321</v>
      </c>
      <c r="F289" t="inlineStr">
        <is>
          <t>JÖNKÖPINGS LÄN</t>
        </is>
      </c>
      <c r="G289" t="inlineStr">
        <is>
          <t>JÖNKÖPING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46321</v>
      </c>
      <c r="F290" t="inlineStr">
        <is>
          <t>JÖNKÖPINGS LÄN</t>
        </is>
      </c>
      <c r="G290" t="inlineStr">
        <is>
          <t>JÖNKÖPING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45605</v>
      </c>
      <c r="E291" s="1" t="n">
        <v>46321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46321</v>
      </c>
      <c r="F292" t="inlineStr">
        <is>
          <t>JÖNKÖPINGS LÄN</t>
        </is>
      </c>
      <c r="G292" t="inlineStr">
        <is>
          <t>JÖNKÖPING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46321</v>
      </c>
      <c r="F293" t="inlineStr">
        <is>
          <t>JÖNKÖPINGS LÄN</t>
        </is>
      </c>
      <c r="G293" t="inlineStr">
        <is>
          <t>JÖNKÖPING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45757</v>
      </c>
      <c r="E294" s="1" t="n">
        <v>46321</v>
      </c>
      <c r="F294" t="inlineStr">
        <is>
          <t>JÖNKÖPINGS LÄN</t>
        </is>
      </c>
      <c r="G294" t="inlineStr">
        <is>
          <t>JÖNKÖPING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46321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46321</v>
      </c>
      <c r="F296" t="inlineStr">
        <is>
          <t>JÖNKÖPINGS LÄN</t>
        </is>
      </c>
      <c r="G296" t="inlineStr">
        <is>
          <t>JÖNKÖPING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44631</v>
      </c>
      <c r="E297" s="1" t="n">
        <v>46321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45240</v>
      </c>
      <c r="E298" s="1" t="n">
        <v>46321</v>
      </c>
      <c r="F298" t="inlineStr">
        <is>
          <t>JÖNKÖPINGS LÄN</t>
        </is>
      </c>
      <c r="G298" t="inlineStr">
        <is>
          <t>JÖNKÖPING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46321</v>
      </c>
      <c r="F299" t="inlineStr">
        <is>
          <t>JÖNKÖPINGS LÄN</t>
        </is>
      </c>
      <c r="G299" t="inlineStr">
        <is>
          <t>JÖNKÖPING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46321</v>
      </c>
      <c r="F300" t="inlineStr">
        <is>
          <t>JÖNKÖPINGS LÄN</t>
        </is>
      </c>
      <c r="G300" t="inlineStr">
        <is>
          <t>JÖNKÖPING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45958</v>
      </c>
      <c r="E301" s="1" t="n">
        <v>46321</v>
      </c>
      <c r="F301" t="inlineStr">
        <is>
          <t>JÖNKÖPINGS LÄN</t>
        </is>
      </c>
      <c r="G301" t="inlineStr">
        <is>
          <t>JÖNKÖPING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45958</v>
      </c>
      <c r="E302" s="1" t="n">
        <v>46321</v>
      </c>
      <c r="F302" t="inlineStr">
        <is>
          <t>JÖNKÖPINGS LÄN</t>
        </is>
      </c>
      <c r="G302" t="inlineStr">
        <is>
          <t>JÖNKÖPING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46321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46321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45012</v>
      </c>
      <c r="E305" s="1" t="n">
        <v>46321</v>
      </c>
      <c r="F305" t="inlineStr">
        <is>
          <t>JÖNKÖPINGS LÄN</t>
        </is>
      </c>
      <c r="G305" t="inlineStr">
        <is>
          <t>JÖNKÖPING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45300</v>
      </c>
      <c r="E306" s="1" t="n">
        <v>46321</v>
      </c>
      <c r="F306" t="inlineStr">
        <is>
          <t>JÖNKÖPINGS LÄN</t>
        </is>
      </c>
      <c r="G306" t="inlineStr">
        <is>
          <t>JÖNKÖPING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46321</v>
      </c>
      <c r="F307" t="inlineStr">
        <is>
          <t>JÖNKÖPINGS LÄN</t>
        </is>
      </c>
      <c r="G307" t="inlineStr">
        <is>
          <t>JÖNKÖPING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9924-2023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44985</v>
      </c>
      <c r="E308" s="1" t="n">
        <v>46321</v>
      </c>
      <c r="F308" t="inlineStr">
        <is>
          <t>JÖNKÖPINGS LÄN</t>
        </is>
      </c>
      <c r="G308" t="inlineStr">
        <is>
          <t>JÖNKÖPING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46321</v>
      </c>
      <c r="F309" t="inlineStr">
        <is>
          <t>JÖNKÖPINGS LÄN</t>
        </is>
      </c>
      <c r="G309" t="inlineStr">
        <is>
          <t>JÖNKÖPING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45455</v>
      </c>
      <c r="E310" s="1" t="n">
        <v>46321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45455</v>
      </c>
      <c r="E311" s="1" t="n">
        <v>46321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46321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46321</v>
      </c>
      <c r="F313" t="inlineStr">
        <is>
          <t>JÖNKÖPINGS LÄN</t>
        </is>
      </c>
      <c r="G313" t="inlineStr">
        <is>
          <t>JÖNKÖPING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46321</v>
      </c>
      <c r="F314" t="inlineStr">
        <is>
          <t>JÖNKÖPINGS LÄN</t>
        </is>
      </c>
      <c r="G314" t="inlineStr">
        <is>
          <t>JÖNKÖPING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46321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46321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46321</v>
      </c>
      <c r="F317" t="inlineStr">
        <is>
          <t>JÖNKÖPINGS LÄN</t>
        </is>
      </c>
      <c r="G317" t="inlineStr">
        <is>
          <t>JÖNKÖPING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46321</v>
      </c>
      <c r="F318" t="inlineStr">
        <is>
          <t>JÖNKÖPINGS LÄN</t>
        </is>
      </c>
      <c r="G318" t="inlineStr">
        <is>
          <t>JÖNKÖPING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45177</v>
      </c>
      <c r="E319" s="1" t="n">
        <v>46321</v>
      </c>
      <c r="F319" t="inlineStr">
        <is>
          <t>JÖNKÖPINGS LÄN</t>
        </is>
      </c>
      <c r="G319" t="inlineStr">
        <is>
          <t>JÖNKÖPING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46321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46321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46321</v>
      </c>
      <c r="F322" t="inlineStr">
        <is>
          <t>JÖNKÖPINGS LÄN</t>
        </is>
      </c>
      <c r="G322" t="inlineStr">
        <is>
          <t>JÖNKÖPING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46321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46321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46321</v>
      </c>
      <c r="F325" t="inlineStr">
        <is>
          <t>JÖNKÖPINGS LÄN</t>
        </is>
      </c>
      <c r="G325" t="inlineStr">
        <is>
          <t>JÖNKÖPING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8809-2024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45356</v>
      </c>
      <c r="E326" s="1" t="n">
        <v>46321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46321</v>
      </c>
      <c r="F327" t="inlineStr">
        <is>
          <t>JÖNKÖPINGS LÄN</t>
        </is>
      </c>
      <c r="G327" t="inlineStr">
        <is>
          <t>JÖNKÖPING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46321</v>
      </c>
      <c r="F328" t="inlineStr">
        <is>
          <t>JÖNKÖPINGS LÄN</t>
        </is>
      </c>
      <c r="G328" t="inlineStr">
        <is>
          <t>JÖNKÖPING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46321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46321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46321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46321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46321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46321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46321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46321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46321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29292-2026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46197</v>
      </c>
      <c r="E338" s="1" t="n">
        <v>46321</v>
      </c>
      <c r="F338" t="inlineStr">
        <is>
          <t>JÖNKÖPINGS LÄN</t>
        </is>
      </c>
      <c r="G338" t="inlineStr">
        <is>
          <t>JÖNKÖPING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46321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45169</v>
      </c>
      <c r="E340" s="1" t="n">
        <v>46321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46321</v>
      </c>
      <c r="F341" t="inlineStr">
        <is>
          <t>JÖNKÖPINGS LÄN</t>
        </is>
      </c>
      <c r="G341" t="inlineStr">
        <is>
          <t>JÖNKÖPING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46201</v>
      </c>
      <c r="E342" s="1" t="n">
        <v>46321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46321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46201</v>
      </c>
      <c r="E344" s="1" t="n">
        <v>46321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46321</v>
      </c>
      <c r="F345" t="inlineStr">
        <is>
          <t>JÖNKÖPINGS LÄN</t>
        </is>
      </c>
      <c r="G345" t="inlineStr">
        <is>
          <t>JÖNKÖPING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46201</v>
      </c>
      <c r="E346" s="1" t="n">
        <v>46321</v>
      </c>
      <c r="F346" t="inlineStr">
        <is>
          <t>JÖNKÖPINGS LÄN</t>
        </is>
      </c>
      <c r="G346" t="inlineStr">
        <is>
          <t>JÖNKÖPING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44904</v>
      </c>
      <c r="E347" s="1" t="n">
        <v>46321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46321</v>
      </c>
      <c r="F348" t="inlineStr">
        <is>
          <t>JÖNKÖPINGS LÄN</t>
        </is>
      </c>
      <c r="G348" t="inlineStr">
        <is>
          <t>JÖNKÖPING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46321</v>
      </c>
      <c r="F349" t="inlineStr">
        <is>
          <t>JÖNKÖPINGS LÄN</t>
        </is>
      </c>
      <c r="G349" t="inlineStr">
        <is>
          <t>JÖNKÖPING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62332-2022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44923</v>
      </c>
      <c r="E350" s="1" t="n">
        <v>46321</v>
      </c>
      <c r="F350" t="inlineStr">
        <is>
          <t>JÖNKÖPINGS LÄN</t>
        </is>
      </c>
      <c r="G350" t="inlineStr">
        <is>
          <t>JÖNKÖPING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46321</v>
      </c>
      <c r="F351" t="inlineStr">
        <is>
          <t>JÖNKÖPINGS LÄN</t>
        </is>
      </c>
      <c r="G351" t="inlineStr">
        <is>
          <t>JÖNKÖPING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46321</v>
      </c>
      <c r="F352" t="inlineStr">
        <is>
          <t>JÖNKÖPINGS LÄN</t>
        </is>
      </c>
      <c r="G352" t="inlineStr">
        <is>
          <t>JÖNKÖPING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46321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46203</v>
      </c>
      <c r="E354" s="1" t="n">
        <v>46321</v>
      </c>
      <c r="F354" t="inlineStr">
        <is>
          <t>JÖNKÖPINGS LÄN</t>
        </is>
      </c>
      <c r="G354" t="inlineStr">
        <is>
          <t>JÖNKÖPING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46321</v>
      </c>
      <c r="F355" t="inlineStr">
        <is>
          <t>JÖNKÖPINGS LÄN</t>
        </is>
      </c>
      <c r="G355" t="inlineStr">
        <is>
          <t>JÖNKÖPING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46321</v>
      </c>
      <c r="F356" t="inlineStr">
        <is>
          <t>JÖNKÖPINGS LÄN</t>
        </is>
      </c>
      <c r="G356" t="inlineStr">
        <is>
          <t>JÖNKÖPING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46321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46321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46321</v>
      </c>
      <c r="F359" t="inlineStr">
        <is>
          <t>JÖNKÖPINGS LÄN</t>
        </is>
      </c>
      <c r="G359" t="inlineStr">
        <is>
          <t>JÖNKÖPING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45406</v>
      </c>
      <c r="E360" s="1" t="n">
        <v>46321</v>
      </c>
      <c r="F360" t="inlineStr">
        <is>
          <t>JÖNKÖPINGS LÄN</t>
        </is>
      </c>
      <c r="G360" t="inlineStr">
        <is>
          <t>JÖNKÖPING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45533</v>
      </c>
      <c r="E361" s="1" t="n">
        <v>46321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46321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Sveaskog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46321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46321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46321</v>
      </c>
      <c r="F365" t="inlineStr">
        <is>
          <t>JÖNKÖPINGS LÄN</t>
        </is>
      </c>
      <c r="G365" t="inlineStr">
        <is>
          <t>JÖNKÖPING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46321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46321</v>
      </c>
      <c r="F367" t="inlineStr">
        <is>
          <t>JÖNKÖPINGS LÄN</t>
        </is>
      </c>
      <c r="G367" t="inlineStr">
        <is>
          <t>JÖNKÖPING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46211</v>
      </c>
      <c r="E368" s="1" t="n">
        <v>46321</v>
      </c>
      <c r="F368" t="inlineStr">
        <is>
          <t>JÖNKÖPINGS LÄN</t>
        </is>
      </c>
      <c r="G368" t="inlineStr">
        <is>
          <t>JÖNKÖPING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46211</v>
      </c>
      <c r="E369" s="1" t="n">
        <v>46321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46321</v>
      </c>
      <c r="F370" t="inlineStr">
        <is>
          <t>JÖNKÖPINGS LÄN</t>
        </is>
      </c>
      <c r="G370" t="inlineStr">
        <is>
          <t>JÖNKÖPING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46321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46321</v>
      </c>
      <c r="F372" t="inlineStr">
        <is>
          <t>JÖNKÖPINGS LÄN</t>
        </is>
      </c>
      <c r="G372" t="inlineStr">
        <is>
          <t>JÖNKÖPING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46321</v>
      </c>
      <c r="F373" t="inlineStr">
        <is>
          <t>JÖNKÖPINGS LÄN</t>
        </is>
      </c>
      <c r="G373" t="inlineStr">
        <is>
          <t>JÖNKÖPING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46321</v>
      </c>
      <c r="F374" t="inlineStr">
        <is>
          <t>JÖNKÖPINGS LÄN</t>
        </is>
      </c>
      <c r="G374" t="inlineStr">
        <is>
          <t>JÖNKÖPING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46211</v>
      </c>
      <c r="E375" s="1" t="n">
        <v>46321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46321</v>
      </c>
      <c r="F376" t="inlineStr">
        <is>
          <t>JÖNKÖPINGS LÄN</t>
        </is>
      </c>
      <c r="G376" t="inlineStr">
        <is>
          <t>JÖNKÖPING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46211</v>
      </c>
      <c r="E377" s="1" t="n">
        <v>46321</v>
      </c>
      <c r="F377" t="inlineStr">
        <is>
          <t>JÖNKÖPINGS LÄN</t>
        </is>
      </c>
      <c r="G377" t="inlineStr">
        <is>
          <t>JÖNKÖPING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46321</v>
      </c>
      <c r="F378" t="inlineStr">
        <is>
          <t>JÖNKÖPINGS LÄN</t>
        </is>
      </c>
      <c r="G378" t="inlineStr">
        <is>
          <t>JÖNKÖPING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46321</v>
      </c>
      <c r="F379" t="inlineStr">
        <is>
          <t>JÖNKÖPINGS LÄN</t>
        </is>
      </c>
      <c r="G379" t="inlineStr">
        <is>
          <t>JÖNKÖPING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46321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46321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46321</v>
      </c>
      <c r="F382" t="inlineStr">
        <is>
          <t>JÖNKÖPINGS LÄN</t>
        </is>
      </c>
      <c r="G382" t="inlineStr">
        <is>
          <t>JÖNKÖPING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46321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46321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46321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46321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46321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46321</v>
      </c>
      <c r="F388" t="inlineStr">
        <is>
          <t>JÖNKÖPINGS LÄN</t>
        </is>
      </c>
      <c r="G388" t="inlineStr">
        <is>
          <t>JÖNKÖPING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45502</v>
      </c>
      <c r="E389" s="1" t="n">
        <v>46321</v>
      </c>
      <c r="F389" t="inlineStr">
        <is>
          <t>JÖNKÖPINGS LÄN</t>
        </is>
      </c>
      <c r="G389" t="inlineStr">
        <is>
          <t>JÖNKÖPING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46321</v>
      </c>
      <c r="F390" t="inlineStr">
        <is>
          <t>JÖNKÖPINGS LÄN</t>
        </is>
      </c>
      <c r="G390" t="inlineStr">
        <is>
          <t>JÖNKÖPING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45764</v>
      </c>
      <c r="E391" s="1" t="n">
        <v>46321</v>
      </c>
      <c r="F391" t="inlineStr">
        <is>
          <t>JÖNKÖPINGS LÄN</t>
        </is>
      </c>
      <c r="G391" t="inlineStr">
        <is>
          <t>JÖNKÖPING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46321</v>
      </c>
      <c r="F392" t="inlineStr">
        <is>
          <t>JÖNKÖPINGS LÄN</t>
        </is>
      </c>
      <c r="G392" t="inlineStr">
        <is>
          <t>JÖNKÖPING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46321</v>
      </c>
      <c r="F393" t="inlineStr">
        <is>
          <t>JÖNKÖPINGS LÄN</t>
        </is>
      </c>
      <c r="G393" t="inlineStr">
        <is>
          <t>JÖNKÖPING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46321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46219</v>
      </c>
      <c r="E395" s="1" t="n">
        <v>46321</v>
      </c>
      <c r="F395" t="inlineStr">
        <is>
          <t>JÖNKÖPINGS LÄN</t>
        </is>
      </c>
      <c r="G395" t="inlineStr">
        <is>
          <t>JÖNKÖPING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46321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46321</v>
      </c>
      <c r="F397" t="inlineStr">
        <is>
          <t>JÖNKÖPINGS LÄN</t>
        </is>
      </c>
      <c r="G397" t="inlineStr">
        <is>
          <t>JÖNKÖPING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46321</v>
      </c>
      <c r="F398" t="inlineStr">
        <is>
          <t>JÖNKÖPINGS LÄN</t>
        </is>
      </c>
      <c r="G398" t="inlineStr">
        <is>
          <t>JÖNKÖPING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31405-2026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46220</v>
      </c>
      <c r="E399" s="1" t="n">
        <v>46321</v>
      </c>
      <c r="F399" t="inlineStr">
        <is>
          <t>JÖNKÖPINGS LÄN</t>
        </is>
      </c>
      <c r="G399" t="inlineStr">
        <is>
          <t>JÖNKÖPING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46321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47314-2022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44853</v>
      </c>
      <c r="E401" s="1" t="n">
        <v>46321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Kyrkan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46230</v>
      </c>
      <c r="E402" s="1" t="n">
        <v>46321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46230</v>
      </c>
      <c r="E403" s="1" t="n">
        <v>46321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46321</v>
      </c>
      <c r="F404" t="inlineStr">
        <is>
          <t>JÖNKÖPINGS LÄN</t>
        </is>
      </c>
      <c r="G404" t="inlineStr">
        <is>
          <t>JÖNKÖPING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33398-2024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46321</v>
      </c>
      <c r="F405" t="inlineStr">
        <is>
          <t>JÖNKÖPINGS LÄN</t>
        </is>
      </c>
      <c r="G405" t="inlineStr">
        <is>
          <t>JÖNKÖPING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46321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63127-2025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46321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46321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63125-2025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46321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32147-2026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46234</v>
      </c>
      <c r="E410" s="1" t="n">
        <v>46321</v>
      </c>
      <c r="F410" t="inlineStr">
        <is>
          <t>JÖNKÖPINGS LÄN</t>
        </is>
      </c>
      <c r="G410" t="inlineStr">
        <is>
          <t>JÖNKÖPING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46321</v>
      </c>
      <c r="F411" t="inlineStr">
        <is>
          <t>JÖNKÖPINGS LÄN</t>
        </is>
      </c>
      <c r="G411" t="inlineStr">
        <is>
          <t>JÖNKÖPING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46321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46321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46321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46321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37883-2026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46279</v>
      </c>
      <c r="E416" s="1" t="n">
        <v>46321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46321</v>
      </c>
      <c r="F417" t="inlineStr">
        <is>
          <t>JÖNKÖPINGS LÄN</t>
        </is>
      </c>
      <c r="G417" t="inlineStr">
        <is>
          <t>JÖNKÖPING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46233</v>
      </c>
      <c r="E418" s="1" t="n">
        <v>46321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46321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46321</v>
      </c>
      <c r="F420" t="inlineStr">
        <is>
          <t>JÖNKÖPINGS LÄN</t>
        </is>
      </c>
      <c r="G420" t="inlineStr">
        <is>
          <t>JÖNKÖPING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46321</v>
      </c>
      <c r="F421" t="inlineStr">
        <is>
          <t>JÖNKÖPINGS LÄN</t>
        </is>
      </c>
      <c r="G421" t="inlineStr">
        <is>
          <t>JÖNKÖPING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63577-2025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46321</v>
      </c>
      <c r="F422" t="inlineStr">
        <is>
          <t>JÖNKÖPINGS LÄN</t>
        </is>
      </c>
      <c r="G422" t="inlineStr">
        <is>
          <t>JÖNKÖPING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46234</v>
      </c>
      <c r="E423" s="1" t="n">
        <v>46321</v>
      </c>
      <c r="F423" t="inlineStr">
        <is>
          <t>JÖNKÖPINGS LÄN</t>
        </is>
      </c>
      <c r="G423" t="inlineStr">
        <is>
          <t>JÖNKÖPING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46234</v>
      </c>
      <c r="E424" s="1" t="n">
        <v>46321</v>
      </c>
      <c r="F424" t="inlineStr">
        <is>
          <t>JÖNKÖPINGS LÄN</t>
        </is>
      </c>
      <c r="G424" t="inlineStr">
        <is>
          <t>JÖNKÖPING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46321</v>
      </c>
      <c r="F425" t="inlineStr">
        <is>
          <t>JÖNKÖPINGS LÄN</t>
        </is>
      </c>
      <c r="G425" t="inlineStr">
        <is>
          <t>JÖNKÖPING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46321</v>
      </c>
      <c r="F426" t="inlineStr">
        <is>
          <t>JÖNKÖPINGS LÄN</t>
        </is>
      </c>
      <c r="G426" t="inlineStr">
        <is>
          <t>JÖNKÖPING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46233</v>
      </c>
      <c r="E427" s="1" t="n">
        <v>46321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46234</v>
      </c>
      <c r="E428" s="1" t="n">
        <v>46321</v>
      </c>
      <c r="F428" t="inlineStr">
        <is>
          <t>JÖNKÖPINGS LÄN</t>
        </is>
      </c>
      <c r="G428" t="inlineStr">
        <is>
          <t>JÖNKÖPING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46321</v>
      </c>
      <c r="F429" t="inlineStr">
        <is>
          <t>JÖNKÖPINGS LÄN</t>
        </is>
      </c>
      <c r="G429" t="inlineStr">
        <is>
          <t>JÖNKÖPING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46321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46321</v>
      </c>
      <c r="F431" t="inlineStr">
        <is>
          <t>JÖNKÖPINGS LÄN</t>
        </is>
      </c>
      <c r="G431" t="inlineStr">
        <is>
          <t>JÖNKÖPING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46238</v>
      </c>
      <c r="E432" s="1" t="n">
        <v>46321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46026</v>
      </c>
      <c r="E433" s="1" t="n">
        <v>46321</v>
      </c>
      <c r="F433" t="inlineStr">
        <is>
          <t>JÖNKÖPINGS LÄN</t>
        </is>
      </c>
      <c r="G433" t="inlineStr">
        <is>
          <t>JÖNKÖPING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46026</v>
      </c>
      <c r="E434" s="1" t="n">
        <v>46321</v>
      </c>
      <c r="F434" t="inlineStr">
        <is>
          <t>JÖNKÖPINGS LÄN</t>
        </is>
      </c>
      <c r="G434" t="inlineStr">
        <is>
          <t>JÖNKÖPING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46321</v>
      </c>
      <c r="F435" t="inlineStr">
        <is>
          <t>JÖNKÖPINGS LÄN</t>
        </is>
      </c>
      <c r="G435" t="inlineStr">
        <is>
          <t>JÖNKÖPING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46321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46321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46321</v>
      </c>
      <c r="F438" t="inlineStr">
        <is>
          <t>JÖNKÖPINGS LÄN</t>
        </is>
      </c>
      <c r="G438" t="inlineStr">
        <is>
          <t>JÖNKÖPING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46321</v>
      </c>
      <c r="F439" t="inlineStr">
        <is>
          <t>JÖNKÖPINGS LÄN</t>
        </is>
      </c>
      <c r="G439" t="inlineStr">
        <is>
          <t>JÖNKÖPING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39280-2024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45551</v>
      </c>
      <c r="E440" s="1" t="n">
        <v>46321</v>
      </c>
      <c r="F440" t="inlineStr">
        <is>
          <t>JÖNKÖPINGS LÄN</t>
        </is>
      </c>
      <c r="G440" t="inlineStr">
        <is>
          <t>JÖNKÖPING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46286</v>
      </c>
      <c r="E441" s="1" t="n">
        <v>46321</v>
      </c>
      <c r="F441" t="inlineStr">
        <is>
          <t>JÖNKÖPINGS LÄN</t>
        </is>
      </c>
      <c r="G441" t="inlineStr">
        <is>
          <t>JÖNKÖPING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46321</v>
      </c>
      <c r="F442" t="inlineStr">
        <is>
          <t>JÖNKÖPINGS LÄN</t>
        </is>
      </c>
      <c r="G442" t="inlineStr">
        <is>
          <t>JÖNKÖPING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46321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46321</v>
      </c>
      <c r="F444" t="inlineStr">
        <is>
          <t>JÖNKÖPINGS LÄN</t>
        </is>
      </c>
      <c r="G444" t="inlineStr">
        <is>
          <t>JÖNKÖPING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46286</v>
      </c>
      <c r="E445" s="1" t="n">
        <v>46321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45350</v>
      </c>
      <c r="E446" s="1" t="n">
        <v>46321</v>
      </c>
      <c r="F446" t="inlineStr">
        <is>
          <t>JÖNKÖPINGS LÄN</t>
        </is>
      </c>
      <c r="G446" t="inlineStr">
        <is>
          <t>JÖNKÖPING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46321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46321</v>
      </c>
      <c r="F448" t="inlineStr">
        <is>
          <t>JÖNKÖPINGS LÄN</t>
        </is>
      </c>
      <c r="G448" t="inlineStr">
        <is>
          <t>JÖNKÖPING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46038</v>
      </c>
      <c r="E449" s="1" t="n">
        <v>46321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45145</v>
      </c>
      <c r="E450" s="1" t="n">
        <v>46321</v>
      </c>
      <c r="F450" t="inlineStr">
        <is>
          <t>JÖNKÖPINGS LÄN</t>
        </is>
      </c>
      <c r="G450" t="inlineStr">
        <is>
          <t>JÖNKÖPING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45570</v>
      </c>
      <c r="E451" s="1" t="n">
        <v>46321</v>
      </c>
      <c r="F451" t="inlineStr">
        <is>
          <t>JÖNKÖPINGS LÄN</t>
        </is>
      </c>
      <c r="G451" t="inlineStr">
        <is>
          <t>JÖNKÖPING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46321</v>
      </c>
      <c r="F452" t="inlineStr">
        <is>
          <t>JÖNKÖPINGS LÄN</t>
        </is>
      </c>
      <c r="G452" t="inlineStr">
        <is>
          <t>JÖNKÖPING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46321</v>
      </c>
      <c r="F453" t="inlineStr">
        <is>
          <t>JÖNKÖPINGS LÄN</t>
        </is>
      </c>
      <c r="G453" t="inlineStr">
        <is>
          <t>JÖNKÖPING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46321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46321</v>
      </c>
      <c r="F455" t="inlineStr">
        <is>
          <t>JÖNKÖPINGS LÄN</t>
        </is>
      </c>
      <c r="G455" t="inlineStr">
        <is>
          <t>JÖNKÖPING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46321</v>
      </c>
      <c r="F456" t="inlineStr">
        <is>
          <t>JÖNKÖPINGS LÄN</t>
        </is>
      </c>
      <c r="G456" t="inlineStr">
        <is>
          <t>JÖNKÖPING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46321</v>
      </c>
      <c r="F457" t="inlineStr">
        <is>
          <t>JÖNKÖPINGS LÄN</t>
        </is>
      </c>
      <c r="G457" t="inlineStr">
        <is>
          <t>JÖNKÖPING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7425-2026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46059</v>
      </c>
      <c r="E458" s="1" t="n">
        <v>46321</v>
      </c>
      <c r="F458" t="inlineStr">
        <is>
          <t>JÖNKÖPINGS LÄN</t>
        </is>
      </c>
      <c r="G458" t="inlineStr">
        <is>
          <t>JÖNKÖPING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46321</v>
      </c>
      <c r="F459" t="inlineStr">
        <is>
          <t>JÖNKÖPINGS LÄN</t>
        </is>
      </c>
      <c r="G459" t="inlineStr">
        <is>
          <t>JÖNKÖPING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3667-2026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46043</v>
      </c>
      <c r="E460" s="1" t="n">
        <v>46321</v>
      </c>
      <c r="F460" t="inlineStr">
        <is>
          <t>JÖNKÖPINGS LÄN</t>
        </is>
      </c>
      <c r="G460" t="inlineStr">
        <is>
          <t>JÖNKÖPING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46321</v>
      </c>
      <c r="F461" t="inlineStr">
        <is>
          <t>JÖNKÖPINGS LÄN</t>
        </is>
      </c>
      <c r="G461" t="inlineStr">
        <is>
          <t>JÖNKÖPING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45734</v>
      </c>
      <c r="E462" s="1" t="n">
        <v>46321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46321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46321</v>
      </c>
      <c r="F464" t="inlineStr">
        <is>
          <t>JÖNKÖPINGS LÄN</t>
        </is>
      </c>
      <c r="G464" t="inlineStr">
        <is>
          <t>JÖNKÖPING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46321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46321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Övriga Aktiebolag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26378-2022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46321</v>
      </c>
      <c r="F467" t="inlineStr">
        <is>
          <t>JÖNKÖPINGS LÄN</t>
        </is>
      </c>
      <c r="G467" t="inlineStr">
        <is>
          <t>JÖNKÖPING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46321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46321</v>
      </c>
      <c r="F469" t="inlineStr">
        <is>
          <t>JÖNKÖPINGS LÄN</t>
        </is>
      </c>
      <c r="G469" t="inlineStr">
        <is>
          <t>JÖNKÖPING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46048</v>
      </c>
      <c r="E470" s="1" t="n">
        <v>46321</v>
      </c>
      <c r="F470" t="inlineStr">
        <is>
          <t>JÖNKÖPINGS LÄN</t>
        </is>
      </c>
      <c r="G470" t="inlineStr">
        <is>
          <t>JÖNKÖPING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46321</v>
      </c>
      <c r="F471" t="inlineStr">
        <is>
          <t>JÖNKÖPINGS LÄN</t>
        </is>
      </c>
      <c r="G471" t="inlineStr">
        <is>
          <t>JÖNKÖPING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46321</v>
      </c>
      <c r="F472" t="inlineStr">
        <is>
          <t>JÖNKÖPINGS LÄN</t>
        </is>
      </c>
      <c r="G472" t="inlineStr">
        <is>
          <t>JÖNKÖPING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46321</v>
      </c>
      <c r="F473" t="inlineStr">
        <is>
          <t>JÖNKÖPINGS LÄN</t>
        </is>
      </c>
      <c r="G473" t="inlineStr">
        <is>
          <t>JÖNKÖPING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5332-2026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46050</v>
      </c>
      <c r="E474" s="1" t="n">
        <v>46321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44966</v>
      </c>
      <c r="E475" s="1" t="n">
        <v>46321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Kyrkan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46321</v>
      </c>
      <c r="F476" t="inlineStr">
        <is>
          <t>JÖNKÖPINGS LÄN</t>
        </is>
      </c>
      <c r="G476" t="inlineStr">
        <is>
          <t>JÖNKÖPING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46321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46321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46321</v>
      </c>
      <c r="F479" t="inlineStr">
        <is>
          <t>JÖNKÖPINGS LÄN</t>
        </is>
      </c>
      <c r="G479" t="inlineStr">
        <is>
          <t>JÖNKÖPING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46321</v>
      </c>
      <c r="F480" t="inlineStr">
        <is>
          <t>JÖNKÖPINGS LÄN</t>
        </is>
      </c>
      <c r="G480" t="inlineStr">
        <is>
          <t>JÖNKÖPING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46321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46321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46321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46321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46321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46321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46321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45806</v>
      </c>
      <c r="E488" s="1" t="n">
        <v>46321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46321</v>
      </c>
      <c r="F489" t="inlineStr">
        <is>
          <t>JÖNKÖPINGS LÄN</t>
        </is>
      </c>
      <c r="G489" t="inlineStr">
        <is>
          <t>JÖNKÖPING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46321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46290</v>
      </c>
      <c r="E491" s="1" t="n">
        <v>46321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45597</v>
      </c>
      <c r="E492" s="1" t="n">
        <v>46321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46321</v>
      </c>
      <c r="F493" t="inlineStr">
        <is>
          <t>JÖNKÖPINGS LÄN</t>
        </is>
      </c>
      <c r="G493" t="inlineStr">
        <is>
          <t>JÖNKÖPING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46321</v>
      </c>
      <c r="F494" t="inlineStr">
        <is>
          <t>JÖNKÖPINGS LÄN</t>
        </is>
      </c>
      <c r="G494" t="inlineStr">
        <is>
          <t>JÖNKÖPING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46321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46293</v>
      </c>
      <c r="E496" s="1" t="n">
        <v>46321</v>
      </c>
      <c r="F496" t="inlineStr">
        <is>
          <t>JÖNKÖPINGS LÄN</t>
        </is>
      </c>
      <c r="G496" t="inlineStr">
        <is>
          <t>JÖNKÖPING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46059</v>
      </c>
      <c r="E497" s="1" t="n">
        <v>46321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46059</v>
      </c>
      <c r="E498" s="1" t="n">
        <v>46321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46321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7552-2026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46321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46321</v>
      </c>
      <c r="F501" t="inlineStr">
        <is>
          <t>JÖNKÖPINGS LÄN</t>
        </is>
      </c>
      <c r="G501" t="inlineStr">
        <is>
          <t>JÖNKÖPING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46321</v>
      </c>
      <c r="F502" t="inlineStr">
        <is>
          <t>JÖNKÖPINGS LÄN</t>
        </is>
      </c>
      <c r="G502" t="inlineStr">
        <is>
          <t>JÖNKÖPING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46321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46321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46321</v>
      </c>
      <c r="F505" t="inlineStr">
        <is>
          <t>JÖNKÖPINGS LÄN</t>
        </is>
      </c>
      <c r="G505" t="inlineStr">
        <is>
          <t>JÖNKÖPING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46321</v>
      </c>
      <c r="F506" t="inlineStr">
        <is>
          <t>JÖNKÖPINGS LÄN</t>
        </is>
      </c>
      <c r="G506" t="inlineStr">
        <is>
          <t>JÖNKÖPING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48305-2022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44853</v>
      </c>
      <c r="E507" s="1" t="n">
        <v>46321</v>
      </c>
      <c r="F507" t="inlineStr">
        <is>
          <t>JÖNKÖPINGS LÄN</t>
        </is>
      </c>
      <c r="G507" t="inlineStr">
        <is>
          <t>JÖNKÖPING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46321</v>
      </c>
      <c r="F508" t="inlineStr">
        <is>
          <t>JÖNKÖPINGS LÄN</t>
        </is>
      </c>
      <c r="G508" t="inlineStr">
        <is>
          <t>JÖNKÖPING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46294</v>
      </c>
      <c r="E509" s="1" t="n">
        <v>46321</v>
      </c>
      <c r="F509" t="inlineStr">
        <is>
          <t>JÖNKÖPINGS LÄN</t>
        </is>
      </c>
      <c r="G509" t="inlineStr">
        <is>
          <t>JÖNKÖPING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46321</v>
      </c>
      <c r="F510" t="inlineStr">
        <is>
          <t>JÖNKÖPINGS LÄN</t>
        </is>
      </c>
      <c r="G510" t="inlineStr">
        <is>
          <t>JÖNKÖPING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46321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9073-2026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46069</v>
      </c>
      <c r="E512" s="1" t="n">
        <v>46321</v>
      </c>
      <c r="F512" t="inlineStr">
        <is>
          <t>JÖNKÖPINGS LÄN</t>
        </is>
      </c>
      <c r="G512" t="inlineStr">
        <is>
          <t>JÖNKÖPING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9020-2026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46069</v>
      </c>
      <c r="E513" s="1" t="n">
        <v>46321</v>
      </c>
      <c r="F513" t="inlineStr">
        <is>
          <t>JÖNKÖPINGS LÄN</t>
        </is>
      </c>
      <c r="G513" t="inlineStr">
        <is>
          <t>JÖNKÖPING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9067-2026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46069</v>
      </c>
      <c r="E514" s="1" t="n">
        <v>46321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46321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46321</v>
      </c>
      <c r="F516" t="inlineStr">
        <is>
          <t>JÖNKÖPINGS LÄN</t>
        </is>
      </c>
      <c r="G516" t="inlineStr">
        <is>
          <t>JÖNKÖPING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46321</v>
      </c>
      <c r="F517" t="inlineStr">
        <is>
          <t>JÖNKÖPINGS LÄN</t>
        </is>
      </c>
      <c r="G517" t="inlineStr">
        <is>
          <t>JÖNKÖPING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46321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45819</v>
      </c>
      <c r="E519" s="1" t="n">
        <v>46321</v>
      </c>
      <c r="F519" t="inlineStr">
        <is>
          <t>JÖNKÖPINGS LÄN</t>
        </is>
      </c>
      <c r="G519" t="inlineStr">
        <is>
          <t>JÖNKÖPING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9926-2026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46073</v>
      </c>
      <c r="E520" s="1" t="n">
        <v>46321</v>
      </c>
      <c r="F520" t="inlineStr">
        <is>
          <t>JÖNKÖPINGS LÄN</t>
        </is>
      </c>
      <c r="G520" t="inlineStr">
        <is>
          <t>JÖNKÖPING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46321</v>
      </c>
      <c r="F521" t="inlineStr">
        <is>
          <t>JÖNKÖPINGS LÄN</t>
        </is>
      </c>
      <c r="G521" t="inlineStr">
        <is>
          <t>JÖNKÖPING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40826-2026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46295</v>
      </c>
      <c r="E522" s="1" t="n">
        <v>46321</v>
      </c>
      <c r="F522" t="inlineStr">
        <is>
          <t>JÖNKÖPINGS LÄN</t>
        </is>
      </c>
      <c r="G522" t="inlineStr">
        <is>
          <t>JÖNKÖPING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46321</v>
      </c>
      <c r="F523" t="inlineStr">
        <is>
          <t>JÖNKÖPINGS LÄN</t>
        </is>
      </c>
      <c r="G523" t="inlineStr">
        <is>
          <t>JÖNKÖPING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46321</v>
      </c>
      <c r="F524" t="inlineStr">
        <is>
          <t>JÖNKÖPINGS LÄN</t>
        </is>
      </c>
      <c r="G524" t="inlineStr">
        <is>
          <t>JÖNKÖPING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34038-2026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46321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45826</v>
      </c>
      <c r="E526" s="1" t="n">
        <v>46321</v>
      </c>
      <c r="F526" t="inlineStr">
        <is>
          <t>JÖNKÖPINGS LÄN</t>
        </is>
      </c>
      <c r="G526" t="inlineStr">
        <is>
          <t>JÖNKÖPING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40477-2026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46295</v>
      </c>
      <c r="E527" s="1" t="n">
        <v>46321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46087</v>
      </c>
      <c r="E528" s="1" t="n">
        <v>46321</v>
      </c>
      <c r="F528" t="inlineStr">
        <is>
          <t>JÖNKÖPINGS LÄN</t>
        </is>
      </c>
      <c r="G528" t="inlineStr">
        <is>
          <t>JÖNKÖPING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46321</v>
      </c>
      <c r="F529" t="inlineStr">
        <is>
          <t>JÖNKÖPINGS LÄN</t>
        </is>
      </c>
      <c r="G529" t="inlineStr">
        <is>
          <t>JÖNKÖPING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46321</v>
      </c>
      <c r="F530" t="inlineStr">
        <is>
          <t>JÖNKÖPINGS LÄN</t>
        </is>
      </c>
      <c r="G530" t="inlineStr">
        <is>
          <t>JÖNKÖPING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44935</v>
      </c>
      <c r="E531" s="1" t="n">
        <v>46321</v>
      </c>
      <c r="F531" t="inlineStr">
        <is>
          <t>JÖNKÖPINGS LÄN</t>
        </is>
      </c>
      <c r="G531" t="inlineStr">
        <is>
          <t>JÖNKÖPING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46321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46321</v>
      </c>
      <c r="F533" t="inlineStr">
        <is>
          <t>JÖNKÖPINGS LÄN</t>
        </is>
      </c>
      <c r="G533" t="inlineStr">
        <is>
          <t>JÖNKÖPING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45842</v>
      </c>
      <c r="E534" s="1" t="n">
        <v>46321</v>
      </c>
      <c r="F534" t="inlineStr">
        <is>
          <t>JÖNKÖPINGS LÄN</t>
        </is>
      </c>
      <c r="G534" t="inlineStr">
        <is>
          <t>JÖNKÖPING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45846</v>
      </c>
      <c r="E535" s="1" t="n">
        <v>46321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Kyrkan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46321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Kyrkan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46321</v>
      </c>
      <c r="F537" t="inlineStr">
        <is>
          <t>JÖNKÖPINGS LÄN</t>
        </is>
      </c>
      <c r="G537" t="inlineStr">
        <is>
          <t>JÖNKÖPING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46321</v>
      </c>
      <c r="F538" t="inlineStr">
        <is>
          <t>JÖNKÖPINGS LÄN</t>
        </is>
      </c>
      <c r="G538" t="inlineStr">
        <is>
          <t>JÖNKÖPING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47401-2024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46321</v>
      </c>
      <c r="F539" t="inlineStr">
        <is>
          <t>JÖNKÖPINGS LÄN</t>
        </is>
      </c>
      <c r="G539" t="inlineStr">
        <is>
          <t>JÖNKÖPING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46321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46321</v>
      </c>
      <c r="F541" t="inlineStr">
        <is>
          <t>JÖNKÖPINGS LÄN</t>
        </is>
      </c>
      <c r="G541" t="inlineStr">
        <is>
          <t>JÖNKÖPING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46302</v>
      </c>
      <c r="E542" s="1" t="n">
        <v>46321</v>
      </c>
      <c r="F542" t="inlineStr">
        <is>
          <t>JÖNKÖPINGS LÄN</t>
        </is>
      </c>
      <c r="G542" t="inlineStr">
        <is>
          <t>JÖNKÖPING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45557</v>
      </c>
      <c r="E543" s="1" t="n">
        <v>46321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46321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46321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45751</v>
      </c>
      <c r="E546" s="1" t="n">
        <v>46321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45295</v>
      </c>
      <c r="E547" s="1" t="n">
        <v>46321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46321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46321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45788</v>
      </c>
      <c r="E550" s="1" t="n">
        <v>46321</v>
      </c>
      <c r="F550" t="inlineStr">
        <is>
          <t>JÖNKÖPINGS LÄN</t>
        </is>
      </c>
      <c r="G550" t="inlineStr">
        <is>
          <t>JÖNKÖPING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46302</v>
      </c>
      <c r="E551" s="1" t="n">
        <v>46321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35820-2025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45861</v>
      </c>
      <c r="E552" s="1" t="n">
        <v>46321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46321</v>
      </c>
      <c r="F553" t="inlineStr">
        <is>
          <t>JÖNKÖPINGS LÄN</t>
        </is>
      </c>
      <c r="G553" t="inlineStr">
        <is>
          <t>JÖNKÖPING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46321</v>
      </c>
      <c r="F554" t="inlineStr">
        <is>
          <t>JÖNKÖPINGS LÄN</t>
        </is>
      </c>
      <c r="G554" t="inlineStr">
        <is>
          <t>JÖNKÖPING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46321</v>
      </c>
      <c r="F555" t="inlineStr">
        <is>
          <t>JÖNKÖPINGS LÄN</t>
        </is>
      </c>
      <c r="G555" t="inlineStr">
        <is>
          <t>JÖNKÖPING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17325-2026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46321</v>
      </c>
      <c r="F556" t="inlineStr">
        <is>
          <t>JÖNKÖPINGS LÄN</t>
        </is>
      </c>
      <c r="G556" t="inlineStr">
        <is>
          <t>JÖNKÖPING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46321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45870</v>
      </c>
      <c r="E558" s="1" t="n">
        <v>46321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46321</v>
      </c>
      <c r="F559" t="inlineStr">
        <is>
          <t>JÖNKÖPINGS LÄN</t>
        </is>
      </c>
      <c r="G559" t="inlineStr">
        <is>
          <t>JÖNKÖPING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46321</v>
      </c>
      <c r="F560" t="inlineStr">
        <is>
          <t>JÖNKÖPINGS LÄN</t>
        </is>
      </c>
      <c r="G560" t="inlineStr">
        <is>
          <t>JÖNKÖPING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45788</v>
      </c>
      <c r="E561" s="1" t="n">
        <v>46321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46321</v>
      </c>
      <c r="F562" t="inlineStr">
        <is>
          <t>JÖNKÖPINGS LÄN</t>
        </is>
      </c>
      <c r="G562" t="inlineStr">
        <is>
          <t>JÖNKÖPING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46321</v>
      </c>
      <c r="F563" t="inlineStr">
        <is>
          <t>JÖNKÖPINGS LÄN</t>
        </is>
      </c>
      <c r="G563" t="inlineStr">
        <is>
          <t>JÖNKÖPING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45734</v>
      </c>
      <c r="E564" s="1" t="n">
        <v>46321</v>
      </c>
      <c r="F564" t="inlineStr">
        <is>
          <t>JÖNKÖPINGS LÄN</t>
        </is>
      </c>
      <c r="G564" t="inlineStr">
        <is>
          <t>JÖNKÖPING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46321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Kommuner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44589</v>
      </c>
      <c r="E566" s="1" t="n">
        <v>46321</v>
      </c>
      <c r="F566" t="inlineStr">
        <is>
          <t>JÖNKÖPINGS LÄN</t>
        </is>
      </c>
      <c r="G566" t="inlineStr">
        <is>
          <t>JÖNKÖPING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46321</v>
      </c>
      <c r="F567" t="inlineStr">
        <is>
          <t>JÖNKÖPINGS LÄN</t>
        </is>
      </c>
      <c r="G567" t="inlineStr">
        <is>
          <t>JÖNKÖPING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46308</v>
      </c>
      <c r="E568" s="1" t="n">
        <v>46321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35776-2026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46265</v>
      </c>
      <c r="E569" s="1" t="n">
        <v>46321</v>
      </c>
      <c r="F569" t="inlineStr">
        <is>
          <t>JÖNKÖPINGS LÄN</t>
        </is>
      </c>
      <c r="G569" t="inlineStr">
        <is>
          <t>JÖNKÖPING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56569-2022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44893</v>
      </c>
      <c r="E570" s="1" t="n">
        <v>46321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46321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45538</v>
      </c>
      <c r="E572" s="1" t="n">
        <v>46321</v>
      </c>
      <c r="F572" t="inlineStr">
        <is>
          <t>JÖNKÖPINGS LÄN</t>
        </is>
      </c>
      <c r="G572" t="inlineStr">
        <is>
          <t>JÖNKÖPING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38337-2026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46282</v>
      </c>
      <c r="E573" s="1" t="n">
        <v>46321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46321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44648</v>
      </c>
      <c r="E575" s="1" t="n">
        <v>46321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51363-2025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46321</v>
      </c>
      <c r="F576" t="inlineStr">
        <is>
          <t>JÖNKÖPINGS LÄN</t>
        </is>
      </c>
      <c r="G576" t="inlineStr">
        <is>
          <t>JÖNKÖPING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42437-2026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46321</v>
      </c>
      <c r="F577" t="inlineStr">
        <is>
          <t>JÖNKÖPINGS LÄN</t>
        </is>
      </c>
      <c r="G577" t="inlineStr">
        <is>
          <t>JÖNKÖPING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42440-2026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46308</v>
      </c>
      <c r="E578" s="1" t="n">
        <v>46321</v>
      </c>
      <c r="F578" t="inlineStr">
        <is>
          <t>JÖNKÖPINGS LÄN</t>
        </is>
      </c>
      <c r="G578" t="inlineStr">
        <is>
          <t>JÖNKÖPING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73003-2021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44550</v>
      </c>
      <c r="E579" s="1" t="n">
        <v>46321</v>
      </c>
      <c r="F579" t="inlineStr">
        <is>
          <t>JÖNKÖPINGS LÄN</t>
        </is>
      </c>
      <c r="G579" t="inlineStr">
        <is>
          <t>JÖNKÖPING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46262</v>
      </c>
      <c r="E580" s="1" t="n">
        <v>46321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46321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45701</v>
      </c>
      <c r="E582" s="1" t="n">
        <v>46321</v>
      </c>
      <c r="F582" t="inlineStr">
        <is>
          <t>JÖNKÖPINGS LÄN</t>
        </is>
      </c>
      <c r="G582" t="inlineStr">
        <is>
          <t>JÖNKÖPING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44589</v>
      </c>
      <c r="E583" s="1" t="n">
        <v>46321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46321</v>
      </c>
      <c r="F584" t="inlineStr">
        <is>
          <t>JÖNKÖPINGS LÄN</t>
        </is>
      </c>
      <c r="G584" t="inlineStr">
        <is>
          <t>JÖNKÖPING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59318-2022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46321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46310</v>
      </c>
      <c r="E586" s="1" t="n">
        <v>46321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40923-2024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45558</v>
      </c>
      <c r="E587" s="1" t="n">
        <v>46321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44943</v>
      </c>
      <c r="E588" s="1" t="n">
        <v>46321</v>
      </c>
      <c r="F588" t="inlineStr">
        <is>
          <t>JÖNKÖPINGS LÄN</t>
        </is>
      </c>
      <c r="G588" t="inlineStr">
        <is>
          <t>JÖNKÖPING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46309</v>
      </c>
      <c r="E589" s="1" t="n">
        <v>46321</v>
      </c>
      <c r="F589" t="inlineStr">
        <is>
          <t>JÖNKÖPINGS LÄN</t>
        </is>
      </c>
      <c r="G589" t="inlineStr">
        <is>
          <t>JÖNKÖPING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50293-2023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45216</v>
      </c>
      <c r="E590" s="1" t="n">
        <v>46321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46321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46321</v>
      </c>
      <c r="F592" t="inlineStr">
        <is>
          <t>JÖNKÖPINGS LÄN</t>
        </is>
      </c>
      <c r="G592" t="inlineStr">
        <is>
          <t>JÖNKÖPING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46268</v>
      </c>
      <c r="E593" s="1" t="n">
        <v>46321</v>
      </c>
      <c r="F593" t="inlineStr">
        <is>
          <t>JÖNKÖPINGS LÄN</t>
        </is>
      </c>
      <c r="G593" t="inlineStr">
        <is>
          <t>JÖNKÖPING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45846</v>
      </c>
      <c r="E594" s="1" t="n">
        <v>46321</v>
      </c>
      <c r="F594" t="inlineStr">
        <is>
          <t>JÖNKÖPINGS LÄN</t>
        </is>
      </c>
      <c r="G594" t="inlineStr">
        <is>
          <t>JÖNKÖPING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46321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45009</v>
      </c>
      <c r="E596" s="1" t="n">
        <v>46321</v>
      </c>
      <c r="F596" t="inlineStr">
        <is>
          <t>JÖNKÖPINGS LÄN</t>
        </is>
      </c>
      <c r="G596" t="inlineStr">
        <is>
          <t>JÖNKÖPING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46270</v>
      </c>
      <c r="E597" s="1" t="n">
        <v>46321</v>
      </c>
      <c r="F597" t="inlineStr">
        <is>
          <t>JÖNKÖPINGS LÄN</t>
        </is>
      </c>
      <c r="G597" t="inlineStr">
        <is>
          <t>JÖNKÖPING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46321</v>
      </c>
      <c r="F598" t="inlineStr">
        <is>
          <t>JÖNKÖPINGS LÄN</t>
        </is>
      </c>
      <c r="G598" t="inlineStr">
        <is>
          <t>JÖNKÖPING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15407-2024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45401</v>
      </c>
      <c r="E599" s="1" t="n">
        <v>46321</v>
      </c>
      <c r="F599" t="inlineStr">
        <is>
          <t>JÖNKÖPINGS LÄN</t>
        </is>
      </c>
      <c r="G599" t="inlineStr">
        <is>
          <t>JÖNKÖPING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46321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45764</v>
      </c>
      <c r="E601" s="1" t="n">
        <v>46321</v>
      </c>
      <c r="F601" t="inlineStr">
        <is>
          <t>JÖNKÖPINGS LÄN</t>
        </is>
      </c>
      <c r="G601" t="inlineStr">
        <is>
          <t>JÖNKÖPING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46321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46321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45566</v>
      </c>
      <c r="E604" s="1" t="n">
        <v>46321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45105</v>
      </c>
      <c r="E605" s="1" t="n">
        <v>46321</v>
      </c>
      <c r="F605" t="inlineStr">
        <is>
          <t>JÖNKÖPINGS LÄN</t>
        </is>
      </c>
      <c r="G605" t="inlineStr">
        <is>
          <t>JÖNKÖPING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46321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46316</v>
      </c>
      <c r="E607" s="1" t="n">
        <v>46321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46321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46321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46321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46321</v>
      </c>
      <c r="F611" t="inlineStr">
        <is>
          <t>JÖNKÖPINGS LÄN</t>
        </is>
      </c>
      <c r="G611" t="inlineStr">
        <is>
          <t>JÖNKÖPING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45406-2023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46321</v>
      </c>
      <c r="F612" t="inlineStr">
        <is>
          <t>JÖNKÖPINGS LÄN</t>
        </is>
      </c>
      <c r="G612" t="inlineStr">
        <is>
          <t>JÖNKÖPING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46462-2023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46321</v>
      </c>
      <c r="F613" t="inlineStr">
        <is>
          <t>JÖNKÖPINGS LÄN</t>
        </is>
      </c>
      <c r="G613" t="inlineStr">
        <is>
          <t>JÖNKÖPING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45021</v>
      </c>
      <c r="E614" s="1" t="n">
        <v>46321</v>
      </c>
      <c r="F614" t="inlineStr">
        <is>
          <t>JÖNKÖPINGS LÄN</t>
        </is>
      </c>
      <c r="G614" t="inlineStr">
        <is>
          <t>JÖNKÖPING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37170-2025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45875</v>
      </c>
      <c r="E615" s="1" t="n">
        <v>46321</v>
      </c>
      <c r="F615" t="inlineStr">
        <is>
          <t>JÖNKÖPINGS LÄN</t>
        </is>
      </c>
      <c r="G615" t="inlineStr">
        <is>
          <t>JÖNKÖPING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46321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46321</v>
      </c>
      <c r="F617" t="inlineStr">
        <is>
          <t>JÖNKÖPINGS LÄN</t>
        </is>
      </c>
      <c r="G617" t="inlineStr">
        <is>
          <t>JÖNKÖPING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36940-2026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46321</v>
      </c>
      <c r="F618" t="inlineStr">
        <is>
          <t>JÖNKÖPINGS LÄN</t>
        </is>
      </c>
      <c r="G618" t="inlineStr">
        <is>
          <t>JÖNKÖPING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18574-2023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45043</v>
      </c>
      <c r="E619" s="1" t="n">
        <v>46321</v>
      </c>
      <c r="F619" t="inlineStr">
        <is>
          <t>JÖNKÖPINGS LÄN</t>
        </is>
      </c>
      <c r="G619" t="inlineStr">
        <is>
          <t>JÖNKÖPING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43634-2026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46315</v>
      </c>
      <c r="E620" s="1" t="n">
        <v>46321</v>
      </c>
      <c r="F620" t="inlineStr">
        <is>
          <t>JÖNKÖPINGS LÄN</t>
        </is>
      </c>
      <c r="G620" t="inlineStr">
        <is>
          <t>JÖNKÖPING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44938</v>
      </c>
      <c r="E621" s="1" t="n">
        <v>46321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Kyrkan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44977</v>
      </c>
      <c r="E622" s="1" t="n">
        <v>46321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37316-2026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46274</v>
      </c>
      <c r="E623" s="1" t="n">
        <v>46321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46002</v>
      </c>
      <c r="E624" s="1" t="n">
        <v>46321</v>
      </c>
      <c r="F624" t="inlineStr">
        <is>
          <t>JÖNKÖPINGS LÄN</t>
        </is>
      </c>
      <c r="G624" t="inlineStr">
        <is>
          <t>JÖNKÖPING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46317</v>
      </c>
      <c r="E625" s="1" t="n">
        <v>46321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46321</v>
      </c>
      <c r="F626" t="inlineStr">
        <is>
          <t>JÖNKÖPINGS LÄN</t>
        </is>
      </c>
      <c r="G626" t="inlineStr">
        <is>
          <t>JÖNKÖPING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46276</v>
      </c>
      <c r="E627" s="1" t="n">
        <v>46321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44251-2026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46318</v>
      </c>
      <c r="E628" s="1" t="n">
        <v>46321</v>
      </c>
      <c r="F628" t="inlineStr">
        <is>
          <t>JÖNKÖPINGS LÄN</t>
        </is>
      </c>
      <c r="G628" t="inlineStr">
        <is>
          <t>JÖNKÖPING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44943</v>
      </c>
      <c r="E629" s="1" t="n">
        <v>46321</v>
      </c>
      <c r="F629" t="inlineStr">
        <is>
          <t>JÖNKÖPINGS LÄN</t>
        </is>
      </c>
      <c r="G629" t="inlineStr">
        <is>
          <t>JÖNKÖPING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44943</v>
      </c>
      <c r="E630" s="1" t="n">
        <v>46321</v>
      </c>
      <c r="F630" t="inlineStr">
        <is>
          <t>JÖNKÖPINGS LÄN</t>
        </is>
      </c>
      <c r="G630" t="inlineStr">
        <is>
          <t>JÖNKÖPING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46317</v>
      </c>
      <c r="E631" s="1" t="n">
        <v>46321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46317</v>
      </c>
      <c r="E632" s="1" t="n">
        <v>46321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45734</v>
      </c>
      <c r="E633" s="1" t="n">
        <v>46321</v>
      </c>
      <c r="F633" t="inlineStr">
        <is>
          <t>JÖNKÖPINGS LÄN</t>
        </is>
      </c>
      <c r="G633" t="inlineStr">
        <is>
          <t>JÖNKÖPING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42927-2026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46310</v>
      </c>
      <c r="E634" s="1" t="n">
        <v>46321</v>
      </c>
      <c r="F634" t="inlineStr">
        <is>
          <t>JÖNKÖPINGS LÄN</t>
        </is>
      </c>
      <c r="G634" t="inlineStr">
        <is>
          <t>JÖNKÖPING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46317</v>
      </c>
      <c r="E635" s="1" t="n">
        <v>46321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45112</v>
      </c>
      <c r="E636" s="1" t="n">
        <v>46321</v>
      </c>
      <c r="F636" t="inlineStr">
        <is>
          <t>JÖNKÖPINGS LÄN</t>
        </is>
      </c>
      <c r="G636" t="inlineStr">
        <is>
          <t>JÖNKÖPING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45112</v>
      </c>
      <c r="E637" s="1" t="n">
        <v>46321</v>
      </c>
      <c r="F637" t="inlineStr">
        <is>
          <t>JÖNKÖPINGS LÄN</t>
        </is>
      </c>
      <c r="G637" t="inlineStr">
        <is>
          <t>JÖNKÖPING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44930</v>
      </c>
      <c r="E638" s="1" t="n">
        <v>46321</v>
      </c>
      <c r="F638" t="inlineStr">
        <is>
          <t>JÖNKÖPINGS LÄN</t>
        </is>
      </c>
      <c r="G638" t="inlineStr">
        <is>
          <t>JÖNKÖPING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46317</v>
      </c>
      <c r="E639" s="1" t="n">
        <v>46321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46321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46321</v>
      </c>
      <c r="F641" t="inlineStr">
        <is>
          <t>JÖNKÖPINGS LÄN</t>
        </is>
      </c>
      <c r="G641" t="inlineStr">
        <is>
          <t>JÖNKÖPING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46321</v>
      </c>
      <c r="F642" t="inlineStr">
        <is>
          <t>JÖNKÖPINGS LÄN</t>
        </is>
      </c>
      <c r="G642" t="inlineStr">
        <is>
          <t>JÖNKÖPING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46276</v>
      </c>
      <c r="E643" s="1" t="n">
        <v>46321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46317</v>
      </c>
      <c r="E644" s="1" t="n">
        <v>46321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46318</v>
      </c>
      <c r="E645" s="1" t="n">
        <v>46321</v>
      </c>
      <c r="F645" t="inlineStr">
        <is>
          <t>JÖNKÖPINGS LÄN</t>
        </is>
      </c>
      <c r="G645" t="inlineStr">
        <is>
          <t>JÖNKÖPING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10018-2024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45363</v>
      </c>
      <c r="E646" s="1" t="n">
        <v>46321</v>
      </c>
      <c r="F646" t="inlineStr">
        <is>
          <t>JÖNKÖPINGS LÄN</t>
        </is>
      </c>
      <c r="G646" t="inlineStr">
        <is>
          <t>JÖNKÖPING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45364</v>
      </c>
      <c r="E647" s="1" t="n">
        <v>46321</v>
      </c>
      <c r="F647" t="inlineStr">
        <is>
          <t>JÖNKÖPINGS LÄN</t>
        </is>
      </c>
      <c r="G647" t="inlineStr">
        <is>
          <t>JÖNKÖPING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44966</v>
      </c>
      <c r="E648" s="1" t="n">
        <v>46321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Kyrkan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42818-2023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45182</v>
      </c>
      <c r="E649" s="1" t="n">
        <v>46321</v>
      </c>
      <c r="F649" t="inlineStr">
        <is>
          <t>JÖNKÖPINGS LÄN</t>
        </is>
      </c>
      <c r="G649" t="inlineStr">
        <is>
          <t>JÖNKÖPING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10563-2023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44988</v>
      </c>
      <c r="E650" s="1" t="n">
        <v>46321</v>
      </c>
      <c r="F650" t="inlineStr">
        <is>
          <t>JÖNKÖPINGS LÄN</t>
        </is>
      </c>
      <c r="G650" t="inlineStr">
        <is>
          <t>JÖNKÖPING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50192-2024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45600</v>
      </c>
      <c r="E651" s="1" t="n">
        <v>46321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45600</v>
      </c>
      <c r="E652" s="1" t="n">
        <v>46321</v>
      </c>
      <c r="F652" t="inlineStr">
        <is>
          <t>JÖNKÖPINGS LÄN</t>
        </is>
      </c>
      <c r="G652" t="inlineStr">
        <is>
          <t>JÖNKÖPING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21924-2022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44711</v>
      </c>
      <c r="E653" s="1" t="n">
        <v>46321</v>
      </c>
      <c r="F653" t="inlineStr">
        <is>
          <t>JÖNKÖPINGS LÄN</t>
        </is>
      </c>
      <c r="G653" t="inlineStr">
        <is>
          <t>JÖNKÖPING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12301-2023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44998</v>
      </c>
      <c r="E654" s="1" t="n">
        <v>46321</v>
      </c>
      <c r="F654" t="inlineStr">
        <is>
          <t>JÖNKÖPINGS LÄN</t>
        </is>
      </c>
      <c r="G654" t="inlineStr">
        <is>
          <t>JÖNKÖPING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45547</v>
      </c>
      <c r="E655" s="1" t="n">
        <v>46321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56747-2022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46321</v>
      </c>
      <c r="F656" t="inlineStr">
        <is>
          <t>JÖNKÖPINGS LÄN</t>
        </is>
      </c>
      <c r="G656" t="inlineStr">
        <is>
          <t>JÖNKÖPING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46321</v>
      </c>
      <c r="F657" t="inlineStr">
        <is>
          <t>JÖNKÖPINGS LÄN</t>
        </is>
      </c>
      <c r="G657" t="inlineStr">
        <is>
          <t>JÖNKÖPING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18604-2025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45763</v>
      </c>
      <c r="E658" s="1" t="n">
        <v>46321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45295</v>
      </c>
      <c r="E659" s="1" t="n">
        <v>46321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45671</v>
      </c>
      <c r="E660" s="1" t="n">
        <v>46321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54431-2024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46321</v>
      </c>
      <c r="F661" t="inlineStr">
        <is>
          <t>JÖNKÖPINGS LÄN</t>
        </is>
      </c>
      <c r="G661" t="inlineStr">
        <is>
          <t>JÖNKÖPING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46321</v>
      </c>
      <c r="F662" t="inlineStr">
        <is>
          <t>JÖNKÖPINGS LÄN</t>
        </is>
      </c>
      <c r="G662" t="inlineStr">
        <is>
          <t>JÖNKÖPING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20388-2024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45435</v>
      </c>
      <c r="E663" s="1" t="n">
        <v>46321</v>
      </c>
      <c r="F663" t="inlineStr">
        <is>
          <t>JÖNKÖPINGS LÄN</t>
        </is>
      </c>
      <c r="G663" t="inlineStr">
        <is>
          <t>JÖNKÖPING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45316</v>
      </c>
      <c r="E664" s="1" t="n">
        <v>46321</v>
      </c>
      <c r="F664" t="inlineStr">
        <is>
          <t>JÖNKÖPINGS LÄN</t>
        </is>
      </c>
      <c r="G664" t="inlineStr">
        <is>
          <t>JÖNKÖPING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44965</v>
      </c>
      <c r="E665" s="1" t="n">
        <v>46321</v>
      </c>
      <c r="F665" t="inlineStr">
        <is>
          <t>JÖNKÖPINGS LÄN</t>
        </is>
      </c>
      <c r="G665" t="inlineStr">
        <is>
          <t>JÖNKÖPING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45706</v>
      </c>
      <c r="E666" s="1" t="n">
        <v>46321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44734</v>
      </c>
      <c r="E667" s="1" t="n">
        <v>46321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Kyrkan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45671</v>
      </c>
      <c r="E668" s="1" t="n">
        <v>46321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46321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45644</v>
      </c>
      <c r="E670" s="1" t="n">
        <v>46321</v>
      </c>
      <c r="F670" t="inlineStr">
        <is>
          <t>JÖNKÖPINGS LÄN</t>
        </is>
      </c>
      <c r="G670" t="inlineStr">
        <is>
          <t>JÖNKÖPING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45210</v>
      </c>
      <c r="E671" s="1" t="n">
        <v>46321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45617</v>
      </c>
      <c r="E672" s="1" t="n">
        <v>46321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8752-2022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44614</v>
      </c>
      <c r="E673" s="1" t="n">
        <v>46321</v>
      </c>
      <c r="F673" t="inlineStr">
        <is>
          <t>JÖNKÖPINGS LÄN</t>
        </is>
      </c>
      <c r="G673" t="inlineStr">
        <is>
          <t>JÖNKÖPING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45693</v>
      </c>
      <c r="E674" s="1" t="n">
        <v>46321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25067-2022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44729</v>
      </c>
      <c r="E675" s="1" t="n">
        <v>46321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26397-2024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45469</v>
      </c>
      <c r="E676" s="1" t="n">
        <v>46321</v>
      </c>
      <c r="F676" t="inlineStr">
        <is>
          <t>JÖNKÖPINGS LÄN</t>
        </is>
      </c>
      <c r="G676" t="inlineStr">
        <is>
          <t>JÖNKÖPING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46321</v>
      </c>
      <c r="F677" t="inlineStr">
        <is>
          <t>JÖNKÖPINGS LÄN</t>
        </is>
      </c>
      <c r="G677" t="inlineStr">
        <is>
          <t>JÖNKÖPING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47070-2023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46321</v>
      </c>
      <c r="F678" t="inlineStr">
        <is>
          <t>JÖNKÖPINGS LÄN</t>
        </is>
      </c>
      <c r="G678" t="inlineStr">
        <is>
          <t>JÖNKÖPING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11284-2025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45726</v>
      </c>
      <c r="E679" s="1" t="n">
        <v>46321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Övriga Aktiebolag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23055-2022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44719</v>
      </c>
      <c r="E680" s="1" t="n">
        <v>46321</v>
      </c>
      <c r="F680" t="inlineStr">
        <is>
          <t>JÖNKÖPINGS LÄN</t>
        </is>
      </c>
      <c r="G680" t="inlineStr">
        <is>
          <t>JÖNKÖPING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46321</v>
      </c>
      <c r="F681" t="inlineStr">
        <is>
          <t>JÖNKÖPINGS LÄN</t>
        </is>
      </c>
      <c r="G681" t="inlineStr">
        <is>
          <t>JÖNKÖPING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45188</v>
      </c>
      <c r="E682" s="1" t="n">
        <v>46321</v>
      </c>
      <c r="F682" t="inlineStr">
        <is>
          <t>JÖNKÖPINGS LÄN</t>
        </is>
      </c>
      <c r="G682" t="inlineStr">
        <is>
          <t>JÖNKÖPING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44803</v>
      </c>
      <c r="E683" s="1" t="n">
        <v>46321</v>
      </c>
      <c r="F683" t="inlineStr">
        <is>
          <t>JÖNKÖPINGS LÄN</t>
        </is>
      </c>
      <c r="G683" t="inlineStr">
        <is>
          <t>JÖNKÖPING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54451-2022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44882</v>
      </c>
      <c r="E684" s="1" t="n">
        <v>46321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45621</v>
      </c>
      <c r="E685" s="1" t="n">
        <v>46321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42838-2023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46321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8262-2025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45708</v>
      </c>
      <c r="E687" s="1" t="n">
        <v>46321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45715</v>
      </c>
      <c r="E688" s="1" t="n">
        <v>46321</v>
      </c>
      <c r="F688" t="inlineStr">
        <is>
          <t>JÖNKÖPINGS LÄN</t>
        </is>
      </c>
      <c r="G688" t="inlineStr">
        <is>
          <t>JÖNKÖPING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10760-2022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44627</v>
      </c>
      <c r="E689" s="1" t="n">
        <v>46321</v>
      </c>
      <c r="F689" t="inlineStr">
        <is>
          <t>JÖNKÖPINGS LÄN</t>
        </is>
      </c>
      <c r="G689" t="inlineStr">
        <is>
          <t>JÖNKÖPING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9897-2023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44985</v>
      </c>
      <c r="E690" s="1" t="n">
        <v>46321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45682</v>
      </c>
      <c r="E691" s="1" t="n">
        <v>46321</v>
      </c>
      <c r="F691" t="inlineStr">
        <is>
          <t>JÖNKÖPINGS LÄN</t>
        </is>
      </c>
      <c r="G691" t="inlineStr">
        <is>
          <t>JÖNKÖPING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45747</v>
      </c>
      <c r="E692" s="1" t="n">
        <v>46321</v>
      </c>
      <c r="F692" t="inlineStr">
        <is>
          <t>JÖNKÖPINGS LÄN</t>
        </is>
      </c>
      <c r="G692" t="inlineStr">
        <is>
          <t>JÖNKÖPING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62892-2023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45272</v>
      </c>
      <c r="E693" s="1" t="n">
        <v>46321</v>
      </c>
      <c r="F693" t="inlineStr">
        <is>
          <t>JÖNKÖPINGS LÄN</t>
        </is>
      </c>
      <c r="G693" t="inlineStr">
        <is>
          <t>JÖNKÖPING</t>
        </is>
      </c>
      <c r="I693" t="n">
        <v>7.7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60829-2023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46321</v>
      </c>
      <c r="F694" t="inlineStr">
        <is>
          <t>JÖNKÖPINGS LÄN</t>
        </is>
      </c>
      <c r="G694" t="inlineStr">
        <is>
          <t>JÖNKÖPING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44886</v>
      </c>
      <c r="E695" s="1" t="n">
        <v>46321</v>
      </c>
      <c r="F695" t="inlineStr">
        <is>
          <t>JÖNKÖPINGS LÄN</t>
        </is>
      </c>
      <c r="G695" t="inlineStr">
        <is>
          <t>JÖNKÖPING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46321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27246-2022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44741</v>
      </c>
      <c r="E697" s="1" t="n">
        <v>46321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45112</v>
      </c>
      <c r="E698" s="1" t="n">
        <v>46321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16072-2025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45749</v>
      </c>
      <c r="E699" s="1" t="n">
        <v>46321</v>
      </c>
      <c r="F699" t="inlineStr">
        <is>
          <t>JÖNKÖPINGS LÄN</t>
        </is>
      </c>
      <c r="G699" t="inlineStr">
        <is>
          <t>JÖNKÖPING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47569-2024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45587</v>
      </c>
      <c r="E700" s="1" t="n">
        <v>46321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46321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Kommuner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17846-2023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45037</v>
      </c>
      <c r="E702" s="1" t="n">
        <v>46321</v>
      </c>
      <c r="F702" t="inlineStr">
        <is>
          <t>JÖNKÖPINGS LÄN</t>
        </is>
      </c>
      <c r="G702" t="inlineStr">
        <is>
          <t>JÖNKÖPING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45079</v>
      </c>
      <c r="E703" s="1" t="n">
        <v>46321</v>
      </c>
      <c r="F703" t="inlineStr">
        <is>
          <t>JÖNKÖPINGS LÄN</t>
        </is>
      </c>
      <c r="G703" t="inlineStr">
        <is>
          <t>JÖNKÖPING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55294-2022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44882</v>
      </c>
      <c r="E704" s="1" t="n">
        <v>46321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45764</v>
      </c>
      <c r="E705" s="1" t="n">
        <v>46321</v>
      </c>
      <c r="F705" t="inlineStr">
        <is>
          <t>JÖNKÖPINGS LÄN</t>
        </is>
      </c>
      <c r="G705" t="inlineStr">
        <is>
          <t>JÖNKÖPING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8554-2024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45355</v>
      </c>
      <c r="E706" s="1" t="n">
        <v>46321</v>
      </c>
      <c r="F706" t="inlineStr">
        <is>
          <t>JÖNKÖPINGS LÄN</t>
        </is>
      </c>
      <c r="G706" t="inlineStr">
        <is>
          <t>JÖNKÖPING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46321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46321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43290-2023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46321</v>
      </c>
      <c r="F709" t="inlineStr">
        <is>
          <t>JÖNKÖPINGS LÄN</t>
        </is>
      </c>
      <c r="G709" t="inlineStr">
        <is>
          <t>JÖNKÖPING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45056</v>
      </c>
      <c r="E710" s="1" t="n">
        <v>46321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17384-2025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45757</v>
      </c>
      <c r="E711" s="1" t="n">
        <v>46321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47067-2023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45201</v>
      </c>
      <c r="E712" s="1" t="n">
        <v>46321</v>
      </c>
      <c r="F712" t="inlineStr">
        <is>
          <t>JÖNKÖPINGS LÄN</t>
        </is>
      </c>
      <c r="G712" t="inlineStr">
        <is>
          <t>JÖNKÖPING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26441-2023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46321</v>
      </c>
      <c r="F713" t="inlineStr">
        <is>
          <t>JÖNKÖPINGS LÄN</t>
        </is>
      </c>
      <c r="G713" t="inlineStr">
        <is>
          <t>JÖNKÖPING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46321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46321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30489-2023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45111</v>
      </c>
      <c r="E716" s="1" t="n">
        <v>46321</v>
      </c>
      <c r="F716" t="inlineStr">
        <is>
          <t>JÖNKÖPINGS LÄN</t>
        </is>
      </c>
      <c r="G716" t="inlineStr">
        <is>
          <t>JÖNKÖPING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45112</v>
      </c>
      <c r="E717" s="1" t="n">
        <v>46321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44950</v>
      </c>
      <c r="E718" s="1" t="n">
        <v>46321</v>
      </c>
      <c r="F718" t="inlineStr">
        <is>
          <t>JÖNKÖPINGS LÄN</t>
        </is>
      </c>
      <c r="G718" t="inlineStr">
        <is>
          <t>JÖNKÖPING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3522-2023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46321</v>
      </c>
      <c r="F719" t="inlineStr">
        <is>
          <t>JÖNKÖPINGS LÄN</t>
        </is>
      </c>
      <c r="G719" t="inlineStr">
        <is>
          <t>JÖNKÖPING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7885-2024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46321</v>
      </c>
      <c r="F720" t="inlineStr">
        <is>
          <t>JÖNKÖPINGS LÄN</t>
        </is>
      </c>
      <c r="G720" t="inlineStr">
        <is>
          <t>JÖNKÖPING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45119</v>
      </c>
      <c r="E721" s="1" t="n">
        <v>46321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45116</v>
      </c>
      <c r="E722" s="1" t="n">
        <v>46321</v>
      </c>
      <c r="F722" t="inlineStr">
        <is>
          <t>JÖNKÖPINGS LÄN</t>
        </is>
      </c>
      <c r="G722" t="inlineStr">
        <is>
          <t>JÖNKÖPING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47427-2024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45587</v>
      </c>
      <c r="E723" s="1" t="n">
        <v>46321</v>
      </c>
      <c r="F723" t="inlineStr">
        <is>
          <t>JÖNKÖPINGS LÄN</t>
        </is>
      </c>
      <c r="G723" t="inlineStr">
        <is>
          <t>JÖNKÖPING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44957</v>
      </c>
      <c r="E724" s="1" t="n">
        <v>46321</v>
      </c>
      <c r="F724" t="inlineStr">
        <is>
          <t>JÖNKÖPINGS LÄN</t>
        </is>
      </c>
      <c r="G724" t="inlineStr">
        <is>
          <t>JÖNKÖPING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46321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6458-2024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45338</v>
      </c>
      <c r="E726" s="1" t="n">
        <v>46321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46321</v>
      </c>
      <c r="F727" t="inlineStr">
        <is>
          <t>JÖNKÖPINGS LÄN</t>
        </is>
      </c>
      <c r="G727" t="inlineStr">
        <is>
          <t>JÖNKÖPING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45358</v>
      </c>
      <c r="E728" s="1" t="n">
        <v>46321</v>
      </c>
      <c r="F728" t="inlineStr">
        <is>
          <t>JÖNKÖPINGS LÄN</t>
        </is>
      </c>
      <c r="G728" t="inlineStr">
        <is>
          <t>JÖNKÖPING</t>
        </is>
      </c>
      <c r="I728" t="n">
        <v>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64650-2023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45281</v>
      </c>
      <c r="E729" s="1" t="n">
        <v>46321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63551-2023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46321</v>
      </c>
      <c r="F730" t="inlineStr">
        <is>
          <t>JÖNKÖPINGS LÄN</t>
        </is>
      </c>
      <c r="G730" t="inlineStr">
        <is>
          <t>JÖNKÖPING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11052-2022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44628</v>
      </c>
      <c r="E731" s="1" t="n">
        <v>46321</v>
      </c>
      <c r="F731" t="inlineStr">
        <is>
          <t>JÖNKÖPINGS LÄN</t>
        </is>
      </c>
      <c r="G731" t="inlineStr">
        <is>
          <t>JÖNKÖPING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45335</v>
      </c>
      <c r="E732" s="1" t="n">
        <v>46321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37503-2024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45541</v>
      </c>
      <c r="E733" s="1" t="n">
        <v>46321</v>
      </c>
      <c r="F733" t="inlineStr">
        <is>
          <t>JÖNKÖPINGS LÄN</t>
        </is>
      </c>
      <c r="G733" t="inlineStr">
        <is>
          <t>JÖNKÖPING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63207-2021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44507</v>
      </c>
      <c r="E734" s="1" t="n">
        <v>46321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45124</v>
      </c>
      <c r="E735" s="1" t="n">
        <v>46321</v>
      </c>
      <c r="F735" t="inlineStr">
        <is>
          <t>JÖNKÖPINGS LÄN</t>
        </is>
      </c>
      <c r="G735" t="inlineStr">
        <is>
          <t>JÖNKÖPING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45267</v>
      </c>
      <c r="E736" s="1" t="n">
        <v>46321</v>
      </c>
      <c r="F736" t="inlineStr">
        <is>
          <t>JÖNKÖPINGS LÄN</t>
        </is>
      </c>
      <c r="G736" t="inlineStr">
        <is>
          <t>JÖNKÖPING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45747</v>
      </c>
      <c r="E737" s="1" t="n">
        <v>46321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45460</v>
      </c>
      <c r="E738" s="1" t="n">
        <v>46321</v>
      </c>
      <c r="F738" t="inlineStr">
        <is>
          <t>JÖNKÖPINGS LÄN</t>
        </is>
      </c>
      <c r="G738" t="inlineStr">
        <is>
          <t>JÖNKÖPING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7177-2022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44605</v>
      </c>
      <c r="E739" s="1" t="n">
        <v>46321</v>
      </c>
      <c r="F739" t="inlineStr">
        <is>
          <t>JÖNKÖPINGS LÄN</t>
        </is>
      </c>
      <c r="G739" t="inlineStr">
        <is>
          <t>JÖNKÖPING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45175</v>
      </c>
      <c r="E740" s="1" t="n">
        <v>46321</v>
      </c>
      <c r="F740" t="inlineStr">
        <is>
          <t>JÖNKÖPINGS LÄN</t>
        </is>
      </c>
      <c r="G740" t="inlineStr">
        <is>
          <t>JÖNKÖPING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15884-2024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45405</v>
      </c>
      <c r="E741" s="1" t="n">
        <v>46321</v>
      </c>
      <c r="F741" t="inlineStr">
        <is>
          <t>JÖNKÖPINGS LÄN</t>
        </is>
      </c>
      <c r="G741" t="inlineStr">
        <is>
          <t>JÖNKÖPING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15886-2024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45405</v>
      </c>
      <c r="E742" s="1" t="n">
        <v>46321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45184</v>
      </c>
      <c r="E743" s="1" t="n">
        <v>46321</v>
      </c>
      <c r="F743" t="inlineStr">
        <is>
          <t>JÖNKÖPINGS LÄN</t>
        </is>
      </c>
      <c r="G743" t="inlineStr">
        <is>
          <t>JÖNKÖPING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38918-2024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45547</v>
      </c>
      <c r="E744" s="1" t="n">
        <v>46321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2205-2022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44578</v>
      </c>
      <c r="E745" s="1" t="n">
        <v>46321</v>
      </c>
      <c r="F745" t="inlineStr">
        <is>
          <t>JÖNKÖPINGS LÄN</t>
        </is>
      </c>
      <c r="G745" t="inlineStr">
        <is>
          <t>JÖNKÖPING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44592</v>
      </c>
      <c r="E746" s="1" t="n">
        <v>46321</v>
      </c>
      <c r="F746" t="inlineStr">
        <is>
          <t>JÖNKÖPINGS LÄN</t>
        </is>
      </c>
      <c r="G746" t="inlineStr">
        <is>
          <t>JÖNKÖPING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37510-2024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45541</v>
      </c>
      <c r="E747" s="1" t="n">
        <v>46321</v>
      </c>
      <c r="F747" t="inlineStr">
        <is>
          <t>JÖNKÖPINGS LÄN</t>
        </is>
      </c>
      <c r="G747" t="inlineStr">
        <is>
          <t>JÖNKÖPING</t>
        </is>
      </c>
      <c r="I747" t="n">
        <v>0.1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17019-2024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45412</v>
      </c>
      <c r="E748" s="1" t="n">
        <v>46321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Övriga Aktiebolag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39650-2024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45552</v>
      </c>
      <c r="E749" s="1" t="n">
        <v>46321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25079-2024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45462</v>
      </c>
      <c r="E750" s="1" t="n">
        <v>46321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3427-2022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44585</v>
      </c>
      <c r="E751" s="1" t="n">
        <v>46321</v>
      </c>
      <c r="F751" t="inlineStr">
        <is>
          <t>JÖNKÖPINGS LÄN</t>
        </is>
      </c>
      <c r="G751" t="inlineStr">
        <is>
          <t>JÖNKÖPING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18607-2025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45763</v>
      </c>
      <c r="E752" s="1" t="n">
        <v>46321</v>
      </c>
      <c r="F752" t="inlineStr">
        <is>
          <t>JÖNKÖPINGS LÄN</t>
        </is>
      </c>
      <c r="G752" t="inlineStr">
        <is>
          <t>JÖNKÖPING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61127-2024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46321</v>
      </c>
      <c r="F753" t="inlineStr">
        <is>
          <t>JÖNKÖPINGS LÄN</t>
        </is>
      </c>
      <c r="G753" t="inlineStr">
        <is>
          <t>JÖNKÖPING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44696-2023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46321</v>
      </c>
      <c r="F754" t="inlineStr">
        <is>
          <t>JÖNKÖPINGS LÄN</t>
        </is>
      </c>
      <c r="G754" t="inlineStr">
        <is>
          <t>JÖNKÖPING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45681</v>
      </c>
      <c r="E755" s="1" t="n">
        <v>46321</v>
      </c>
      <c r="F755" t="inlineStr">
        <is>
          <t>JÖNKÖPINGS LÄN</t>
        </is>
      </c>
      <c r="G755" t="inlineStr">
        <is>
          <t>JÖNKÖPING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4577-2022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44591</v>
      </c>
      <c r="E756" s="1" t="n">
        <v>46321</v>
      </c>
      <c r="F756" t="inlineStr">
        <is>
          <t>JÖNKÖPINGS LÄN</t>
        </is>
      </c>
      <c r="G756" t="inlineStr">
        <is>
          <t>JÖNKÖPING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7865-2022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44608</v>
      </c>
      <c r="E757" s="1" t="n">
        <v>46321</v>
      </c>
      <c r="F757" t="inlineStr">
        <is>
          <t>JÖNKÖPINGS LÄN</t>
        </is>
      </c>
      <c r="G757" t="inlineStr">
        <is>
          <t>JÖNKÖPING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40273-2023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45169</v>
      </c>
      <c r="E758" s="1" t="n">
        <v>46321</v>
      </c>
      <c r="F758" t="inlineStr">
        <is>
          <t>JÖNKÖPINGS LÄN</t>
        </is>
      </c>
      <c r="G758" t="inlineStr">
        <is>
          <t>JÖNKÖPING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10720-2022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44626</v>
      </c>
      <c r="E759" s="1" t="n">
        <v>46321</v>
      </c>
      <c r="F759" t="inlineStr">
        <is>
          <t>JÖNKÖPINGS LÄN</t>
        </is>
      </c>
      <c r="G759" t="inlineStr">
        <is>
          <t>JÖNKÖPING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20384-2024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45435</v>
      </c>
      <c r="E760" s="1" t="n">
        <v>46321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16652-2023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46321</v>
      </c>
      <c r="F761" t="inlineStr">
        <is>
          <t>JÖNKÖPINGS LÄN</t>
        </is>
      </c>
      <c r="G761" t="inlineStr">
        <is>
          <t>JÖNKÖPING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11236-2024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45371</v>
      </c>
      <c r="E762" s="1" t="n">
        <v>46321</v>
      </c>
      <c r="F762" t="inlineStr">
        <is>
          <t>JÖNKÖPINGS LÄN</t>
        </is>
      </c>
      <c r="G762" t="inlineStr">
        <is>
          <t>JÖNKÖPING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46321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20425-2023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46321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44564</v>
      </c>
      <c r="E765" s="1" t="n">
        <v>46321</v>
      </c>
      <c r="F765" t="inlineStr">
        <is>
          <t>JÖNKÖPINGS LÄN</t>
        </is>
      </c>
      <c r="G765" t="inlineStr">
        <is>
          <t>JÖNKÖPING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41305-2023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45174</v>
      </c>
      <c r="E766" s="1" t="n">
        <v>46321</v>
      </c>
      <c r="F766" t="inlineStr">
        <is>
          <t>JÖNKÖPINGS LÄN</t>
        </is>
      </c>
      <c r="G766" t="inlineStr">
        <is>
          <t>JÖNKÖPING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46321</v>
      </c>
      <c r="F767" t="inlineStr">
        <is>
          <t>JÖNKÖPINGS LÄN</t>
        </is>
      </c>
      <c r="G767" t="inlineStr">
        <is>
          <t>JÖNKÖPING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44571</v>
      </c>
      <c r="E768" s="1" t="n">
        <v>46321</v>
      </c>
      <c r="F768" t="inlineStr">
        <is>
          <t>JÖNKÖPINGS LÄN</t>
        </is>
      </c>
      <c r="G768" t="inlineStr">
        <is>
          <t>JÖNKÖPING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45179</v>
      </c>
      <c r="E769" s="1" t="n">
        <v>46321</v>
      </c>
      <c r="F769" t="inlineStr">
        <is>
          <t>JÖNKÖPINGS LÄN</t>
        </is>
      </c>
      <c r="G769" t="inlineStr">
        <is>
          <t>JÖNKÖPING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43054-2023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46321</v>
      </c>
      <c r="F770" t="inlineStr">
        <is>
          <t>JÖNKÖPINGS LÄN</t>
        </is>
      </c>
      <c r="G770" t="inlineStr">
        <is>
          <t>JÖNKÖPING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21132-2024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45440</v>
      </c>
      <c r="E771" s="1" t="n">
        <v>46321</v>
      </c>
      <c r="F771" t="inlineStr">
        <is>
          <t>JÖNKÖPINGS LÄN</t>
        </is>
      </c>
      <c r="G771" t="inlineStr">
        <is>
          <t>JÖNKÖPING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8931-2022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46321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44106-2022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46321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15384-2022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44659</v>
      </c>
      <c r="E774" s="1" t="n">
        <v>46321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7401-2025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45705</v>
      </c>
      <c r="E775" s="1" t="n">
        <v>46321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24146-2024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45456</v>
      </c>
      <c r="E776" s="1" t="n">
        <v>46321</v>
      </c>
      <c r="F776" t="inlineStr">
        <is>
          <t>JÖNKÖPINGS LÄN</t>
        </is>
      </c>
      <c r="G776" t="inlineStr">
        <is>
          <t>JÖNKÖPING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50173-2023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45215</v>
      </c>
      <c r="E777" s="1" t="n">
        <v>46321</v>
      </c>
      <c r="F777" t="inlineStr">
        <is>
          <t>JÖNKÖPINGS LÄN</t>
        </is>
      </c>
      <c r="G777" t="inlineStr">
        <is>
          <t>JÖNKÖPING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45404</v>
      </c>
      <c r="E778" s="1" t="n">
        <v>46321</v>
      </c>
      <c r="F778" t="inlineStr">
        <is>
          <t>JÖNKÖPINGS LÄN</t>
        </is>
      </c>
      <c r="G778" t="inlineStr">
        <is>
          <t>JÖNKÖPING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34024-2024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45523</v>
      </c>
      <c r="E779" s="1" t="n">
        <v>46321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45392</v>
      </c>
      <c r="E780" s="1" t="n">
        <v>46321</v>
      </c>
      <c r="F780" t="inlineStr">
        <is>
          <t>JÖNKÖPINGS LÄN</t>
        </is>
      </c>
      <c r="G780" t="inlineStr">
        <is>
          <t>JÖNKÖPING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21149-2022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44704</v>
      </c>
      <c r="E781" s="1" t="n">
        <v>46321</v>
      </c>
      <c r="F781" t="inlineStr">
        <is>
          <t>JÖNKÖPINGS LÄN</t>
        </is>
      </c>
      <c r="G781" t="inlineStr">
        <is>
          <t>JÖNKÖPING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45198</v>
      </c>
      <c r="E782" s="1" t="n">
        <v>46321</v>
      </c>
      <c r="F782" t="inlineStr">
        <is>
          <t>JÖNKÖPINGS LÄN</t>
        </is>
      </c>
      <c r="G782" t="inlineStr">
        <is>
          <t>JÖNKÖPING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46321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44655</v>
      </c>
      <c r="E784" s="1" t="n">
        <v>46321</v>
      </c>
      <c r="F784" t="inlineStr">
        <is>
          <t>JÖNKÖPINGS LÄN</t>
        </is>
      </c>
      <c r="G784" t="inlineStr">
        <is>
          <t>JÖNKÖPING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49343-2023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45211</v>
      </c>
      <c r="E785" s="1" t="n">
        <v>46321</v>
      </c>
      <c r="F785" t="inlineStr">
        <is>
          <t>JÖNKÖPINGS LÄN</t>
        </is>
      </c>
      <c r="G785" t="inlineStr">
        <is>
          <t>JÖNKÖPING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26206-2022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44734</v>
      </c>
      <c r="E786" s="1" t="n">
        <v>46321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Kyrkan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26213-2022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44734</v>
      </c>
      <c r="E787" s="1" t="n">
        <v>46321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Kyrkan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45408-2023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45194</v>
      </c>
      <c r="E788" s="1" t="n">
        <v>46321</v>
      </c>
      <c r="F788" t="inlineStr">
        <is>
          <t>JÖNKÖPINGS LÄN</t>
        </is>
      </c>
      <c r="G788" t="inlineStr">
        <is>
          <t>JÖNKÖPING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45681</v>
      </c>
      <c r="E789" s="1" t="n">
        <v>46321</v>
      </c>
      <c r="F789" t="inlineStr">
        <is>
          <t>JÖNKÖPINGS LÄN</t>
        </is>
      </c>
      <c r="G789" t="inlineStr">
        <is>
          <t>JÖNKÖPING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46321</v>
      </c>
      <c r="F790" t="inlineStr">
        <is>
          <t>JÖNKÖPINGS LÄN</t>
        </is>
      </c>
      <c r="G790" t="inlineStr">
        <is>
          <t>JÖNKÖPING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40271-2023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45169</v>
      </c>
      <c r="E791" s="1" t="n">
        <v>46321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46321-2023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45197</v>
      </c>
      <c r="E792" s="1" t="n">
        <v>46321</v>
      </c>
      <c r="F792" t="inlineStr">
        <is>
          <t>JÖNKÖPINGS LÄN</t>
        </is>
      </c>
      <c r="G792" t="inlineStr">
        <is>
          <t>JÖNKÖPING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17928-2025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45759</v>
      </c>
      <c r="E793" s="1" t="n">
        <v>46321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46321</v>
      </c>
      <c r="F794" t="inlineStr">
        <is>
          <t>JÖNKÖPINGS LÄN</t>
        </is>
      </c>
      <c r="G794" t="inlineStr">
        <is>
          <t>JÖNKÖPING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45303</v>
      </c>
      <c r="E795" s="1" t="n">
        <v>46321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57180-2023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45245</v>
      </c>
      <c r="E796" s="1" t="n">
        <v>46321</v>
      </c>
      <c r="F796" t="inlineStr">
        <is>
          <t>JÖNKÖPINGS LÄN</t>
        </is>
      </c>
      <c r="G796" t="inlineStr">
        <is>
          <t>JÖNKÖPING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45189</v>
      </c>
      <c r="E797" s="1" t="n">
        <v>46321</v>
      </c>
      <c r="F797" t="inlineStr">
        <is>
          <t>JÖNKÖPINGS LÄN</t>
        </is>
      </c>
      <c r="G797" t="inlineStr">
        <is>
          <t>JÖNKÖPING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45294</v>
      </c>
      <c r="E798" s="1" t="n">
        <v>46321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59269-2022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44904</v>
      </c>
      <c r="E799" s="1" t="n">
        <v>46321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Kommuner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59293-2022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44897</v>
      </c>
      <c r="E800" s="1" t="n">
        <v>46321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59294-2022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44904</v>
      </c>
      <c r="E801" s="1" t="n">
        <v>46321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Kommuner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57567-2023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46321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Kyrkan</t>
        </is>
      </c>
      <c r="I802" t="n">
        <v>7.6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18069-2025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45761</v>
      </c>
      <c r="E803" s="1" t="n">
        <v>46321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46321</v>
      </c>
      <c r="F804" t="inlineStr">
        <is>
          <t>JÖNKÖPINGS LÄN</t>
        </is>
      </c>
      <c r="G804" t="inlineStr">
        <is>
          <t>JÖNKÖPING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52812-2023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45226</v>
      </c>
      <c r="E805" s="1" t="n">
        <v>46321</v>
      </c>
      <c r="F805" t="inlineStr">
        <is>
          <t>JÖNKÖPINGS LÄN</t>
        </is>
      </c>
      <c r="G805" t="inlineStr">
        <is>
          <t>JÖNKÖPING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56051-2023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45240</v>
      </c>
      <c r="E806" s="1" t="n">
        <v>46321</v>
      </c>
      <c r="F806" t="inlineStr">
        <is>
          <t>JÖNKÖPINGS LÄN</t>
        </is>
      </c>
      <c r="G806" t="inlineStr">
        <is>
          <t>JÖNKÖPING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56131-2022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44889</v>
      </c>
      <c r="E807" s="1" t="n">
        <v>46321</v>
      </c>
      <c r="F807" t="inlineStr">
        <is>
          <t>JÖNKÖPINGS LÄN</t>
        </is>
      </c>
      <c r="G807" t="inlineStr">
        <is>
          <t>JÖNKÖPING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46623-2023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46321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46628-2023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46321</v>
      </c>
      <c r="F809" t="inlineStr">
        <is>
          <t>JÖNKÖPINGS LÄN</t>
        </is>
      </c>
      <c r="G809" t="inlineStr">
        <is>
          <t>JÖNKÖPING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46971-2023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45201</v>
      </c>
      <c r="E810" s="1" t="n">
        <v>46321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36147-2024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45534</v>
      </c>
      <c r="E811" s="1" t="n">
        <v>46321</v>
      </c>
      <c r="F811" t="inlineStr">
        <is>
          <t>JÖNKÖPINGS LÄN</t>
        </is>
      </c>
      <c r="G811" t="inlineStr">
        <is>
          <t>JÖNKÖPING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59370-2023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45253</v>
      </c>
      <c r="E812" s="1" t="n">
        <v>46321</v>
      </c>
      <c r="F812" t="inlineStr">
        <is>
          <t>JÖNKÖPINGS LÄN</t>
        </is>
      </c>
      <c r="G812" t="inlineStr">
        <is>
          <t>JÖNKÖPING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45300</v>
      </c>
      <c r="E813" s="1" t="n">
        <v>46321</v>
      </c>
      <c r="F813" t="inlineStr">
        <is>
          <t>JÖNKÖPINGS LÄN</t>
        </is>
      </c>
      <c r="G813" t="inlineStr">
        <is>
          <t>JÖNKÖPING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50168-2023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46321</v>
      </c>
      <c r="F814" t="inlineStr">
        <is>
          <t>JÖNKÖPINGS LÄN</t>
        </is>
      </c>
      <c r="G814" t="inlineStr">
        <is>
          <t>JÖNKÖPING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14078-2024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45392</v>
      </c>
      <c r="E815" s="1" t="n">
        <v>46321</v>
      </c>
      <c r="F815" t="inlineStr">
        <is>
          <t>JÖNKÖPINGS LÄN</t>
        </is>
      </c>
      <c r="G815" t="inlineStr">
        <is>
          <t>JÖNKÖPING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51876-2022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44867</v>
      </c>
      <c r="E816" s="1" t="n">
        <v>46321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45477</v>
      </c>
      <c r="E817" s="1" t="n">
        <v>46321</v>
      </c>
      <c r="F817" t="inlineStr">
        <is>
          <t>JÖNKÖPINGS LÄN</t>
        </is>
      </c>
      <c r="G817" t="inlineStr">
        <is>
          <t>JÖNKÖPING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45477</v>
      </c>
      <c r="E818" s="1" t="n">
        <v>46321</v>
      </c>
      <c r="F818" t="inlineStr">
        <is>
          <t>JÖNKÖPINGS LÄN</t>
        </is>
      </c>
      <c r="G818" t="inlineStr">
        <is>
          <t>JÖNKÖPING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59312-2022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46321</v>
      </c>
      <c r="F819" t="inlineStr">
        <is>
          <t>JÖNKÖPINGS LÄN</t>
        </is>
      </c>
      <c r="G819" t="inlineStr">
        <is>
          <t>JÖNKÖPING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45302</v>
      </c>
      <c r="E820" s="1" t="n">
        <v>46321</v>
      </c>
      <c r="F820" t="inlineStr">
        <is>
          <t>JÖNKÖPINGS LÄN</t>
        </is>
      </c>
      <c r="G820" t="inlineStr">
        <is>
          <t>JÖNKÖPING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56599-2022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44893</v>
      </c>
      <c r="E821" s="1" t="n">
        <v>46321</v>
      </c>
      <c r="F821" t="inlineStr">
        <is>
          <t>JÖNKÖPINGS LÄN</t>
        </is>
      </c>
      <c r="G821" t="inlineStr">
        <is>
          <t>JÖNKÖPING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45406</v>
      </c>
      <c r="E822" s="1" t="n">
        <v>46321</v>
      </c>
      <c r="F822" t="inlineStr">
        <is>
          <t>JÖNKÖPINGS LÄN</t>
        </is>
      </c>
      <c r="G822" t="inlineStr">
        <is>
          <t>JÖNKÖPING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16213-2024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45406</v>
      </c>
      <c r="E823" s="1" t="n">
        <v>46321</v>
      </c>
      <c r="F823" t="inlineStr">
        <is>
          <t>JÖNKÖPINGS LÄN</t>
        </is>
      </c>
      <c r="G823" t="inlineStr">
        <is>
          <t>JÖNKÖPING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48308-2022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44853</v>
      </c>
      <c r="E824" s="1" t="n">
        <v>46321</v>
      </c>
      <c r="F824" t="inlineStr">
        <is>
          <t>JÖNKÖPINGS LÄN</t>
        </is>
      </c>
      <c r="G824" t="inlineStr">
        <is>
          <t>JÖNKÖPING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44949</v>
      </c>
      <c r="E825" s="1" t="n">
        <v>46321</v>
      </c>
      <c r="F825" t="inlineStr">
        <is>
          <t>JÖNKÖPINGS LÄN</t>
        </is>
      </c>
      <c r="G825" t="inlineStr">
        <is>
          <t>JÖNKÖPING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44648</v>
      </c>
      <c r="E826" s="1" t="n">
        <v>46321</v>
      </c>
      <c r="F826" t="inlineStr">
        <is>
          <t>JÖNKÖPINGS LÄN</t>
        </is>
      </c>
      <c r="G826" t="inlineStr">
        <is>
          <t>JÖNKÖPING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49392-2022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44861</v>
      </c>
      <c r="E827" s="1" t="n">
        <v>46321</v>
      </c>
      <c r="F827" t="inlineStr">
        <is>
          <t>JÖNKÖPINGS LÄN</t>
        </is>
      </c>
      <c r="G827" t="inlineStr">
        <is>
          <t>JÖNKÖPING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44938</v>
      </c>
      <c r="E828" s="1" t="n">
        <v>46321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Kyrkan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11801-2024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45375</v>
      </c>
      <c r="E829" s="1" t="n">
        <v>46321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43251-2023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45180</v>
      </c>
      <c r="E830" s="1" t="n">
        <v>46321</v>
      </c>
      <c r="F830" t="inlineStr">
        <is>
          <t>JÖNKÖPINGS LÄN</t>
        </is>
      </c>
      <c r="G830" t="inlineStr">
        <is>
          <t>JÖNKÖPING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44943</v>
      </c>
      <c r="E831" s="1" t="n">
        <v>46321</v>
      </c>
      <c r="F831" t="inlineStr">
        <is>
          <t>JÖNKÖPINGS LÄN</t>
        </is>
      </c>
      <c r="G831" t="inlineStr">
        <is>
          <t>JÖNKÖPING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8864-2022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44614</v>
      </c>
      <c r="E832" s="1" t="n">
        <v>46321</v>
      </c>
      <c r="F832" t="inlineStr">
        <is>
          <t>JÖNKÖPINGS LÄN</t>
        </is>
      </c>
      <c r="G832" t="inlineStr">
        <is>
          <t>JÖNKÖPING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21935-2022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44711</v>
      </c>
      <c r="E833" s="1" t="n">
        <v>46321</v>
      </c>
      <c r="F833" t="inlineStr">
        <is>
          <t>JÖNKÖPINGS LÄN</t>
        </is>
      </c>
      <c r="G833" t="inlineStr">
        <is>
          <t>JÖNKÖPING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1870-2022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44658</v>
      </c>
      <c r="E834" s="1" t="n">
        <v>46321</v>
      </c>
      <c r="F834" t="inlineStr">
        <is>
          <t>JÖNKÖPINGS LÄN</t>
        </is>
      </c>
      <c r="G834" t="inlineStr">
        <is>
          <t>JÖNKÖPING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44607</v>
      </c>
      <c r="E835" s="1" t="n">
        <v>46321</v>
      </c>
      <c r="F835" t="inlineStr">
        <is>
          <t>JÖNKÖPINGS LÄN</t>
        </is>
      </c>
      <c r="G835" t="inlineStr">
        <is>
          <t>JÖNKÖPING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46321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2909-2022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44711</v>
      </c>
      <c r="E837" s="1" t="n">
        <v>46321</v>
      </c>
      <c r="F837" t="inlineStr">
        <is>
          <t>JÖNKÖPINGS LÄN</t>
        </is>
      </c>
      <c r="G837" t="inlineStr">
        <is>
          <t>JÖNKÖPING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45313</v>
      </c>
      <c r="E838" s="1" t="n">
        <v>46321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84.90000000000001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2480-2023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45131</v>
      </c>
      <c r="E839" s="1" t="n">
        <v>46321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Kyrkan</t>
        </is>
      </c>
      <c r="I839" t="n">
        <v>66.7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9015-2021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44510</v>
      </c>
      <c r="E840" s="1" t="n">
        <v>46321</v>
      </c>
      <c r="F840" t="inlineStr">
        <is>
          <t>JÖNKÖPINGS LÄN</t>
        </is>
      </c>
      <c r="G840" t="inlineStr">
        <is>
          <t>JÖNKÖPING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274-2023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44956</v>
      </c>
      <c r="E841" s="1" t="n">
        <v>46321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Sveaskog</t>
        </is>
      </c>
      <c r="I841" t="n">
        <v>50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1347-2024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45407</v>
      </c>
      <c r="E842" s="1" t="n">
        <v>46321</v>
      </c>
      <c r="F842" t="inlineStr">
        <is>
          <t>JÖNKÖPINGS LÄN</t>
        </is>
      </c>
      <c r="G842" t="inlineStr">
        <is>
          <t>JÖNKÖPING</t>
        </is>
      </c>
      <c r="H842" t="inlineStr">
        <is>
          <t>Övriga Aktiebolag</t>
        </is>
      </c>
      <c r="I842" t="n">
        <v>40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324-2024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45327</v>
      </c>
      <c r="E843" s="1" t="n">
        <v>46321</v>
      </c>
      <c r="F843" t="inlineStr">
        <is>
          <t>JÖNKÖPINGS LÄN</t>
        </is>
      </c>
      <c r="G843" t="inlineStr">
        <is>
          <t>JÖNKÖPING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3979-2022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44753</v>
      </c>
      <c r="E844" s="1" t="n">
        <v>46321</v>
      </c>
      <c r="F844" t="inlineStr">
        <is>
          <t>JÖNKÖPINGS LÄN</t>
        </is>
      </c>
      <c r="G844" t="inlineStr">
        <is>
          <t>JÖNKÖPING</t>
        </is>
      </c>
      <c r="I844" t="n">
        <v>55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893-2023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44998</v>
      </c>
      <c r="E845" s="1" t="n">
        <v>46321</v>
      </c>
      <c r="F845" t="inlineStr">
        <is>
          <t>JÖNKÖPINGS LÄN</t>
        </is>
      </c>
      <c r="G845" t="inlineStr">
        <is>
          <t>JÖNKÖPING</t>
        </is>
      </c>
      <c r="I845" t="n">
        <v>129.2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1566-2025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45794</v>
      </c>
      <c r="E846" s="1" t="n">
        <v>46321</v>
      </c>
      <c r="F846" t="inlineStr">
        <is>
          <t>JÖNKÖPINGS LÄN</t>
        </is>
      </c>
      <c r="G846" t="inlineStr">
        <is>
          <t>JÖNKÖPING</t>
        </is>
      </c>
      <c r="I846" t="n">
        <v>24.3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1618-2025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46321</v>
      </c>
      <c r="F847" t="inlineStr">
        <is>
          <t>JÖNKÖPINGS LÄN</t>
        </is>
      </c>
      <c r="G847" t="inlineStr">
        <is>
          <t>JÖNKÖPING</t>
        </is>
      </c>
      <c r="I847" t="n">
        <v>20.6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581-2025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46321</v>
      </c>
      <c r="F848" t="inlineStr">
        <is>
          <t>JÖNKÖPINGS LÄN</t>
        </is>
      </c>
      <c r="G848" t="inlineStr">
        <is>
          <t>JÖNKÖPING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  <c r="Z848">
        <f>HYPERLINK("https://klasma.github.io/Logging_0680/knärot/S 581-2025 karta knärot.png", "S 581-2025")</f>
        <v/>
      </c>
      <c r="AA848">
        <f>HYPERLINK("https://klasma.github.io/Logging_0680/klagomål/S 581-2025 FSC-klagomål.docx", "S 581-2025")</f>
        <v/>
      </c>
      <c r="AB848">
        <f>HYPERLINK("https://klasma.github.io/Logging_0680/klagomålsmail/S 581-2025 FSC-klagomål mail.docx", "S 581-2025")</f>
        <v/>
      </c>
      <c r="AC848">
        <f>HYPERLINK("https://klasma.github.io/Logging_0680/tillsyn/S 581-2025 tillsynsbegäran.docx", "S 581-2025")</f>
        <v/>
      </c>
      <c r="AD848">
        <f>HYPERLINK("https://klasma.github.io/Logging_0680/tillsynsmail/S 581-2025 tillsynsbegäran mail.docx", "S 581-2025")</f>
        <v/>
      </c>
    </row>
    <row r="849" ht="15" customHeight="1">
      <c r="A849" t="inlineStr">
        <is>
          <t>S 1610-2025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46321</v>
      </c>
      <c r="F849" t="inlineStr">
        <is>
          <t>JÖNKÖPINGS LÄN</t>
        </is>
      </c>
      <c r="G849" t="inlineStr">
        <is>
          <t>JÖNKÖPING</t>
        </is>
      </c>
      <c r="I849" t="n">
        <v>65.3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577-2025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46321</v>
      </c>
      <c r="F850" t="inlineStr">
        <is>
          <t>JÖNKÖPINGS LÄN</t>
        </is>
      </c>
      <c r="G850" t="inlineStr">
        <is>
          <t>JÖNKÖPING</t>
        </is>
      </c>
      <c r="I850" t="n">
        <v>39.5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1803-2025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45817</v>
      </c>
      <c r="E851" s="1" t="n">
        <v>46321</v>
      </c>
      <c r="F851" t="inlineStr">
        <is>
          <t>JÖNKÖPINGS LÄN</t>
        </is>
      </c>
      <c r="G851" t="inlineStr">
        <is>
          <t>JÖNKÖPING</t>
        </is>
      </c>
      <c r="H851" t="inlineStr">
        <is>
          <t>Kommuner</t>
        </is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2245-2025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45870</v>
      </c>
      <c r="E852" s="1" t="n">
        <v>46321</v>
      </c>
      <c r="F852" t="inlineStr">
        <is>
          <t>JÖNKÖPINGS LÄN</t>
        </is>
      </c>
      <c r="G852" t="inlineStr">
        <is>
          <t>JÖNKÖPING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3374-2025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45994</v>
      </c>
      <c r="E853" s="1" t="n">
        <v>46321</v>
      </c>
      <c r="F853" t="inlineStr">
        <is>
          <t>JÖNKÖPINGS LÄN</t>
        </is>
      </c>
      <c r="G853" t="inlineStr">
        <is>
          <t>JÖNKÖPING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180-2026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46047</v>
      </c>
      <c r="E854" s="1" t="n">
        <v>46321</v>
      </c>
      <c r="F854" t="inlineStr">
        <is>
          <t>JÖNKÖPINGS LÄN</t>
        </is>
      </c>
      <c r="G854" t="inlineStr">
        <is>
          <t>JÖNKÖPING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2641-2026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46304</v>
      </c>
      <c r="E855" s="1" t="n">
        <v>46321</v>
      </c>
      <c r="F855" t="inlineStr">
        <is>
          <t>JÖNKÖPINGS LÄN</t>
        </is>
      </c>
      <c r="G855" t="inlineStr">
        <is>
          <t>JÖNKÖPING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2026-10-26T03:12:10Z</dcterms:created>
  <dcterms:modified xmlns:dcterms="http://purl.org/dc/terms/" xmlns:xsi="http://www.w3.org/2001/XMLSchema-instance" xsi:type="dcterms:W3CDTF">2026-10-26T03:12:11Z</dcterms:modified>
</cp:coreProperties>
</file>