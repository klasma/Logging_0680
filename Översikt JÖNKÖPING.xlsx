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46226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46226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46226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46226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46226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46226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46226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46226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46226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46226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46226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46226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46226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46226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46226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46226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46226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46226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46226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46226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46226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46226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46226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46226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46226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46226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46226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46226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46226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46226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46226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46226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46226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46226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46226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46226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46226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46226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46226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46226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46226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46226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46226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46226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46226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46226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46226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46226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46226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46226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38072-2021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46226</v>
      </c>
      <c r="F53" t="inlineStr">
        <is>
          <t>JÖNKÖPINGS LÄN</t>
        </is>
      </c>
      <c r="G53" t="inlineStr">
        <is>
          <t>JÖNKÖPING</t>
        </is>
      </c>
      <c r="I53" t="n">
        <v>2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Slåttergubbe
Jungfrulin</t>
        </is>
      </c>
      <c r="W53">
        <f>HYPERLINK("https://klasma.github.io/Logging_0680/artfynd/A 38072-2021 artfynd.xlsx", "A 38072-2021")</f>
        <v/>
      </c>
      <c r="X53">
        <f>HYPERLINK("https://klasma.github.io/Logging_0680/kartor/A 38072-2021 karta.png", "A 38072-2021")</f>
        <v/>
      </c>
      <c r="Y53">
        <f>HYPERLINK("https://klasma.github.io/Logging_0680/kartor_geotiff/A 38072-2021 georefererad karta.tif", "A 38072-2021")</f>
        <v/>
      </c>
      <c r="AA53">
        <f>HYPERLINK("https://klasma.github.io/Logging_0680/klagomål/A 38072-2021 FSC-klagomål.docx", "A 38072-2021")</f>
        <v/>
      </c>
      <c r="AB53">
        <f>HYPERLINK("https://klasma.github.io/Logging_0680/klagomålsmail/A 38072-2021 FSC-klagomål mail.docx", "A 38072-2021")</f>
        <v/>
      </c>
      <c r="AC53">
        <f>HYPERLINK("https://klasma.github.io/Logging_0680/tillsyn/A 38072-2021 tillsynsbegäran.docx", "A 38072-2021")</f>
        <v/>
      </c>
      <c r="AD53">
        <f>HYPERLINK("https://klasma.github.io/Logging_0680/tillsynsmail/A 38072-2021 tillsynsbegäran mail.docx", "A 38072-2021")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46226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46226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46226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46226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51183-2024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46226</v>
      </c>
      <c r="F58" t="inlineStr">
        <is>
          <t>JÖNKÖPINGS LÄN</t>
        </is>
      </c>
      <c r="G58" t="inlineStr">
        <is>
          <t>JÖNKÖPING</t>
        </is>
      </c>
      <c r="I58" t="n">
        <v>5.9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Sångsvan
Trana</t>
        </is>
      </c>
      <c r="W58">
        <f>HYPERLINK("https://klasma.github.io/Logging_0680/artfynd/A 51183-2024 artfynd.xlsx", "A 51183-2024")</f>
        <v/>
      </c>
      <c r="X58">
        <f>HYPERLINK("https://klasma.github.io/Logging_0680/kartor/A 51183-2024 karta.png", "A 51183-2024")</f>
        <v/>
      </c>
      <c r="Y58">
        <f>HYPERLINK("https://klasma.github.io/Logging_0680/kartor_geotiff/A 51183-2024 georefererad karta.tif", "A 51183-2024")</f>
        <v/>
      </c>
      <c r="AA58">
        <f>HYPERLINK("https://klasma.github.io/Logging_0680/klagomål/A 51183-2024 FSC-klagomål.docx", "A 51183-2024")</f>
        <v/>
      </c>
      <c r="AB58">
        <f>HYPERLINK("https://klasma.github.io/Logging_0680/klagomålsmail/A 51183-2024 FSC-klagomål mail.docx", "A 51183-2024")</f>
        <v/>
      </c>
      <c r="AC58">
        <f>HYPERLINK("https://klasma.github.io/Logging_0680/tillsyn/A 51183-2024 tillsynsbegäran.docx", "A 51183-2024")</f>
        <v/>
      </c>
      <c r="AD58">
        <f>HYPERLINK("https://klasma.github.io/Logging_0680/tillsynsmail/A 51183-2024 tillsynsbegäran mail.docx", "A 51183-2024")</f>
        <v/>
      </c>
      <c r="AE58">
        <f>HYPERLINK("https://klasma.github.io/Logging_0680/fåglar/A 51183-2024 prioriterade fågelarter.docx", "A 51183-2024")</f>
        <v/>
      </c>
    </row>
    <row r="59" ht="15" customHeight="1">
      <c r="A59" t="inlineStr">
        <is>
          <t>A 35567-2025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46226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Kambräken</t>
        </is>
      </c>
      <c r="W59">
        <f>HYPERLINK("https://klasma.github.io/Logging_0680/artfynd/A 35567-2025 artfynd.xlsx", "A 35567-2025")</f>
        <v/>
      </c>
      <c r="X59">
        <f>HYPERLINK("https://klasma.github.io/Logging_0680/kartor/A 35567-2025 karta.png", "A 35567-2025")</f>
        <v/>
      </c>
      <c r="Y59">
        <f>HYPERLINK("https://klasma.github.io/Logging_0680/kartor_geotiff/A 35567-2025 georefererad karta.tif", "A 35567-2025")</f>
        <v/>
      </c>
      <c r="Z59">
        <f>HYPERLINK("https://klasma.github.io/Logging_0680/knärot/A 35567-2025 karta knärot.png", "A 35567-2025")</f>
        <v/>
      </c>
      <c r="AA59">
        <f>HYPERLINK("https://klasma.github.io/Logging_0680/klagomål/A 35567-2025 FSC-klagomål.docx", "A 35567-2025")</f>
        <v/>
      </c>
      <c r="AB59">
        <f>HYPERLINK("https://klasma.github.io/Logging_0680/klagomålsmail/A 35567-2025 FSC-klagomål mail.docx", "A 35567-2025")</f>
        <v/>
      </c>
      <c r="AC59">
        <f>HYPERLINK("https://klasma.github.io/Logging_0680/tillsyn/A 35567-2025 tillsynsbegäran.docx", "A 35567-2025")</f>
        <v/>
      </c>
      <c r="AD59">
        <f>HYPERLINK("https://klasma.github.io/Logging_0680/tillsynsmail/A 35567-2025 tillsynsbegäran mail.docx", "A 35567-2025")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46226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Grönpyrola</t>
        </is>
      </c>
      <c r="W60">
        <f>HYPERLINK("https://klasma.github.io/Logging_0680/artfynd/A 36799-2024 artfynd.xlsx", "A 36799-2024")</f>
        <v/>
      </c>
      <c r="X60">
        <f>HYPERLINK("https://klasma.github.io/Logging_0680/kartor/A 36799-2024 karta.png", "A 36799-2024")</f>
        <v/>
      </c>
      <c r="Y60">
        <f>HYPERLINK("https://klasma.github.io/Logging_0680/kartor_geotiff/A 36799-2024 georefererad karta.tif", "A 36799-2024")</f>
        <v/>
      </c>
      <c r="AA60">
        <f>HYPERLINK("https://klasma.github.io/Logging_0680/klagomål/A 36799-2024 FSC-klagomål.docx", "A 36799-2024")</f>
        <v/>
      </c>
      <c r="AB60">
        <f>HYPERLINK("https://klasma.github.io/Logging_0680/klagomålsmail/A 36799-2024 FSC-klagomål mail.docx", "A 36799-2024")</f>
        <v/>
      </c>
      <c r="AC60">
        <f>HYPERLINK("https://klasma.github.io/Logging_0680/tillsyn/A 36799-2024 tillsynsbegäran.docx", "A 36799-2024")</f>
        <v/>
      </c>
      <c r="AD60">
        <f>HYPERLINK("https://klasma.github.io/Logging_0680/tillsynsmail/A 36799-2024 tillsynsbegäran mail.docx", "A 36799-2024")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46226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4810-2026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46048</v>
      </c>
      <c r="E62" s="1" t="n">
        <v>46226</v>
      </c>
      <c r="F62" t="inlineStr">
        <is>
          <t>JÖNKÖPINGS LÄN</t>
        </is>
      </c>
      <c r="G62" t="inlineStr">
        <is>
          <t>JÖNKÖPING</t>
        </is>
      </c>
      <c r="I62" t="n">
        <v>0.4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Gullviva</t>
        </is>
      </c>
      <c r="W62">
        <f>HYPERLINK("https://klasma.github.io/Logging_0680/artfynd/A 4810-2026 artfynd.xlsx", "A 4810-2026")</f>
        <v/>
      </c>
      <c r="X62">
        <f>HYPERLINK("https://klasma.github.io/Logging_0680/kartor/A 4810-2026 karta.png", "A 4810-2026")</f>
        <v/>
      </c>
      <c r="Y62">
        <f>HYPERLINK("https://klasma.github.io/Logging_0680/kartor_geotiff/A 4810-2026 georefererad karta.tif", "A 4810-2026")</f>
        <v/>
      </c>
      <c r="AA62">
        <f>HYPERLINK("https://klasma.github.io/Logging_0680/klagomål/A 4810-2026 FSC-klagomål.docx", "A 4810-2026")</f>
        <v/>
      </c>
      <c r="AB62">
        <f>HYPERLINK("https://klasma.github.io/Logging_0680/klagomålsmail/A 4810-2026 FSC-klagomål mail.docx", "A 4810-2026")</f>
        <v/>
      </c>
      <c r="AC62">
        <f>HYPERLINK("https://klasma.github.io/Logging_0680/tillsyn/A 4810-2026 tillsynsbegäran.docx", "A 4810-2026")</f>
        <v/>
      </c>
      <c r="AD62">
        <f>HYPERLINK("https://klasma.github.io/Logging_0680/tillsynsmail/A 4810-2026 tillsynsbegäran mail.docx", "A 4810-2026")</f>
        <v/>
      </c>
    </row>
    <row r="63" ht="15" customHeight="1">
      <c r="A63" t="inlineStr">
        <is>
          <t>A 5125-2026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46226</v>
      </c>
      <c r="F63" t="inlineStr">
        <is>
          <t>JÖNKÖPINGS LÄN</t>
        </is>
      </c>
      <c r="G63" t="inlineStr">
        <is>
          <t>JÖNKÖPING</t>
        </is>
      </c>
      <c r="I63" t="n">
        <v>0.6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Sommarfibbla
Svinrot</t>
        </is>
      </c>
      <c r="W63">
        <f>HYPERLINK("https://klasma.github.io/Logging_0680/artfynd/A 5125-2026 artfynd.xlsx", "A 5125-2026")</f>
        <v/>
      </c>
      <c r="X63">
        <f>HYPERLINK("https://klasma.github.io/Logging_0680/kartor/A 5125-2026 karta.png", "A 5125-2026")</f>
        <v/>
      </c>
      <c r="Y63">
        <f>HYPERLINK("https://klasma.github.io/Logging_0680/kartor_geotiff/A 5125-2026 georefererad karta.tif", "A 5125-2026")</f>
        <v/>
      </c>
      <c r="AA63">
        <f>HYPERLINK("https://klasma.github.io/Logging_0680/klagomål/A 5125-2026 FSC-klagomål.docx", "A 5125-2026")</f>
        <v/>
      </c>
      <c r="AB63">
        <f>HYPERLINK("https://klasma.github.io/Logging_0680/klagomålsmail/A 5125-2026 FSC-klagomål mail.docx", "A 5125-2026")</f>
        <v/>
      </c>
      <c r="AC63">
        <f>HYPERLINK("https://klasma.github.io/Logging_0680/tillsyn/A 5125-2026 tillsynsbegäran.docx", "A 5125-2026")</f>
        <v/>
      </c>
      <c r="AD63">
        <f>HYPERLINK("https://klasma.github.io/Logging_0680/tillsynsmail/A 5125-2026 tillsynsbegäran mail.docx", "A 5125-2026")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46226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46226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25071-2026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46226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4.9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Nattskärra
Tjäder</t>
        </is>
      </c>
      <c r="W66">
        <f>HYPERLINK("https://klasma.github.io/Logging_0680/artfynd/A 25071-2026 artfynd.xlsx", "A 25071-2026")</f>
        <v/>
      </c>
      <c r="X66">
        <f>HYPERLINK("https://klasma.github.io/Logging_0680/kartor/A 25071-2026 karta.png", "A 25071-2026")</f>
        <v/>
      </c>
      <c r="Y66">
        <f>HYPERLINK("https://klasma.github.io/Logging_0680/kartor_geotiff/A 25071-2026 georefererad karta.tif", "A 25071-2026")</f>
        <v/>
      </c>
      <c r="AA66">
        <f>HYPERLINK("https://klasma.github.io/Logging_0680/klagomål/A 25071-2026 FSC-klagomål.docx", "A 25071-2026")</f>
        <v/>
      </c>
      <c r="AB66">
        <f>HYPERLINK("https://klasma.github.io/Logging_0680/klagomålsmail/A 25071-2026 FSC-klagomål mail.docx", "A 25071-2026")</f>
        <v/>
      </c>
      <c r="AC66">
        <f>HYPERLINK("https://klasma.github.io/Logging_0680/tillsyn/A 25071-2026 tillsynsbegäran.docx", "A 25071-2026")</f>
        <v/>
      </c>
      <c r="AD66">
        <f>HYPERLINK("https://klasma.github.io/Logging_0680/tillsynsmail/A 25071-2026 tillsynsbegäran mail.docx", "A 25071-2026")</f>
        <v/>
      </c>
      <c r="AE66">
        <f>HYPERLINK("https://klasma.github.io/Logging_0680/fåglar/A 25071-2026 prioriterade fågelarter.docx", "A 25071-2026")</f>
        <v/>
      </c>
    </row>
    <row r="67" ht="15" customHeight="1">
      <c r="A67" t="inlineStr">
        <is>
          <t>A 10991-2023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46226</v>
      </c>
      <c r="F67" t="inlineStr">
        <is>
          <t>JÖNKÖPINGS LÄN</t>
        </is>
      </c>
      <c r="G67" t="inlineStr">
        <is>
          <t>JÖNKÖPING</t>
        </is>
      </c>
      <c r="I67" t="n">
        <v>0.7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Gulnål
Kornig nållav</t>
        </is>
      </c>
      <c r="W67">
        <f>HYPERLINK("https://klasma.github.io/Logging_0680/artfynd/A 10991-2023 artfynd.xlsx", "A 10991-2023")</f>
        <v/>
      </c>
      <c r="X67">
        <f>HYPERLINK("https://klasma.github.io/Logging_0680/kartor/A 10991-2023 karta.png", "A 10991-2023")</f>
        <v/>
      </c>
      <c r="Y67">
        <f>HYPERLINK("https://klasma.github.io/Logging_0680/kartor_geotiff/A 10991-2023 georefererad karta.tif", "A 10991-2023")</f>
        <v/>
      </c>
      <c r="AA67">
        <f>HYPERLINK("https://klasma.github.io/Logging_0680/klagomål/A 10991-2023 FSC-klagomål.docx", "A 10991-2023")</f>
        <v/>
      </c>
      <c r="AB67">
        <f>HYPERLINK("https://klasma.github.io/Logging_0680/klagomålsmail/A 10991-2023 FSC-klagomål mail.docx", "A 10991-2023")</f>
        <v/>
      </c>
      <c r="AC67">
        <f>HYPERLINK("https://klasma.github.io/Logging_0680/tillsyn/A 10991-2023 tillsynsbegäran.docx", "A 10991-2023")</f>
        <v/>
      </c>
      <c r="AD67">
        <f>HYPERLINK("https://klasma.github.io/Logging_0680/tillsynsmail/A 10991-2023 tillsynsbegäran mail.docx", "A 10991-2023")</f>
        <v/>
      </c>
    </row>
    <row r="68" ht="15" customHeight="1">
      <c r="A68" t="inlineStr">
        <is>
          <t>A 17836-2025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46226</v>
      </c>
      <c r="F68" t="inlineStr">
        <is>
          <t>JÖNKÖPINGS LÄN</t>
        </is>
      </c>
      <c r="G68" t="inlineStr">
        <is>
          <t>JÖNKÖPING</t>
        </is>
      </c>
      <c r="H68" t="inlineStr">
        <is>
          <t>Kyrkan</t>
        </is>
      </c>
      <c r="I68" t="n">
        <v>7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HYPERLINK("https://klasma.github.io/Logging_0680/artfynd/A 17836-2025 artfynd.xlsx", "A 17836-2025")</f>
        <v/>
      </c>
      <c r="X68">
        <f>HYPERLINK("https://klasma.github.io/Logging_0680/kartor/A 17836-2025 karta.png", "A 17836-2025")</f>
        <v/>
      </c>
      <c r="Y68">
        <f>HYPERLINK("https://klasma.github.io/Logging_0680/kartor_geotiff/A 17836-2025 georefererad karta.tif", "A 17836-2025")</f>
        <v/>
      </c>
      <c r="AA68">
        <f>HYPERLINK("https://klasma.github.io/Logging_0680/klagomål/A 17836-2025 FSC-klagomål.docx", "A 17836-2025")</f>
        <v/>
      </c>
      <c r="AB68">
        <f>HYPERLINK("https://klasma.github.io/Logging_0680/klagomålsmail/A 17836-2025 FSC-klagomål mail.docx", "A 17836-2025")</f>
        <v/>
      </c>
      <c r="AC68">
        <f>HYPERLINK("https://klasma.github.io/Logging_0680/tillsyn/A 17836-2025 tillsynsbegäran.docx", "A 17836-2025")</f>
        <v/>
      </c>
      <c r="AD68">
        <f>HYPERLINK("https://klasma.github.io/Logging_0680/tillsynsmail/A 17836-2025 tillsynsbegäran mail.docx", "A 17836-2025")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46226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46226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46226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46226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46226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46226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46226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46226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46226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46226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46226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46226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46226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46226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46226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46226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46226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46226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48371-2023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45205</v>
      </c>
      <c r="E87" s="1" t="n">
        <v>46226</v>
      </c>
      <c r="F87" t="inlineStr">
        <is>
          <t>JÖNKÖPINGS LÄN</t>
        </is>
      </c>
      <c r="G87" t="inlineStr">
        <is>
          <t>JÖNKÖPING</t>
        </is>
      </c>
      <c r="I87" t="n">
        <v>4.9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HYPERLINK("https://klasma.github.io/Logging_0680/artfynd/A 48371-2023 artfynd.xlsx", "A 48371-2023")</f>
        <v/>
      </c>
      <c r="X87">
        <f>HYPERLINK("https://klasma.github.io/Logging_0680/kartor/A 48371-2023 karta.png", "A 48371-2023")</f>
        <v/>
      </c>
      <c r="Y87">
        <f>HYPERLINK("https://klasma.github.io/Logging_0680/kartor_geotiff/A 48371-2023 georefererad karta.tif", "A 48371-2023")</f>
        <v/>
      </c>
      <c r="AA87">
        <f>HYPERLINK("https://klasma.github.io/Logging_0680/klagomål/A 48371-2023 FSC-klagomål.docx", "A 48371-2023")</f>
        <v/>
      </c>
      <c r="AB87">
        <f>HYPERLINK("https://klasma.github.io/Logging_0680/klagomålsmail/A 48371-2023 FSC-klagomål mail.docx", "A 48371-2023")</f>
        <v/>
      </c>
      <c r="AC87">
        <f>HYPERLINK("https://klasma.github.io/Logging_0680/tillsyn/A 48371-2023 tillsynsbegäran.docx", "A 48371-2023")</f>
        <v/>
      </c>
      <c r="AD87">
        <f>HYPERLINK("https://klasma.github.io/Logging_0680/tillsynsmail/A 48371-2023 tillsynsbegäran mail.docx", "A 48371-2023")</f>
        <v/>
      </c>
    </row>
    <row r="88" ht="15" customHeight="1">
      <c r="A88" t="inlineStr">
        <is>
          <t>A 7511-2026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46226</v>
      </c>
      <c r="F88" t="inlineStr">
        <is>
          <t>JÖNKÖPINGS LÄN</t>
        </is>
      </c>
      <c r="G88" t="inlineStr">
        <is>
          <t>JÖNKÖPING</t>
        </is>
      </c>
      <c r="I88" t="n">
        <v>2.8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HYPERLINK("https://klasma.github.io/Logging_0680/artfynd/A 7511-2026 artfynd.xlsx", "A 7511-2026")</f>
        <v/>
      </c>
      <c r="X88">
        <f>HYPERLINK("https://klasma.github.io/Logging_0680/kartor/A 7511-2026 karta.png", "A 7511-2026")</f>
        <v/>
      </c>
      <c r="Y88">
        <f>HYPERLINK("https://klasma.github.io/Logging_0680/kartor_geotiff/A 7511-2026 georefererad karta.tif", "A 7511-2026")</f>
        <v/>
      </c>
      <c r="AA88">
        <f>HYPERLINK("https://klasma.github.io/Logging_0680/klagomål/A 7511-2026 FSC-klagomål.docx", "A 7511-2026")</f>
        <v/>
      </c>
      <c r="AB88">
        <f>HYPERLINK("https://klasma.github.io/Logging_0680/klagomålsmail/A 7511-2026 FSC-klagomål mail.docx", "A 7511-2026")</f>
        <v/>
      </c>
      <c r="AC88">
        <f>HYPERLINK("https://klasma.github.io/Logging_0680/tillsyn/A 7511-2026 tillsynsbegäran.docx", "A 7511-2026")</f>
        <v/>
      </c>
      <c r="AD88">
        <f>HYPERLINK("https://klasma.github.io/Logging_0680/tillsynsmail/A 7511-2026 tillsynsbegäran mail.docx", "A 7511-2026")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46226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15516-2026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46226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32.6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Revlummer</t>
        </is>
      </c>
      <c r="W90">
        <f>HYPERLINK("https://klasma.github.io/Logging_0680/artfynd/A 15516-2026 artfynd.xlsx", "A 15516-2026")</f>
        <v/>
      </c>
      <c r="X90">
        <f>HYPERLINK("https://klasma.github.io/Logging_0680/kartor/A 15516-2026 karta.png", "A 15516-2026")</f>
        <v/>
      </c>
      <c r="Y90">
        <f>HYPERLINK("https://klasma.github.io/Logging_0680/kartor_geotiff/A 15516-2026 georefererad karta.tif", "A 15516-2026")</f>
        <v/>
      </c>
      <c r="AA90">
        <f>HYPERLINK("https://klasma.github.io/Logging_0680/klagomål/A 15516-2026 FSC-klagomål.docx", "A 15516-2026")</f>
        <v/>
      </c>
      <c r="AB90">
        <f>HYPERLINK("https://klasma.github.io/Logging_0680/klagomålsmail/A 15516-2026 FSC-klagomål mail.docx", "A 15516-2026")</f>
        <v/>
      </c>
      <c r="AC90">
        <f>HYPERLINK("https://klasma.github.io/Logging_0680/tillsyn/A 15516-2026 tillsynsbegäran.docx", "A 15516-2026")</f>
        <v/>
      </c>
      <c r="AD90">
        <f>HYPERLINK("https://klasma.github.io/Logging_0680/tillsynsmail/A 15516-2026 tillsynsbegäran mail.docx", "A 15516-2026")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46226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HYPERLINK("https://klasma.github.io/Logging_0680/artfynd/A 46816-2025 artfynd.xlsx", "A 46816-2025")</f>
        <v/>
      </c>
      <c r="X91">
        <f>HYPERLINK("https://klasma.github.io/Logging_0680/kartor/A 46816-2025 karta.png", "A 46816-2025")</f>
        <v/>
      </c>
      <c r="Y91">
        <f>HYPERLINK("https://klasma.github.io/Logging_0680/kartor_geotiff/A 46816-2025 georefererad karta.tif", "A 46816-2025")</f>
        <v/>
      </c>
      <c r="AA91">
        <f>HYPERLINK("https://klasma.github.io/Logging_0680/klagomål/A 46816-2025 FSC-klagomål.docx", "A 46816-2025")</f>
        <v/>
      </c>
      <c r="AB91">
        <f>HYPERLINK("https://klasma.github.io/Logging_0680/klagomålsmail/A 46816-2025 FSC-klagomål mail.docx", "A 46816-2025")</f>
        <v/>
      </c>
      <c r="AC91">
        <f>HYPERLINK("https://klasma.github.io/Logging_0680/tillsyn/A 46816-2025 tillsynsbegäran.docx", "A 46816-2025")</f>
        <v/>
      </c>
      <c r="AD91">
        <f>HYPERLINK("https://klasma.github.io/Logging_0680/tillsynsmail/A 46816-2025 tillsynsbegäran mail.docx", "A 46816-2025")</f>
        <v/>
      </c>
    </row>
    <row r="92" ht="15" customHeight="1">
      <c r="A92" t="inlineStr">
        <is>
          <t>A 33405-2025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46226</v>
      </c>
      <c r="F92" t="inlineStr">
        <is>
          <t>JÖNKÖPINGS LÄN</t>
        </is>
      </c>
      <c r="G92" t="inlineStr">
        <is>
          <t>JÖNKÖPING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Läkeögontröst</t>
        </is>
      </c>
      <c r="W92">
        <f>HYPERLINK("https://klasma.github.io/Logging_0680/artfynd/A 33405-2025 artfynd.xlsx", "A 33405-2025")</f>
        <v/>
      </c>
      <c r="X92">
        <f>HYPERLINK("https://klasma.github.io/Logging_0680/kartor/A 33405-2025 karta.png", "A 33405-2025")</f>
        <v/>
      </c>
      <c r="Y92">
        <f>HYPERLINK("https://klasma.github.io/Logging_0680/kartor_geotiff/A 33405-2025 georefererad karta.tif", "A 33405-2025")</f>
        <v/>
      </c>
      <c r="AA92">
        <f>HYPERLINK("https://klasma.github.io/Logging_0680/klagomål/A 33405-2025 FSC-klagomål.docx", "A 33405-2025")</f>
        <v/>
      </c>
      <c r="AB92">
        <f>HYPERLINK("https://klasma.github.io/Logging_0680/klagomålsmail/A 33405-2025 FSC-klagomål mail.docx", "A 33405-2025")</f>
        <v/>
      </c>
      <c r="AC92">
        <f>HYPERLINK("https://klasma.github.io/Logging_0680/tillsyn/A 33405-2025 tillsynsbegäran.docx", "A 33405-2025")</f>
        <v/>
      </c>
      <c r="AD92">
        <f>HYPERLINK("https://klasma.github.io/Logging_0680/tillsynsmail/A 33405-2025 tillsynsbegäran mail.docx", "A 33405-2025")</f>
        <v/>
      </c>
    </row>
    <row r="93" ht="15" customHeight="1">
      <c r="A93" t="inlineStr">
        <is>
          <t>A 54325-2024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46226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HYPERLINK("https://klasma.github.io/Logging_0680/artfynd/A 54325-2024 artfynd.xlsx", "A 54325-2024")</f>
        <v/>
      </c>
      <c r="X93">
        <f>HYPERLINK("https://klasma.github.io/Logging_0680/kartor/A 54325-2024 karta.png", "A 54325-2024")</f>
        <v/>
      </c>
      <c r="Y93">
        <f>HYPERLINK("https://klasma.github.io/Logging_0680/kartor_geotiff/A 54325-2024 georefererad karta.tif", "A 54325-2024")</f>
        <v/>
      </c>
      <c r="AA93">
        <f>HYPERLINK("https://klasma.github.io/Logging_0680/klagomål/A 54325-2024 FSC-klagomål.docx", "A 54325-2024")</f>
        <v/>
      </c>
      <c r="AB93">
        <f>HYPERLINK("https://klasma.github.io/Logging_0680/klagomålsmail/A 54325-2024 FSC-klagomål mail.docx", "A 54325-2024")</f>
        <v/>
      </c>
      <c r="AC93">
        <f>HYPERLINK("https://klasma.github.io/Logging_0680/tillsyn/A 54325-2024 tillsynsbegäran.docx", "A 54325-2024")</f>
        <v/>
      </c>
      <c r="AD93">
        <f>HYPERLINK("https://klasma.github.io/Logging_0680/tillsynsmail/A 54325-2024 tillsynsbegäran mail.docx", "A 54325-2024")</f>
        <v/>
      </c>
      <c r="AE93">
        <f>HYPERLINK("https://klasma.github.io/Logging_0680/fåglar/A 54325-2024 prioriterade fågelarter.docx", "A 54325-2024")</f>
        <v/>
      </c>
    </row>
    <row r="94" ht="15" customHeight="1">
      <c r="A94" t="inlineStr">
        <is>
          <t>A 6456-2024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46226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Slåttergubbe</t>
        </is>
      </c>
      <c r="W94">
        <f>HYPERLINK("https://klasma.github.io/Logging_0680/artfynd/A 6456-2024 artfynd.xlsx", "A 6456-2024")</f>
        <v/>
      </c>
      <c r="X94">
        <f>HYPERLINK("https://klasma.github.io/Logging_0680/kartor/A 6456-2024 karta.png", "A 6456-2024")</f>
        <v/>
      </c>
      <c r="Y94">
        <f>HYPERLINK("https://klasma.github.io/Logging_0680/kartor_geotiff/A 6456-2024 georefererad karta.tif", "A 6456-2024")</f>
        <v/>
      </c>
      <c r="AA94">
        <f>HYPERLINK("https://klasma.github.io/Logging_0680/klagomål/A 6456-2024 FSC-klagomål.docx", "A 6456-2024")</f>
        <v/>
      </c>
      <c r="AB94">
        <f>HYPERLINK("https://klasma.github.io/Logging_0680/klagomålsmail/A 6456-2024 FSC-klagomål mail.docx", "A 6456-2024")</f>
        <v/>
      </c>
      <c r="AC94">
        <f>HYPERLINK("https://klasma.github.io/Logging_0680/tillsyn/A 6456-2024 tillsynsbegäran.docx", "A 6456-2024")</f>
        <v/>
      </c>
      <c r="AD94">
        <f>HYPERLINK("https://klasma.github.io/Logging_0680/tillsynsmail/A 6456-2024 tillsynsbegäran mail.docx", "A 6456-2024")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46226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18770-2025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46226</v>
      </c>
      <c r="F96" t="inlineStr">
        <is>
          <t>JÖNKÖPINGS LÄN</t>
        </is>
      </c>
      <c r="G96" t="inlineStr">
        <is>
          <t>JÖNKÖPING</t>
        </is>
      </c>
      <c r="I96" t="n">
        <v>3.3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Gullpudra</t>
        </is>
      </c>
      <c r="W96">
        <f>HYPERLINK("https://klasma.github.io/Logging_0680/artfynd/A 18770-2025 artfynd.xlsx", "A 18770-2025")</f>
        <v/>
      </c>
      <c r="X96">
        <f>HYPERLINK("https://klasma.github.io/Logging_0680/kartor/A 18770-2025 karta.png", "A 18770-2025")</f>
        <v/>
      </c>
      <c r="Y96">
        <f>HYPERLINK("https://klasma.github.io/Logging_0680/kartor_geotiff/A 18770-2025 georefererad karta.tif", "A 18770-2025")</f>
        <v/>
      </c>
      <c r="AA96">
        <f>HYPERLINK("https://klasma.github.io/Logging_0680/klagomål/A 18770-2025 FSC-klagomål.docx", "A 18770-2025")</f>
        <v/>
      </c>
      <c r="AB96">
        <f>HYPERLINK("https://klasma.github.io/Logging_0680/klagomålsmail/A 18770-2025 FSC-klagomål mail.docx", "A 18770-2025")</f>
        <v/>
      </c>
      <c r="AC96">
        <f>HYPERLINK("https://klasma.github.io/Logging_0680/tillsyn/A 18770-2025 tillsynsbegäran.docx", "A 18770-2025")</f>
        <v/>
      </c>
      <c r="AD96">
        <f>HYPERLINK("https://klasma.github.io/Logging_0680/tillsynsmail/A 18770-2025 tillsynsbegäran mail.docx", "A 18770-2025")</f>
        <v/>
      </c>
    </row>
    <row r="97" ht="15" customHeight="1">
      <c r="A97" t="inlineStr">
        <is>
          <t>A 34597-2025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45846</v>
      </c>
      <c r="E97" s="1" t="n">
        <v>46226</v>
      </c>
      <c r="F97" t="inlineStr">
        <is>
          <t>JÖNKÖPINGS LÄN</t>
        </is>
      </c>
      <c r="G97" t="inlineStr">
        <is>
          <t>JÖNKÖPING</t>
        </is>
      </c>
      <c r="H97" t="inlineStr">
        <is>
          <t>Kyrkan</t>
        </is>
      </c>
      <c r="I97" t="n">
        <v>7.3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HYPERLINK("https://klasma.github.io/Logging_0680/artfynd/A 34597-2025 artfynd.xlsx", "A 34597-2025")</f>
        <v/>
      </c>
      <c r="X97">
        <f>HYPERLINK("https://klasma.github.io/Logging_0680/kartor/A 34597-2025 karta.png", "A 34597-2025")</f>
        <v/>
      </c>
      <c r="Y97">
        <f>HYPERLINK("https://klasma.github.io/Logging_0680/kartor_geotiff/A 34597-2025 georefererad karta.tif", "A 34597-2025")</f>
        <v/>
      </c>
      <c r="Z97">
        <f>HYPERLINK("https://klasma.github.io/Logging_0680/knärot/A 34597-2025 karta knärot.png", "A 34597-2025")</f>
        <v/>
      </c>
      <c r="AA97">
        <f>HYPERLINK("https://klasma.github.io/Logging_0680/klagomål/A 34597-2025 FSC-klagomål.docx", "A 34597-2025")</f>
        <v/>
      </c>
      <c r="AB97">
        <f>HYPERLINK("https://klasma.github.io/Logging_0680/klagomålsmail/A 34597-2025 FSC-klagomål mail.docx", "A 34597-2025")</f>
        <v/>
      </c>
      <c r="AC97">
        <f>HYPERLINK("https://klasma.github.io/Logging_0680/tillsyn/A 34597-2025 tillsynsbegäran.docx", "A 34597-2025")</f>
        <v/>
      </c>
      <c r="AD97">
        <f>HYPERLINK("https://klasma.github.io/Logging_0680/tillsynsmail/A 34597-2025 tillsynsbegäran mail.docx", "A 34597-2025")</f>
        <v/>
      </c>
    </row>
    <row r="98" ht="15" customHeight="1">
      <c r="A98" t="inlineStr">
        <is>
          <t>A 63550-2025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46226</v>
      </c>
      <c r="F98" t="inlineStr">
        <is>
          <t>JÖNKÖPINGS LÄN</t>
        </is>
      </c>
      <c r="G98" t="inlineStr">
        <is>
          <t>JÖNKÖPING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HYPERLINK("https://klasma.github.io/Logging_0680/artfynd/A 63550-2025 artfynd.xlsx", "A 63550-2025")</f>
        <v/>
      </c>
      <c r="X98">
        <f>HYPERLINK("https://klasma.github.io/Logging_0680/kartor/A 63550-2025 karta.png", "A 63550-2025")</f>
        <v/>
      </c>
      <c r="Y98">
        <f>HYPERLINK("https://klasma.github.io/Logging_0680/kartor_geotiff/A 63550-2025 georefererad karta.tif", "A 63550-2025")</f>
        <v/>
      </c>
      <c r="AA98">
        <f>HYPERLINK("https://klasma.github.io/Logging_0680/klagomål/A 63550-2025 FSC-klagomål.docx", "A 63550-2025")</f>
        <v/>
      </c>
      <c r="AB98">
        <f>HYPERLINK("https://klasma.github.io/Logging_0680/klagomålsmail/A 63550-2025 FSC-klagomål mail.docx", "A 63550-2025")</f>
        <v/>
      </c>
      <c r="AC98">
        <f>HYPERLINK("https://klasma.github.io/Logging_0680/tillsyn/A 63550-2025 tillsynsbegäran.docx", "A 63550-2025")</f>
        <v/>
      </c>
      <c r="AD98">
        <f>HYPERLINK("https://klasma.github.io/Logging_0680/tillsynsmail/A 63550-2025 tillsynsbegäran mail.docx", "A 63550-2025")</f>
        <v/>
      </c>
    </row>
    <row r="99" ht="15" customHeight="1">
      <c r="A99" t="inlineStr">
        <is>
          <t>A 12518-2025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46226</v>
      </c>
      <c r="F99" t="inlineStr">
        <is>
          <t>JÖNKÖPINGS LÄN</t>
        </is>
      </c>
      <c r="G99" t="inlineStr">
        <is>
          <t>JÖNKÖPING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5</v>
      </c>
      <c r="U99" t="n">
        <v>0</v>
      </c>
      <c r="V99" s="2" t="inlineStr">
        <is>
          <t>Ask</t>
        </is>
      </c>
      <c r="W99">
        <f>HYPERLINK("https://klasma.github.io/Logging_0680/artfynd/A 12518-2025 artfynd.xlsx", "A 12518-2025")</f>
        <v/>
      </c>
      <c r="X99">
        <f>HYPERLINK("https://klasma.github.io/Logging_0680/kartor/A 12518-2025 karta.png", "A 12518-2025")</f>
        <v/>
      </c>
      <c r="Y99">
        <f>HYPERLINK("https://klasma.github.io/Logging_0680/kartor_geotiff/A 12518-2025 georefererad karta.tif", "A 12518-2025")</f>
        <v/>
      </c>
      <c r="AA99">
        <f>HYPERLINK("https://klasma.github.io/Logging_0680/klagomål/A 12518-2025 FSC-klagomål.docx", "A 12518-2025")</f>
        <v/>
      </c>
      <c r="AB99">
        <f>HYPERLINK("https://klasma.github.io/Logging_0680/klagomålsmail/A 12518-2025 FSC-klagomål mail.docx", "A 12518-2025")</f>
        <v/>
      </c>
      <c r="AC99">
        <f>HYPERLINK("https://klasma.github.io/Logging_0680/tillsyn/A 12518-2025 tillsynsbegäran.docx", "A 12518-2025")</f>
        <v/>
      </c>
      <c r="AD99">
        <f>HYPERLINK("https://klasma.github.io/Logging_0680/tillsynsmail/A 12518-2025 tillsynsbegäran mail.docx", "A 12518-2025")</f>
        <v/>
      </c>
    </row>
    <row r="100" ht="15" customHeight="1">
      <c r="A100" t="inlineStr">
        <is>
          <t>A 2037-2026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46226</v>
      </c>
      <c r="F100" t="inlineStr">
        <is>
          <t>JÖNKÖPINGS LÄN</t>
        </is>
      </c>
      <c r="G100" t="inlineStr">
        <is>
          <t>JÖNKÖPING</t>
        </is>
      </c>
      <c r="I100" t="n">
        <v>11.8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HYPERLINK("https://klasma.github.io/Logging_0680/artfynd/A 2037-2026 artfynd.xlsx", "A 2037-2026")</f>
        <v/>
      </c>
      <c r="X100">
        <f>HYPERLINK("https://klasma.github.io/Logging_0680/kartor/A 2037-2026 karta.png", "A 2037-2026")</f>
        <v/>
      </c>
      <c r="Y100">
        <f>HYPERLINK("https://klasma.github.io/Logging_0680/kartor_geotiff/A 2037-2026 georefererad karta.tif", "A 2037-2026")</f>
        <v/>
      </c>
      <c r="AA100">
        <f>HYPERLINK("https://klasma.github.io/Logging_0680/klagomål/A 2037-2026 FSC-klagomål.docx", "A 2037-2026")</f>
        <v/>
      </c>
      <c r="AB100">
        <f>HYPERLINK("https://klasma.github.io/Logging_0680/klagomålsmail/A 2037-2026 FSC-klagomål mail.docx", "A 2037-2026")</f>
        <v/>
      </c>
      <c r="AC100">
        <f>HYPERLINK("https://klasma.github.io/Logging_0680/tillsyn/A 2037-2026 tillsynsbegäran.docx", "A 2037-2026")</f>
        <v/>
      </c>
      <c r="AD100">
        <f>HYPERLINK("https://klasma.github.io/Logging_0680/tillsynsmail/A 2037-2026 tillsynsbegäran mail.docx", "A 2037-2026")</f>
        <v/>
      </c>
    </row>
    <row r="101" ht="15" customHeight="1">
      <c r="A101" t="inlineStr">
        <is>
          <t>A 4582-2026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46226</v>
      </c>
      <c r="F101" t="inlineStr">
        <is>
          <t>JÖNKÖPINGS LÄN</t>
        </is>
      </c>
      <c r="G101" t="inlineStr">
        <is>
          <t>JÖNKÖPING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Grovticka</t>
        </is>
      </c>
      <c r="W101">
        <f>HYPERLINK("https://klasma.github.io/Logging_0680/artfynd/A 4582-2026 artfynd.xlsx", "A 4582-2026")</f>
        <v/>
      </c>
      <c r="X101">
        <f>HYPERLINK("https://klasma.github.io/Logging_0680/kartor/A 4582-2026 karta.png", "A 4582-2026")</f>
        <v/>
      </c>
      <c r="Y101">
        <f>HYPERLINK("https://klasma.github.io/Logging_0680/kartor_geotiff/A 4582-2026 georefererad karta.tif", "A 4582-2026")</f>
        <v/>
      </c>
      <c r="AA101">
        <f>HYPERLINK("https://klasma.github.io/Logging_0680/klagomål/A 4582-2026 FSC-klagomål.docx", "A 4582-2026")</f>
        <v/>
      </c>
      <c r="AB101">
        <f>HYPERLINK("https://klasma.github.io/Logging_0680/klagomålsmail/A 4582-2026 FSC-klagomål mail.docx", "A 4582-2026")</f>
        <v/>
      </c>
      <c r="AC101">
        <f>HYPERLINK("https://klasma.github.io/Logging_0680/tillsyn/A 4582-2026 tillsynsbegäran.docx", "A 4582-2026")</f>
        <v/>
      </c>
      <c r="AD101">
        <f>HYPERLINK("https://klasma.github.io/Logging_0680/tillsynsmail/A 4582-2026 tillsynsbegäran mail.docx", "A 4582-2026")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46226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43624-2023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45184</v>
      </c>
      <c r="E103" s="1" t="n">
        <v>46226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Gullpudra</t>
        </is>
      </c>
      <c r="W103">
        <f>HYPERLINK("https://klasma.github.io/Logging_0680/artfynd/A 43624-2023 artfynd.xlsx", "A 43624-2023")</f>
        <v/>
      </c>
      <c r="X103">
        <f>HYPERLINK("https://klasma.github.io/Logging_0680/kartor/A 43624-2023 karta.png", "A 43624-2023")</f>
        <v/>
      </c>
      <c r="Y103">
        <f>HYPERLINK("https://klasma.github.io/Logging_0680/kartor_geotiff/A 43624-2023 georefererad karta.tif", "A 43624-2023")</f>
        <v/>
      </c>
      <c r="AA103">
        <f>HYPERLINK("https://klasma.github.io/Logging_0680/klagomål/A 43624-2023 FSC-klagomål.docx", "A 43624-2023")</f>
        <v/>
      </c>
      <c r="AB103">
        <f>HYPERLINK("https://klasma.github.io/Logging_0680/klagomålsmail/A 43624-2023 FSC-klagomål mail.docx", "A 43624-2023")</f>
        <v/>
      </c>
      <c r="AC103">
        <f>HYPERLINK("https://klasma.github.io/Logging_0680/tillsyn/A 43624-2023 tillsynsbegäran.docx", "A 43624-2023")</f>
        <v/>
      </c>
      <c r="AD103">
        <f>HYPERLINK("https://klasma.github.io/Logging_0680/tillsynsmail/A 43624-2023 tillsynsbegäran mail.docx", "A 43624-2023")</f>
        <v/>
      </c>
    </row>
    <row r="104" ht="15" customHeight="1">
      <c r="A104" t="inlineStr">
        <is>
          <t>A 29462-2026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46203</v>
      </c>
      <c r="E104" s="1" t="n">
        <v>46226</v>
      </c>
      <c r="F104" t="inlineStr">
        <is>
          <t>JÖNKÖPINGS LÄN</t>
        </is>
      </c>
      <c r="G104" t="inlineStr">
        <is>
          <t>JÖNKÖPING</t>
        </is>
      </c>
      <c r="I104" t="n">
        <v>1.4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HYPERLINK("https://klasma.github.io/Logging_0680/artfynd/A 29462-2026 artfynd.xlsx", "A 29462-2026")</f>
        <v/>
      </c>
      <c r="X104">
        <f>HYPERLINK("https://klasma.github.io/Logging_0680/kartor/A 29462-2026 karta.png", "A 29462-2026")</f>
        <v/>
      </c>
      <c r="Y104">
        <f>HYPERLINK("https://klasma.github.io/Logging_0680/kartor_geotiff/A 29462-2026 georefererad karta.tif", "A 29462-2026")</f>
        <v/>
      </c>
      <c r="Z104">
        <f>HYPERLINK("https://klasma.github.io/Logging_0680/knärot/A 29462-2026 karta knärot.png", "A 29462-2026")</f>
        <v/>
      </c>
      <c r="AA104">
        <f>HYPERLINK("https://klasma.github.io/Logging_0680/klagomål/A 29462-2026 FSC-klagomål.docx", "A 29462-2026")</f>
        <v/>
      </c>
      <c r="AB104">
        <f>HYPERLINK("https://klasma.github.io/Logging_0680/klagomålsmail/A 29462-2026 FSC-klagomål mail.docx", "A 29462-2026")</f>
        <v/>
      </c>
      <c r="AC104">
        <f>HYPERLINK("https://klasma.github.io/Logging_0680/tillsyn/A 29462-2026 tillsynsbegäran.docx", "A 29462-2026")</f>
        <v/>
      </c>
      <c r="AD104">
        <f>HYPERLINK("https://klasma.github.io/Logging_0680/tillsynsmail/A 29462-2026 tillsynsbegäran mail.docx", "A 29462-2026")</f>
        <v/>
      </c>
    </row>
    <row r="105" ht="15" customHeight="1">
      <c r="A105" t="inlineStr">
        <is>
          <t>A 23234-2026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46226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Klasefibbla</t>
        </is>
      </c>
      <c r="W105">
        <f>HYPERLINK("https://klasma.github.io/Logging_0680/artfynd/A 23234-2026 artfynd.xlsx", "A 23234-2026")</f>
        <v/>
      </c>
      <c r="X105">
        <f>HYPERLINK("https://klasma.github.io/Logging_0680/kartor/A 23234-2026 karta.png", "A 23234-2026")</f>
        <v/>
      </c>
      <c r="Y105">
        <f>HYPERLINK("https://klasma.github.io/Logging_0680/kartor_geotiff/A 23234-2026 georefererad karta.tif", "A 23234-2026")</f>
        <v/>
      </c>
      <c r="AA105">
        <f>HYPERLINK("https://klasma.github.io/Logging_0680/klagomål/A 23234-2026 FSC-klagomål.docx", "A 23234-2026")</f>
        <v/>
      </c>
      <c r="AB105">
        <f>HYPERLINK("https://klasma.github.io/Logging_0680/klagomålsmail/A 23234-2026 FSC-klagomål mail.docx", "A 23234-2026")</f>
        <v/>
      </c>
      <c r="AC105">
        <f>HYPERLINK("https://klasma.github.io/Logging_0680/tillsyn/A 23234-2026 tillsynsbegäran.docx", "A 23234-2026")</f>
        <v/>
      </c>
      <c r="AD105">
        <f>HYPERLINK("https://klasma.github.io/Logging_0680/tillsynsmail/A 23234-2026 tillsynsbegäran mail.docx", "A 23234-2026")</f>
        <v/>
      </c>
    </row>
    <row r="106" ht="15" customHeight="1">
      <c r="A106" t="inlineStr">
        <is>
          <t>A 23260-2026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46226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Grönvit nattviol</t>
        </is>
      </c>
      <c r="W106">
        <f>HYPERLINK("https://klasma.github.io/Logging_0680/artfynd/A 23260-2026 artfynd.xlsx", "A 23260-2026")</f>
        <v/>
      </c>
      <c r="X106">
        <f>HYPERLINK("https://klasma.github.io/Logging_0680/kartor/A 23260-2026 karta.png", "A 23260-2026")</f>
        <v/>
      </c>
      <c r="Y106">
        <f>HYPERLINK("https://klasma.github.io/Logging_0680/kartor_geotiff/A 23260-2026 georefererad karta.tif", "A 23260-2026")</f>
        <v/>
      </c>
      <c r="AA106">
        <f>HYPERLINK("https://klasma.github.io/Logging_0680/klagomål/A 23260-2026 FSC-klagomål.docx", "A 23260-2026")</f>
        <v/>
      </c>
      <c r="AB106">
        <f>HYPERLINK("https://klasma.github.io/Logging_0680/klagomålsmail/A 23260-2026 FSC-klagomål mail.docx", "A 23260-2026")</f>
        <v/>
      </c>
      <c r="AC106">
        <f>HYPERLINK("https://klasma.github.io/Logging_0680/tillsyn/A 23260-2026 tillsynsbegäran.docx", "A 23260-2026")</f>
        <v/>
      </c>
      <c r="AD106">
        <f>HYPERLINK("https://klasma.github.io/Logging_0680/tillsynsmail/A 23260-2026 tillsynsbegäran mail.docx", "A 23260-2026")</f>
        <v/>
      </c>
    </row>
    <row r="107" ht="15" customHeight="1">
      <c r="A107" t="inlineStr">
        <is>
          <t>A 30718-2026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46211</v>
      </c>
      <c r="E107" s="1" t="n">
        <v>46226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11.4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Spindelblomster</t>
        </is>
      </c>
      <c r="W107">
        <f>HYPERLINK("https://klasma.github.io/Logging_0680/artfynd/A 30718-2026 artfynd.xlsx", "A 30718-2026")</f>
        <v/>
      </c>
      <c r="X107">
        <f>HYPERLINK("https://klasma.github.io/Logging_0680/kartor/A 30718-2026 karta.png", "A 30718-2026")</f>
        <v/>
      </c>
      <c r="Y107">
        <f>HYPERLINK("https://klasma.github.io/Logging_0680/kartor_geotiff/A 30718-2026 georefererad karta.tif", "A 30718-2026")</f>
        <v/>
      </c>
      <c r="AA107">
        <f>HYPERLINK("https://klasma.github.io/Logging_0680/klagomål/A 30718-2026 FSC-klagomål.docx", "A 30718-2026")</f>
        <v/>
      </c>
      <c r="AB107">
        <f>HYPERLINK("https://klasma.github.io/Logging_0680/klagomålsmail/A 30718-2026 FSC-klagomål mail.docx", "A 30718-2026")</f>
        <v/>
      </c>
      <c r="AC107">
        <f>HYPERLINK("https://klasma.github.io/Logging_0680/tillsyn/A 30718-2026 tillsynsbegäran.docx", "A 30718-2026")</f>
        <v/>
      </c>
      <c r="AD107">
        <f>HYPERLINK("https://klasma.github.io/Logging_0680/tillsynsmail/A 30718-2026 tillsynsbegäran mail.docx", "A 30718-2026")</f>
        <v/>
      </c>
    </row>
    <row r="108" ht="15" customHeight="1">
      <c r="A108" t="inlineStr">
        <is>
          <t>A 30868-2026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46212</v>
      </c>
      <c r="E108" s="1" t="n">
        <v>46226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2.5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30868-2026 artfynd.xlsx", "A 30868-2026")</f>
        <v/>
      </c>
      <c r="X108">
        <f>HYPERLINK("https://klasma.github.io/Logging_0680/kartor/A 30868-2026 karta.png", "A 30868-2026")</f>
        <v/>
      </c>
      <c r="Y108">
        <f>HYPERLINK("https://klasma.github.io/Logging_0680/kartor_geotiff/A 30868-2026 georefererad karta.tif", "A 30868-2026")</f>
        <v/>
      </c>
      <c r="AA108">
        <f>HYPERLINK("https://klasma.github.io/Logging_0680/klagomål/A 30868-2026 FSC-klagomål.docx", "A 30868-2026")</f>
        <v/>
      </c>
      <c r="AB108">
        <f>HYPERLINK("https://klasma.github.io/Logging_0680/klagomålsmail/A 30868-2026 FSC-klagomål mail.docx", "A 30868-2026")</f>
        <v/>
      </c>
      <c r="AC108">
        <f>HYPERLINK("https://klasma.github.io/Logging_0680/tillsyn/A 30868-2026 tillsynsbegäran.docx", "A 30868-2026")</f>
        <v/>
      </c>
      <c r="AD108">
        <f>HYPERLINK("https://klasma.github.io/Logging_0680/tillsynsmail/A 30868-2026 tillsynsbegäran mail.docx", "A 30868-2026")</f>
        <v/>
      </c>
    </row>
    <row r="109" ht="15" customHeight="1">
      <c r="A109" t="inlineStr">
        <is>
          <t>A 5898-2023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46226</v>
      </c>
      <c r="F109" t="inlineStr">
        <is>
          <t>JÖNKÖPINGS LÄN</t>
        </is>
      </c>
      <c r="G109" t="inlineStr">
        <is>
          <t>JÖNKÖPING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HYPERLINK("https://klasma.github.io/Logging_0680/artfynd/A 5898-2023 artfynd.xlsx", "A 5898-2023")</f>
        <v/>
      </c>
      <c r="X109">
        <f>HYPERLINK("https://klasma.github.io/Logging_0680/kartor/A 5898-2023 karta.png", "A 5898-2023")</f>
        <v/>
      </c>
      <c r="Y109">
        <f>HYPERLINK("https://klasma.github.io/Logging_0680/kartor_geotiff/A 5898-2023 georefererad karta.tif", "A 5898-2023")</f>
        <v/>
      </c>
      <c r="AA109">
        <f>HYPERLINK("https://klasma.github.io/Logging_0680/klagomål/A 5898-2023 FSC-klagomål.docx", "A 5898-2023")</f>
        <v/>
      </c>
      <c r="AB109">
        <f>HYPERLINK("https://klasma.github.io/Logging_0680/klagomålsmail/A 5898-2023 FSC-klagomål mail.docx", "A 5898-2023")</f>
        <v/>
      </c>
      <c r="AC109">
        <f>HYPERLINK("https://klasma.github.io/Logging_0680/tillsyn/A 5898-2023 tillsynsbegäran.docx", "A 5898-2023")</f>
        <v/>
      </c>
      <c r="AD109">
        <f>HYPERLINK("https://klasma.github.io/Logging_0680/tillsynsmail/A 5898-2023 tillsynsbegäran mail.docx", "A 5898-2023")</f>
        <v/>
      </c>
    </row>
    <row r="110" ht="15" customHeight="1">
      <c r="A110" t="inlineStr">
        <is>
          <t>A 16455-2025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45751</v>
      </c>
      <c r="E110" s="1" t="n">
        <v>46226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HYPERLINK("https://klasma.github.io/Logging_0680/artfynd/A 16455-2025 artfynd.xlsx", "A 16455-2025")</f>
        <v/>
      </c>
      <c r="X110">
        <f>HYPERLINK("https://klasma.github.io/Logging_0680/kartor/A 16455-2025 karta.png", "A 16455-2025")</f>
        <v/>
      </c>
      <c r="Y110">
        <f>HYPERLINK("https://klasma.github.io/Logging_0680/kartor_geotiff/A 16455-2025 georefererad karta.tif", "A 16455-2025")</f>
        <v/>
      </c>
      <c r="AA110">
        <f>HYPERLINK("https://klasma.github.io/Logging_0680/klagomål/A 16455-2025 FSC-klagomål.docx", "A 16455-2025")</f>
        <v/>
      </c>
      <c r="AB110">
        <f>HYPERLINK("https://klasma.github.io/Logging_0680/klagomålsmail/A 16455-2025 FSC-klagomål mail.docx", "A 16455-2025")</f>
        <v/>
      </c>
      <c r="AC110">
        <f>HYPERLINK("https://klasma.github.io/Logging_0680/tillsyn/A 16455-2025 tillsynsbegäran.docx", "A 16455-2025")</f>
        <v/>
      </c>
      <c r="AD110">
        <f>HYPERLINK("https://klasma.github.io/Logging_0680/tillsynsmail/A 16455-2025 tillsynsbegäran mail.docx", "A 16455-2025")</f>
        <v/>
      </c>
    </row>
    <row r="111" ht="15" customHeight="1">
      <c r="A111" t="inlineStr">
        <is>
          <t>A 11260-2023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46226</v>
      </c>
      <c r="F111" t="inlineStr">
        <is>
          <t>JÖNKÖPINGS LÄN</t>
        </is>
      </c>
      <c r="G111" t="inlineStr">
        <is>
          <t>JÖNKÖPING</t>
        </is>
      </c>
      <c r="I111" t="n">
        <v>2.4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11260-2023 artfynd.xlsx", "A 11260-2023")</f>
        <v/>
      </c>
      <c r="X111">
        <f>HYPERLINK("https://klasma.github.io/Logging_0680/kartor/A 11260-2023 karta.png", "A 11260-2023")</f>
        <v/>
      </c>
      <c r="Y111">
        <f>HYPERLINK("https://klasma.github.io/Logging_0680/kartor_geotiff/A 11260-2023 georefererad karta.tif", "A 11260-2023")</f>
        <v/>
      </c>
      <c r="Z111">
        <f>HYPERLINK("https://klasma.github.io/Logging_0680/knärot/A 11260-2023 karta knärot.png", "A 11260-2023")</f>
        <v/>
      </c>
      <c r="AA111">
        <f>HYPERLINK("https://klasma.github.io/Logging_0680/klagomål/A 11260-2023 FSC-klagomål.docx", "A 11260-2023")</f>
        <v/>
      </c>
      <c r="AB111">
        <f>HYPERLINK("https://klasma.github.io/Logging_0680/klagomålsmail/A 11260-2023 FSC-klagomål mail.docx", "A 11260-2023")</f>
        <v/>
      </c>
      <c r="AC111">
        <f>HYPERLINK("https://klasma.github.io/Logging_0680/tillsyn/A 11260-2023 tillsynsbegäran.docx", "A 11260-2023")</f>
        <v/>
      </c>
      <c r="AD111">
        <f>HYPERLINK("https://klasma.github.io/Logging_0680/tillsynsmail/A 11260-2023 tillsynsbegäran mail.docx", "A 11260-2023")</f>
        <v/>
      </c>
    </row>
    <row r="112" ht="15" customHeight="1">
      <c r="A112" t="inlineStr">
        <is>
          <t>A 43538-2021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44433</v>
      </c>
      <c r="E112" s="1" t="n">
        <v>46226</v>
      </c>
      <c r="F112" t="inlineStr">
        <is>
          <t>JÖNKÖPINGS LÄN</t>
        </is>
      </c>
      <c r="G112" t="inlineStr">
        <is>
          <t>JÖNKÖPING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Svinrot</t>
        </is>
      </c>
      <c r="W112">
        <f>HYPERLINK("https://klasma.github.io/Logging_0680/artfynd/A 43538-2021 artfynd.xlsx", "A 43538-2021")</f>
        <v/>
      </c>
      <c r="X112">
        <f>HYPERLINK("https://klasma.github.io/Logging_0680/kartor/A 43538-2021 karta.png", "A 43538-2021")</f>
        <v/>
      </c>
      <c r="Y112">
        <f>HYPERLINK("https://klasma.github.io/Logging_0680/kartor_geotiff/A 43538-2021 georefererad karta.tif", "A 43538-2021")</f>
        <v/>
      </c>
      <c r="AA112">
        <f>HYPERLINK("https://klasma.github.io/Logging_0680/klagomål/A 43538-2021 FSC-klagomål.docx", "A 43538-2021")</f>
        <v/>
      </c>
      <c r="AB112">
        <f>HYPERLINK("https://klasma.github.io/Logging_0680/klagomålsmail/A 43538-2021 FSC-klagomål mail.docx", "A 43538-2021")</f>
        <v/>
      </c>
      <c r="AC112">
        <f>HYPERLINK("https://klasma.github.io/Logging_0680/tillsyn/A 43538-2021 tillsynsbegäran.docx", "A 43538-2021")</f>
        <v/>
      </c>
      <c r="AD112">
        <f>HYPERLINK("https://klasma.github.io/Logging_0680/tillsynsmail/A 43538-2021 tillsynsbegäran mail.docx", "A 43538-2021")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46226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53601-2022 artfynd.xlsx", "A 53601-2022")</f>
        <v/>
      </c>
      <c r="X113">
        <f>HYPERLINK("https://klasma.github.io/Logging_0680/kartor/A 53601-2022 karta.png", "A 53601-2022")</f>
        <v/>
      </c>
      <c r="Y113">
        <f>HYPERLINK("https://klasma.github.io/Logging_0680/kartor_geotiff/A 53601-2022 georefererad karta.tif", "A 53601-2022")</f>
        <v/>
      </c>
      <c r="Z113">
        <f>HYPERLINK("https://klasma.github.io/Logging_0680/knärot/A 53601-2022 karta knärot.png", "A 53601-2022")</f>
        <v/>
      </c>
      <c r="AA113">
        <f>HYPERLINK("https://klasma.github.io/Logging_0680/klagomål/A 53601-2022 FSC-klagomål.docx", "A 53601-2022")</f>
        <v/>
      </c>
      <c r="AB113">
        <f>HYPERLINK("https://klasma.github.io/Logging_0680/klagomålsmail/A 53601-2022 FSC-klagomål mail.docx", "A 53601-2022")</f>
        <v/>
      </c>
      <c r="AC113">
        <f>HYPERLINK("https://klasma.github.io/Logging_0680/tillsyn/A 53601-2022 tillsynsbegäran.docx", "A 53601-2022")</f>
        <v/>
      </c>
      <c r="AD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7092-2024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46226</v>
      </c>
      <c r="F114" t="inlineStr">
        <is>
          <t>JÖNKÖPINGS LÄN</t>
        </is>
      </c>
      <c r="G114" t="inlineStr">
        <is>
          <t>JÖNKÖPING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HYPERLINK("https://klasma.github.io/Logging_0680/artfynd/A 7092-2024 artfynd.xlsx", "A 7092-2024")</f>
        <v/>
      </c>
      <c r="X114">
        <f>HYPERLINK("https://klasma.github.io/Logging_0680/kartor/A 7092-2024 karta.png", "A 7092-2024")</f>
        <v/>
      </c>
      <c r="Y114">
        <f>HYPERLINK("https://klasma.github.io/Logging_0680/kartor_geotiff/A 7092-2024 georefererad karta.tif", "A 7092-2024")</f>
        <v/>
      </c>
      <c r="AA114">
        <f>HYPERLINK("https://klasma.github.io/Logging_0680/klagomål/A 7092-2024 FSC-klagomål.docx", "A 7092-2024")</f>
        <v/>
      </c>
      <c r="AB114">
        <f>HYPERLINK("https://klasma.github.io/Logging_0680/klagomålsmail/A 7092-2024 FSC-klagomål mail.docx", "A 7092-2024")</f>
        <v/>
      </c>
      <c r="AC114">
        <f>HYPERLINK("https://klasma.github.io/Logging_0680/tillsyn/A 7092-2024 tillsynsbegäran.docx", "A 7092-2024")</f>
        <v/>
      </c>
      <c r="AD114">
        <f>HYPERLINK("https://klasma.github.io/Logging_0680/tillsynsmail/A 7092-2024 tillsynsbegäran mail.docx", "A 7092-2024")</f>
        <v/>
      </c>
    </row>
    <row r="115" ht="15" customHeight="1">
      <c r="A115" t="inlineStr">
        <is>
          <t>A 58346-2022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46226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Övriga statliga verk och myndigheter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Gyllensopp</t>
        </is>
      </c>
      <c r="W115">
        <f>HYPERLINK("https://klasma.github.io/Logging_0680/artfynd/A 58346-2022 artfynd.xlsx", "A 58346-2022")</f>
        <v/>
      </c>
      <c r="X115">
        <f>HYPERLINK("https://klasma.github.io/Logging_0680/kartor/A 58346-2022 karta.png", "A 58346-2022")</f>
        <v/>
      </c>
      <c r="Y115">
        <f>HYPERLINK("https://klasma.github.io/Logging_0680/kartor_geotiff/A 58346-2022 georefererad karta.tif", "A 58346-2022")</f>
        <v/>
      </c>
      <c r="AA115">
        <f>HYPERLINK("https://klasma.github.io/Logging_0680/klagomål/A 58346-2022 FSC-klagomål.docx", "A 58346-2022")</f>
        <v/>
      </c>
      <c r="AB115">
        <f>HYPERLINK("https://klasma.github.io/Logging_0680/klagomålsmail/A 58346-2022 FSC-klagomål mail.docx", "A 58346-2022")</f>
        <v/>
      </c>
      <c r="AC115">
        <f>HYPERLINK("https://klasma.github.io/Logging_0680/tillsyn/A 58346-2022 tillsynsbegäran.docx", "A 58346-2022")</f>
        <v/>
      </c>
      <c r="AD115">
        <f>HYPERLINK("https://klasma.github.io/Logging_0680/tillsynsmail/A 58346-2022 tillsynsbegäran mail.docx", "A 58346-2022")</f>
        <v/>
      </c>
    </row>
    <row r="116" ht="15" customHeight="1">
      <c r="A116" t="inlineStr">
        <is>
          <t>A 40795-2024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46226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Kattfotslav</t>
        </is>
      </c>
      <c r="W116">
        <f>HYPERLINK("https://klasma.github.io/Logging_0680/artfynd/A 40795-2024 artfynd.xlsx", "A 40795-2024")</f>
        <v/>
      </c>
      <c r="X116">
        <f>HYPERLINK("https://klasma.github.io/Logging_0680/kartor/A 40795-2024 karta.png", "A 40795-2024")</f>
        <v/>
      </c>
      <c r="Y116">
        <f>HYPERLINK("https://klasma.github.io/Logging_0680/kartor_geotiff/A 40795-2024 georefererad karta.tif", "A 40795-2024")</f>
        <v/>
      </c>
      <c r="AA116">
        <f>HYPERLINK("https://klasma.github.io/Logging_0680/klagomål/A 40795-2024 FSC-klagomål.docx", "A 40795-2024")</f>
        <v/>
      </c>
      <c r="AB116">
        <f>HYPERLINK("https://klasma.github.io/Logging_0680/klagomålsmail/A 40795-2024 FSC-klagomål mail.docx", "A 40795-2024")</f>
        <v/>
      </c>
      <c r="AC116">
        <f>HYPERLINK("https://klasma.github.io/Logging_0680/tillsyn/A 40795-2024 tillsynsbegäran.docx", "A 40795-2024")</f>
        <v/>
      </c>
      <c r="AD116">
        <f>HYPERLINK("https://klasma.github.io/Logging_0680/tillsynsmail/A 40795-2024 tillsynsbegäran mail.docx", "A 40795-2024")</f>
        <v/>
      </c>
    </row>
    <row r="117" ht="15" customHeight="1">
      <c r="A117" t="inlineStr">
        <is>
          <t>A 50190-2024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45600</v>
      </c>
      <c r="E117" s="1" t="n">
        <v>46226</v>
      </c>
      <c r="F117" t="inlineStr">
        <is>
          <t>JÖNKÖPINGS LÄN</t>
        </is>
      </c>
      <c r="G117" t="inlineStr">
        <is>
          <t>JÖNKÖPING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Skogsalm</t>
        </is>
      </c>
      <c r="W117">
        <f>HYPERLINK("https://klasma.github.io/Logging_0680/artfynd/A 50190-2024 artfynd.xlsx", "A 50190-2024")</f>
        <v/>
      </c>
      <c r="X117">
        <f>HYPERLINK("https://klasma.github.io/Logging_0680/kartor/A 50190-2024 karta.png", "A 50190-2024")</f>
        <v/>
      </c>
      <c r="Y117">
        <f>HYPERLINK("https://klasma.github.io/Logging_0680/kartor_geotiff/A 50190-2024 georefererad karta.tif", "A 50190-2024")</f>
        <v/>
      </c>
      <c r="AA117">
        <f>HYPERLINK("https://klasma.github.io/Logging_0680/klagomål/A 50190-2024 FSC-klagomål.docx", "A 50190-2024")</f>
        <v/>
      </c>
      <c r="AB117">
        <f>HYPERLINK("https://klasma.github.io/Logging_0680/klagomålsmail/A 50190-2024 FSC-klagomål mail.docx", "A 50190-2024")</f>
        <v/>
      </c>
      <c r="AC117">
        <f>HYPERLINK("https://klasma.github.io/Logging_0680/tillsyn/A 50190-2024 tillsynsbegäran.docx", "A 50190-2024")</f>
        <v/>
      </c>
      <c r="AD117">
        <f>HYPERLINK("https://klasma.github.io/Logging_0680/tillsynsmail/A 50190-2024 tillsynsbegäran mail.docx", "A 50190-2024")</f>
        <v/>
      </c>
    </row>
    <row r="118" ht="15" customHeight="1">
      <c r="A118" t="inlineStr">
        <is>
          <t>A 54424-2024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46226</v>
      </c>
      <c r="F118" t="inlineStr">
        <is>
          <t>JÖNKÖPINGS LÄN</t>
        </is>
      </c>
      <c r="G118" t="inlineStr">
        <is>
          <t>JÖNKÖPING</t>
        </is>
      </c>
      <c r="I118" t="n">
        <v>6.2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54424-2024 artfynd.xlsx", "A 54424-2024")</f>
        <v/>
      </c>
      <c r="X118">
        <f>HYPERLINK("https://klasma.github.io/Logging_0680/kartor/A 54424-2024 karta.png", "A 54424-2024")</f>
        <v/>
      </c>
      <c r="Y118">
        <f>HYPERLINK("https://klasma.github.io/Logging_0680/kartor_geotiff/A 54424-2024 georefererad karta.tif", "A 54424-2024")</f>
        <v/>
      </c>
      <c r="AA118">
        <f>HYPERLINK("https://klasma.github.io/Logging_0680/klagomål/A 54424-2024 FSC-klagomål.docx", "A 54424-2024")</f>
        <v/>
      </c>
      <c r="AB118">
        <f>HYPERLINK("https://klasma.github.io/Logging_0680/klagomålsmail/A 54424-2024 FSC-klagomål mail.docx", "A 54424-2024")</f>
        <v/>
      </c>
      <c r="AC118">
        <f>HYPERLINK("https://klasma.github.io/Logging_0680/tillsyn/A 54424-2024 tillsynsbegäran.docx", "A 54424-2024")</f>
        <v/>
      </c>
      <c r="AD118">
        <f>HYPERLINK("https://klasma.github.io/Logging_0680/tillsynsmail/A 54424-2024 tillsynsbegäran mail.docx", "A 54424-2024")</f>
        <v/>
      </c>
    </row>
    <row r="119" ht="15" customHeight="1">
      <c r="A119" t="inlineStr">
        <is>
          <t>A 47040-2023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46226</v>
      </c>
      <c r="F119" t="inlineStr">
        <is>
          <t>JÖNKÖPINGS LÄN</t>
        </is>
      </c>
      <c r="G119" t="inlineStr">
        <is>
          <t>JÖNKÖPING</t>
        </is>
      </c>
      <c r="I119" t="n">
        <v>2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HYPERLINK("https://klasma.github.io/Logging_0680/artfynd/A 47040-2023 artfynd.xlsx", "A 47040-2023")</f>
        <v/>
      </c>
      <c r="X119">
        <f>HYPERLINK("https://klasma.github.io/Logging_0680/kartor/A 47040-2023 karta.png", "A 47040-2023")</f>
        <v/>
      </c>
      <c r="Y119">
        <f>HYPERLINK("https://klasma.github.io/Logging_0680/kartor_geotiff/A 47040-2023 georefererad karta.tif", "A 47040-2023")</f>
        <v/>
      </c>
      <c r="AA119">
        <f>HYPERLINK("https://klasma.github.io/Logging_0680/klagomål/A 47040-2023 FSC-klagomål.docx", "A 47040-2023")</f>
        <v/>
      </c>
      <c r="AB119">
        <f>HYPERLINK("https://klasma.github.io/Logging_0680/klagomålsmail/A 47040-2023 FSC-klagomål mail.docx", "A 47040-2023")</f>
        <v/>
      </c>
      <c r="AC119">
        <f>HYPERLINK("https://klasma.github.io/Logging_0680/tillsyn/A 47040-2023 tillsynsbegäran.docx", "A 47040-2023")</f>
        <v/>
      </c>
      <c r="AD119">
        <f>HYPERLINK("https://klasma.github.io/Logging_0680/tillsynsmail/A 47040-2023 tillsynsbegäran mail.docx", "A 47040-2023")</f>
        <v/>
      </c>
    </row>
    <row r="120" ht="15" customHeight="1">
      <c r="A120" t="inlineStr">
        <is>
          <t>A 71504-2021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44540</v>
      </c>
      <c r="E120" s="1" t="n">
        <v>46226</v>
      </c>
      <c r="F120" t="inlineStr">
        <is>
          <t>JÖNKÖPINGS LÄN</t>
        </is>
      </c>
      <c r="G120" t="inlineStr">
        <is>
          <t>JÖNKÖPING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Igelkott</t>
        </is>
      </c>
      <c r="W120">
        <f>HYPERLINK("https://klasma.github.io/Logging_0680/artfynd/A 71504-2021 artfynd.xlsx", "A 71504-2021")</f>
        <v/>
      </c>
      <c r="X120">
        <f>HYPERLINK("https://klasma.github.io/Logging_0680/kartor/A 71504-2021 karta.png", "A 71504-2021")</f>
        <v/>
      </c>
      <c r="Y120">
        <f>HYPERLINK("https://klasma.github.io/Logging_0680/kartor_geotiff/A 71504-2021 georefererad karta.tif", "A 71504-2021")</f>
        <v/>
      </c>
      <c r="AA120">
        <f>HYPERLINK("https://klasma.github.io/Logging_0680/klagomål/A 71504-2021 FSC-klagomål.docx", "A 71504-2021")</f>
        <v/>
      </c>
      <c r="AB120">
        <f>HYPERLINK("https://klasma.github.io/Logging_0680/klagomålsmail/A 71504-2021 FSC-klagomål mail.docx", "A 71504-2021")</f>
        <v/>
      </c>
      <c r="AC120">
        <f>HYPERLINK("https://klasma.github.io/Logging_0680/tillsyn/A 71504-2021 tillsynsbegäran.docx", "A 71504-2021")</f>
        <v/>
      </c>
      <c r="AD120">
        <f>HYPERLINK("https://klasma.github.io/Logging_0680/tillsynsmail/A 71504-2021 tillsynsbegäran mail.docx", "A 71504-2021")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46226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Gaffelglim</t>
        </is>
      </c>
      <c r="W121">
        <f>HYPERLINK("https://klasma.github.io/Logging_0680/artfynd/A 14221-2025 artfynd.xlsx", "A 14221-2025")</f>
        <v/>
      </c>
      <c r="X121">
        <f>HYPERLINK("https://klasma.github.io/Logging_0680/kartor/A 14221-2025 karta.png", "A 14221-2025")</f>
        <v/>
      </c>
      <c r="Y121">
        <f>HYPERLINK("https://klasma.github.io/Logging_0680/kartor_geotiff/A 14221-2025 georefererad karta.tif", "A 14221-2025")</f>
        <v/>
      </c>
      <c r="AA121">
        <f>HYPERLINK("https://klasma.github.io/Logging_0680/klagomål/A 14221-2025 FSC-klagomål.docx", "A 14221-2025")</f>
        <v/>
      </c>
      <c r="AB121">
        <f>HYPERLINK("https://klasma.github.io/Logging_0680/klagomålsmail/A 14221-2025 FSC-klagomål mail.docx", "A 14221-2025")</f>
        <v/>
      </c>
      <c r="AC121">
        <f>HYPERLINK("https://klasma.github.io/Logging_0680/tillsyn/A 14221-2025 tillsynsbegäran.docx", "A 14221-2025")</f>
        <v/>
      </c>
      <c r="AD121">
        <f>HYPERLINK("https://klasma.github.io/Logging_0680/tillsynsmail/A 14221-2025 tillsynsbegäran mail.docx", "A 14221-2025")</f>
        <v/>
      </c>
    </row>
    <row r="122" ht="15" customHeight="1">
      <c r="A122" t="inlineStr">
        <is>
          <t>A 47492-2024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45587</v>
      </c>
      <c r="E122" s="1" t="n">
        <v>46226</v>
      </c>
      <c r="F122" t="inlineStr">
        <is>
          <t>JÖNKÖPINGS LÄN</t>
        </is>
      </c>
      <c r="G122" t="inlineStr">
        <is>
          <t>JÖNKÖPING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Ask</t>
        </is>
      </c>
      <c r="W122">
        <f>HYPERLINK("https://klasma.github.io/Logging_0680/artfynd/A 47492-2024 artfynd.xlsx", "A 47492-2024")</f>
        <v/>
      </c>
      <c r="X122">
        <f>HYPERLINK("https://klasma.github.io/Logging_0680/kartor/A 47492-2024 karta.png", "A 47492-2024")</f>
        <v/>
      </c>
      <c r="Y122">
        <f>HYPERLINK("https://klasma.github.io/Logging_0680/kartor_geotiff/A 47492-2024 georefererad karta.tif", "A 47492-2024")</f>
        <v/>
      </c>
      <c r="AA122">
        <f>HYPERLINK("https://klasma.github.io/Logging_0680/klagomål/A 47492-2024 FSC-klagomål.docx", "A 47492-2024")</f>
        <v/>
      </c>
      <c r="AB122">
        <f>HYPERLINK("https://klasma.github.io/Logging_0680/klagomålsmail/A 47492-2024 FSC-klagomål mail.docx", "A 47492-2024")</f>
        <v/>
      </c>
      <c r="AC122">
        <f>HYPERLINK("https://klasma.github.io/Logging_0680/tillsyn/A 47492-2024 tillsynsbegäran.docx", "A 47492-2024")</f>
        <v/>
      </c>
      <c r="AD122">
        <f>HYPERLINK("https://klasma.github.io/Logging_0680/tillsynsmail/A 47492-2024 tillsynsbegäran mail.docx", "A 47492-2024")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46226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46226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46226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46226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46226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46226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46226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46226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46226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46226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46226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44404</v>
      </c>
      <c r="E134" s="1" t="n">
        <v>46226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46226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46226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46226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46226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46226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46226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44411</v>
      </c>
      <c r="E141" s="1" t="n">
        <v>46226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46226</v>
      </c>
      <c r="F142" t="inlineStr">
        <is>
          <t>JÖNKÖPINGS LÄN</t>
        </is>
      </c>
      <c r="G142" t="inlineStr">
        <is>
          <t>JÖNKÖPING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46226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46226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46226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46226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44404</v>
      </c>
      <c r="E147" s="1" t="n">
        <v>46226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46226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44665</v>
      </c>
      <c r="E149" s="1" t="n">
        <v>46226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46226</v>
      </c>
      <c r="F150" t="inlineStr">
        <is>
          <t>JÖNKÖPINGS LÄN</t>
        </is>
      </c>
      <c r="G150" t="inlineStr">
        <is>
          <t>JÖNKÖPING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46226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57933-2021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44487</v>
      </c>
      <c r="E152" s="1" t="n">
        <v>46226</v>
      </c>
      <c r="F152" t="inlineStr">
        <is>
          <t>JÖNKÖPINGS LÄN</t>
        </is>
      </c>
      <c r="G152" t="inlineStr">
        <is>
          <t>JÖNKÖPING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46226</v>
      </c>
      <c r="F153" t="inlineStr">
        <is>
          <t>JÖNKÖPINGS LÄN</t>
        </is>
      </c>
      <c r="G153" t="inlineStr">
        <is>
          <t>JÖNKÖPING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46226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46226</v>
      </c>
      <c r="F155" t="inlineStr">
        <is>
          <t>JÖNKÖPINGS LÄN</t>
        </is>
      </c>
      <c r="G155" t="inlineStr">
        <is>
          <t>JÖNKÖPING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46226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44673</v>
      </c>
      <c r="E157" s="1" t="n">
        <v>46226</v>
      </c>
      <c r="F157" t="inlineStr">
        <is>
          <t>JÖNKÖPINGS LÄN</t>
        </is>
      </c>
      <c r="G157" t="inlineStr">
        <is>
          <t>JÖNKÖPING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46226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46226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46226</v>
      </c>
      <c r="F160" t="inlineStr">
        <is>
          <t>JÖNKÖPINGS LÄN</t>
        </is>
      </c>
      <c r="G160" t="inlineStr">
        <is>
          <t>JÖNKÖPING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46226</v>
      </c>
      <c r="F161" t="inlineStr">
        <is>
          <t>JÖNKÖPINGS LÄN</t>
        </is>
      </c>
      <c r="G161" t="inlineStr">
        <is>
          <t>JÖNKÖPING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46226</v>
      </c>
      <c r="F162" t="inlineStr">
        <is>
          <t>JÖNKÖPINGS LÄN</t>
        </is>
      </c>
      <c r="G162" t="inlineStr">
        <is>
          <t>JÖNKÖPING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44440</v>
      </c>
      <c r="E163" s="1" t="n">
        <v>46226</v>
      </c>
      <c r="F163" t="inlineStr">
        <is>
          <t>JÖNKÖPINGS LÄN</t>
        </is>
      </c>
      <c r="G163" t="inlineStr">
        <is>
          <t>JÖNKÖPING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46226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46226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44456</v>
      </c>
      <c r="E166" s="1" t="n">
        <v>46226</v>
      </c>
      <c r="F166" t="inlineStr">
        <is>
          <t>JÖNKÖPINGS LÄN</t>
        </is>
      </c>
      <c r="G166" t="inlineStr">
        <is>
          <t>JÖNKÖPING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46226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46226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46226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46226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46226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46226</v>
      </c>
      <c r="F172" t="inlineStr">
        <is>
          <t>JÖNKÖPINGS LÄN</t>
        </is>
      </c>
      <c r="G172" t="inlineStr">
        <is>
          <t>JÖNKÖPING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46226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46226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46226</v>
      </c>
      <c r="F175" t="inlineStr">
        <is>
          <t>JÖNKÖPINGS LÄN</t>
        </is>
      </c>
      <c r="G175" t="inlineStr">
        <is>
          <t>JÖNKÖPING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74120-2021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44557</v>
      </c>
      <c r="E176" s="1" t="n">
        <v>46226</v>
      </c>
      <c r="F176" t="inlineStr">
        <is>
          <t>JÖNKÖPINGS LÄN</t>
        </is>
      </c>
      <c r="G176" t="inlineStr">
        <is>
          <t>JÖNKÖPING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46226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46226</v>
      </c>
      <c r="F178" t="inlineStr">
        <is>
          <t>JÖNKÖPINGS LÄN</t>
        </is>
      </c>
      <c r="G178" t="inlineStr">
        <is>
          <t>JÖNKÖPING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44575</v>
      </c>
      <c r="E179" s="1" t="n">
        <v>46226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46226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46226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46226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46226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46226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46226</v>
      </c>
      <c r="F185" t="inlineStr">
        <is>
          <t>JÖNKÖPINGS LÄN</t>
        </is>
      </c>
      <c r="G185" t="inlineStr">
        <is>
          <t>JÖNKÖPING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46226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44605</v>
      </c>
      <c r="E187" s="1" t="n">
        <v>46226</v>
      </c>
      <c r="F187" t="inlineStr">
        <is>
          <t>JÖNKÖPINGS LÄN</t>
        </is>
      </c>
      <c r="G187" t="inlineStr">
        <is>
          <t>JÖNKÖPING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46226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46226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46226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46226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46226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46226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46226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46226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46226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46226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46226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46226</v>
      </c>
      <c r="F199" t="inlineStr">
        <is>
          <t>JÖNKÖPINGS LÄN</t>
        </is>
      </c>
      <c r="G199" t="inlineStr">
        <is>
          <t>JÖNKÖPING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46226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46226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46226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46226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46226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46226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44805</v>
      </c>
      <c r="E206" s="1" t="n">
        <v>46226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46226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46226</v>
      </c>
      <c r="F208" t="inlineStr">
        <is>
          <t>JÖNKÖPINGS LÄN</t>
        </is>
      </c>
      <c r="G208" t="inlineStr">
        <is>
          <t>JÖNKÖPING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46226</v>
      </c>
      <c r="F209" t="inlineStr">
        <is>
          <t>JÖNKÖPINGS LÄN</t>
        </is>
      </c>
      <c r="G209" t="inlineStr">
        <is>
          <t>JÖNKÖPING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44711</v>
      </c>
      <c r="E210" s="1" t="n">
        <v>46226</v>
      </c>
      <c r="F210" t="inlineStr">
        <is>
          <t>JÖNKÖPINGS LÄN</t>
        </is>
      </c>
      <c r="G210" t="inlineStr">
        <is>
          <t>JÖNKÖPING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46226</v>
      </c>
      <c r="F211" t="inlineStr">
        <is>
          <t>JÖNKÖPINGS LÄN</t>
        </is>
      </c>
      <c r="G211" t="inlineStr">
        <is>
          <t>JÖNKÖPING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45469</v>
      </c>
      <c r="E212" s="1" t="n">
        <v>46226</v>
      </c>
      <c r="F212" t="inlineStr">
        <is>
          <t>JÖNKÖPINGS LÄN</t>
        </is>
      </c>
      <c r="G212" t="inlineStr">
        <is>
          <t>JÖNKÖPING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45012</v>
      </c>
      <c r="E213" s="1" t="n">
        <v>46226</v>
      </c>
      <c r="F213" t="inlineStr">
        <is>
          <t>JÖNKÖPINGS LÄN</t>
        </is>
      </c>
      <c r="G213" t="inlineStr">
        <is>
          <t>JÖNKÖPING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46226</v>
      </c>
      <c r="F214" t="inlineStr">
        <is>
          <t>JÖNKÖPINGS LÄN</t>
        </is>
      </c>
      <c r="G214" t="inlineStr">
        <is>
          <t>JÖNKÖPING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46226</v>
      </c>
      <c r="F215" t="inlineStr">
        <is>
          <t>JÖNKÖPINGS LÄN</t>
        </is>
      </c>
      <c r="G215" t="inlineStr">
        <is>
          <t>JÖNKÖPING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44853</v>
      </c>
      <c r="E216" s="1" t="n">
        <v>46226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46226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46226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45697</v>
      </c>
      <c r="E219" s="1" t="n">
        <v>46226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46226</v>
      </c>
      <c r="F220" t="inlineStr">
        <is>
          <t>JÖNKÖPINGS LÄN</t>
        </is>
      </c>
      <c r="G220" t="inlineStr">
        <is>
          <t>JÖNKÖPING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46226</v>
      </c>
      <c r="F221" t="inlineStr">
        <is>
          <t>JÖNKÖPINGS LÄN</t>
        </is>
      </c>
      <c r="G221" t="inlineStr">
        <is>
          <t>JÖNKÖPING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46226</v>
      </c>
      <c r="F222" t="inlineStr">
        <is>
          <t>JÖNKÖPINGS LÄN</t>
        </is>
      </c>
      <c r="G222" t="inlineStr">
        <is>
          <t>JÖNKÖPING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46226</v>
      </c>
      <c r="F223" t="inlineStr">
        <is>
          <t>JÖNKÖPINGS LÄN</t>
        </is>
      </c>
      <c r="G223" t="inlineStr">
        <is>
          <t>JÖNKÖPING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46226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45605</v>
      </c>
      <c r="E225" s="1" t="n">
        <v>46226</v>
      </c>
      <c r="F225" t="inlineStr">
        <is>
          <t>JÖNKÖPINGS LÄN</t>
        </is>
      </c>
      <c r="G225" t="inlineStr">
        <is>
          <t>JÖNKÖPING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46226</v>
      </c>
      <c r="F226" t="inlineStr">
        <is>
          <t>JÖNKÖPINGS LÄN</t>
        </is>
      </c>
      <c r="G226" t="inlineStr">
        <is>
          <t>JÖNKÖPING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44628</v>
      </c>
      <c r="E227" s="1" t="n">
        <v>46226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46226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46226</v>
      </c>
      <c r="F229" t="inlineStr">
        <is>
          <t>JÖNKÖPINGS LÄN</t>
        </is>
      </c>
      <c r="G229" t="inlineStr">
        <is>
          <t>JÖNKÖPING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46226</v>
      </c>
      <c r="F230" t="inlineStr">
        <is>
          <t>JÖNKÖPINGS LÄN</t>
        </is>
      </c>
      <c r="G230" t="inlineStr">
        <is>
          <t>JÖNKÖPING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46226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Övriga Aktiebolag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46226</v>
      </c>
      <c r="F232" t="inlineStr">
        <is>
          <t>JÖNKÖPINGS LÄN</t>
        </is>
      </c>
      <c r="G232" t="inlineStr">
        <is>
          <t>JÖNKÖPING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46226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46226</v>
      </c>
      <c r="F234" t="inlineStr">
        <is>
          <t>JÖNKÖPINGS LÄN</t>
        </is>
      </c>
      <c r="G234" t="inlineStr">
        <is>
          <t>JÖNKÖPING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45295</v>
      </c>
      <c r="E235" s="1" t="n">
        <v>46226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14078-2024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46226</v>
      </c>
      <c r="F236" t="inlineStr">
        <is>
          <t>JÖNKÖPINGS LÄN</t>
        </is>
      </c>
      <c r="G236" t="inlineStr">
        <is>
          <t>JÖNKÖPING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46226</v>
      </c>
      <c r="F237" t="inlineStr">
        <is>
          <t>JÖNKÖPINGS LÄN</t>
        </is>
      </c>
      <c r="G237" t="inlineStr">
        <is>
          <t>JÖNKÖPING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46226</v>
      </c>
      <c r="F238" t="inlineStr">
        <is>
          <t>JÖNKÖPINGS LÄN</t>
        </is>
      </c>
      <c r="G238" t="inlineStr">
        <is>
          <t>JÖNKÖPING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46226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46226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46226</v>
      </c>
      <c r="F241" t="inlineStr">
        <is>
          <t>JÖNKÖPINGS LÄN</t>
        </is>
      </c>
      <c r="G241" t="inlineStr">
        <is>
          <t>JÖNKÖPING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46226</v>
      </c>
      <c r="F242" t="inlineStr">
        <is>
          <t>JÖNKÖPINGS LÄN</t>
        </is>
      </c>
      <c r="G242" t="inlineStr">
        <is>
          <t>JÖNKÖPING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46226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46226</v>
      </c>
      <c r="F244" t="inlineStr">
        <is>
          <t>JÖNKÖPINGS LÄN</t>
        </is>
      </c>
      <c r="G244" t="inlineStr">
        <is>
          <t>JÖNKÖPING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46226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46226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46226</v>
      </c>
      <c r="F247" t="inlineStr">
        <is>
          <t>JÖNKÖPINGS LÄN</t>
        </is>
      </c>
      <c r="G247" t="inlineStr">
        <is>
          <t>JÖNKÖPING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46226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45116</v>
      </c>
      <c r="E249" s="1" t="n">
        <v>46226</v>
      </c>
      <c r="F249" t="inlineStr">
        <is>
          <t>JÖNKÖPINGS LÄN</t>
        </is>
      </c>
      <c r="G249" t="inlineStr">
        <is>
          <t>JÖNKÖPING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46226</v>
      </c>
      <c r="F250" t="inlineStr">
        <is>
          <t>JÖNKÖPINGS LÄN</t>
        </is>
      </c>
      <c r="G250" t="inlineStr">
        <is>
          <t>JÖNKÖPING</t>
        </is>
      </c>
      <c r="I250" t="n">
        <v>14.5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57095-2021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44482</v>
      </c>
      <c r="E251" s="1" t="n">
        <v>46226</v>
      </c>
      <c r="F251" t="inlineStr">
        <is>
          <t>JÖNKÖPINGS LÄN</t>
        </is>
      </c>
      <c r="G251" t="inlineStr">
        <is>
          <t>JÖNKÖPING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46226</v>
      </c>
      <c r="F252" t="inlineStr">
        <is>
          <t>JÖNKÖPINGS LÄN</t>
        </is>
      </c>
      <c r="G252" t="inlineStr">
        <is>
          <t>JÖNKÖPING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44662</v>
      </c>
      <c r="E253" s="1" t="n">
        <v>46226</v>
      </c>
      <c r="F253" t="inlineStr">
        <is>
          <t>JÖNKÖPINGS LÄN</t>
        </is>
      </c>
      <c r="G253" t="inlineStr">
        <is>
          <t>JÖNKÖPING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46226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46226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Kommuner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44897</v>
      </c>
      <c r="E256" s="1" t="n">
        <v>46226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44904</v>
      </c>
      <c r="E257" s="1" t="n">
        <v>46226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49379-2022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46226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44861</v>
      </c>
      <c r="E259" s="1" t="n">
        <v>46226</v>
      </c>
      <c r="F259" t="inlineStr">
        <is>
          <t>JÖNKÖPINGS LÄN</t>
        </is>
      </c>
      <c r="G259" t="inlineStr">
        <is>
          <t>JÖNKÖPING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45406</v>
      </c>
      <c r="E260" s="1" t="n">
        <v>46226</v>
      </c>
      <c r="F260" t="inlineStr">
        <is>
          <t>JÖNKÖPINGS LÄN</t>
        </is>
      </c>
      <c r="G260" t="inlineStr">
        <is>
          <t>JÖNKÖPING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46226</v>
      </c>
      <c r="F261" t="inlineStr">
        <is>
          <t>JÖNKÖPINGS LÄN</t>
        </is>
      </c>
      <c r="G261" t="inlineStr">
        <is>
          <t>JÖNKÖPING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41143-2021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44423</v>
      </c>
      <c r="E262" s="1" t="n">
        <v>46226</v>
      </c>
      <c r="F262" t="inlineStr">
        <is>
          <t>JÖNKÖPINGS LÄN</t>
        </is>
      </c>
      <c r="G262" t="inlineStr">
        <is>
          <t>JÖNKÖPING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44882</v>
      </c>
      <c r="E263" s="1" t="n">
        <v>46226</v>
      </c>
      <c r="F263" t="inlineStr">
        <is>
          <t>JÖNKÖPINGS LÄN</t>
        </is>
      </c>
      <c r="G263" t="inlineStr">
        <is>
          <t>JÖNKÖPING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46226</v>
      </c>
      <c r="F264" t="inlineStr">
        <is>
          <t>JÖNKÖPINGS LÄN</t>
        </is>
      </c>
      <c r="G264" t="inlineStr">
        <is>
          <t>JÖNKÖPING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44571</v>
      </c>
      <c r="E265" s="1" t="n">
        <v>46226</v>
      </c>
      <c r="F265" t="inlineStr">
        <is>
          <t>JÖNKÖPINGS LÄN</t>
        </is>
      </c>
      <c r="G265" t="inlineStr">
        <is>
          <t>JÖNKÖPING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46226</v>
      </c>
      <c r="F266" t="inlineStr">
        <is>
          <t>JÖNKÖPINGS LÄN</t>
        </is>
      </c>
      <c r="G266" t="inlineStr">
        <is>
          <t>JÖNKÖPING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46226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44592</v>
      </c>
      <c r="E268" s="1" t="n">
        <v>46226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46226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46226</v>
      </c>
      <c r="F270" t="inlineStr">
        <is>
          <t>JÖNKÖPINGS LÄN</t>
        </is>
      </c>
      <c r="G270" t="inlineStr">
        <is>
          <t>JÖNKÖPING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46226</v>
      </c>
      <c r="F271" t="inlineStr">
        <is>
          <t>JÖNKÖPINGS LÄN</t>
        </is>
      </c>
      <c r="G271" t="inlineStr">
        <is>
          <t>JÖNKÖPING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46226</v>
      </c>
      <c r="F272" t="inlineStr">
        <is>
          <t>JÖNKÖPINGS LÄN</t>
        </is>
      </c>
      <c r="G272" t="inlineStr">
        <is>
          <t>JÖNKÖPING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46059</v>
      </c>
      <c r="E273" s="1" t="n">
        <v>46226</v>
      </c>
      <c r="F273" t="inlineStr">
        <is>
          <t>JÖNKÖPINGS LÄN</t>
        </is>
      </c>
      <c r="G273" t="inlineStr">
        <is>
          <t>JÖNKÖPING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46226</v>
      </c>
      <c r="F274" t="inlineStr">
        <is>
          <t>JÖNKÖPINGS LÄN</t>
        </is>
      </c>
      <c r="G274" t="inlineStr">
        <is>
          <t>JÖNKÖPING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46226</v>
      </c>
      <c r="F275" t="inlineStr">
        <is>
          <t>JÖNKÖPINGS LÄN</t>
        </is>
      </c>
      <c r="G275" t="inlineStr">
        <is>
          <t>JÖNKÖPING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46226</v>
      </c>
      <c r="F276" t="inlineStr">
        <is>
          <t>JÖNKÖPINGS LÄN</t>
        </is>
      </c>
      <c r="G276" t="inlineStr">
        <is>
          <t>JÖNKÖPING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46226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46226</v>
      </c>
      <c r="F278" t="inlineStr">
        <is>
          <t>JÖNKÖPINGS LÄN</t>
        </is>
      </c>
      <c r="G278" t="inlineStr">
        <is>
          <t>JÖNKÖPING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46059</v>
      </c>
      <c r="E279" s="1" t="n">
        <v>46226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46226</v>
      </c>
      <c r="F280" t="inlineStr">
        <is>
          <t>JÖNKÖPINGS LÄN</t>
        </is>
      </c>
      <c r="G280" t="inlineStr">
        <is>
          <t>JÖNKÖPING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46226</v>
      </c>
      <c r="F281" t="inlineStr">
        <is>
          <t>JÖNKÖPINGS LÄN</t>
        </is>
      </c>
      <c r="G281" t="inlineStr">
        <is>
          <t>JÖNKÖPING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44893</v>
      </c>
      <c r="E282" s="1" t="n">
        <v>46226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Övriga statliga verk och myndigheter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45037</v>
      </c>
      <c r="E283" s="1" t="n">
        <v>46226</v>
      </c>
      <c r="F283" t="inlineStr">
        <is>
          <t>JÖNKÖPINGS LÄN</t>
        </is>
      </c>
      <c r="G283" t="inlineStr">
        <is>
          <t>JÖNKÖPING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50192-2024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45600</v>
      </c>
      <c r="E284" s="1" t="n">
        <v>46226</v>
      </c>
      <c r="F284" t="inlineStr">
        <is>
          <t>JÖNKÖPINGS LÄN</t>
        </is>
      </c>
      <c r="G284" t="inlineStr">
        <is>
          <t>JÖNKÖPING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50193-2024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45600</v>
      </c>
      <c r="E285" s="1" t="n">
        <v>46226</v>
      </c>
      <c r="F285" t="inlineStr">
        <is>
          <t>JÖNKÖPINGS LÄN</t>
        </is>
      </c>
      <c r="G285" t="inlineStr">
        <is>
          <t>JÖNKÖPING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45643</v>
      </c>
      <c r="E286" s="1" t="n">
        <v>46226</v>
      </c>
      <c r="F286" t="inlineStr">
        <is>
          <t>JÖNKÖPINGS LÄN</t>
        </is>
      </c>
      <c r="G286" t="inlineStr">
        <is>
          <t>JÖNKÖPING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46226</v>
      </c>
      <c r="F287" t="inlineStr">
        <is>
          <t>JÖNKÖPINGS LÄN</t>
        </is>
      </c>
      <c r="G287" t="inlineStr">
        <is>
          <t>JÖNKÖPING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45701</v>
      </c>
      <c r="E288" s="1" t="n">
        <v>46226</v>
      </c>
      <c r="F288" t="inlineStr">
        <is>
          <t>JÖNKÖPINGS LÄN</t>
        </is>
      </c>
      <c r="G288" t="inlineStr">
        <is>
          <t>JÖNKÖPING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46226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46226</v>
      </c>
      <c r="F290" t="inlineStr">
        <is>
          <t>JÖNKÖPINGS LÄN</t>
        </is>
      </c>
      <c r="G290" t="inlineStr">
        <is>
          <t>JÖNKÖPING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46226</v>
      </c>
      <c r="F291" t="inlineStr">
        <is>
          <t>JÖNKÖPINGS LÄN</t>
        </is>
      </c>
      <c r="G291" t="inlineStr">
        <is>
          <t>JÖNKÖPING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46226</v>
      </c>
      <c r="F292" t="inlineStr">
        <is>
          <t>JÖNKÖPINGS LÄN</t>
        </is>
      </c>
      <c r="G292" t="inlineStr">
        <is>
          <t>JÖNKÖPING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46226</v>
      </c>
      <c r="F293" t="inlineStr">
        <is>
          <t>JÖNKÖPINGS LÄN</t>
        </is>
      </c>
      <c r="G293" t="inlineStr">
        <is>
          <t>JÖNKÖPING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46226</v>
      </c>
      <c r="F294" t="inlineStr">
        <is>
          <t>JÖNKÖPINGS LÄN</t>
        </is>
      </c>
      <c r="G294" t="inlineStr">
        <is>
          <t>JÖNKÖPING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46226</v>
      </c>
      <c r="F295" t="inlineStr">
        <is>
          <t>JÖNKÖPINGS LÄN</t>
        </is>
      </c>
      <c r="G295" t="inlineStr">
        <is>
          <t>JÖNKÖPING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46226</v>
      </c>
      <c r="F296" t="inlineStr">
        <is>
          <t>JÖNKÖPINGS LÄN</t>
        </is>
      </c>
      <c r="G296" t="inlineStr">
        <is>
          <t>JÖNKÖPING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46226</v>
      </c>
      <c r="F297" t="inlineStr">
        <is>
          <t>JÖNKÖPINGS LÄN</t>
        </is>
      </c>
      <c r="G297" t="inlineStr">
        <is>
          <t>JÖNKÖPING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9067-2026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46069</v>
      </c>
      <c r="E298" s="1" t="n">
        <v>46226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9073-2026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46069</v>
      </c>
      <c r="E299" s="1" t="n">
        <v>46226</v>
      </c>
      <c r="F299" t="inlineStr">
        <is>
          <t>JÖNKÖPINGS LÄN</t>
        </is>
      </c>
      <c r="G299" t="inlineStr">
        <is>
          <t>JÖNKÖPING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9020-2026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46069</v>
      </c>
      <c r="E300" s="1" t="n">
        <v>46226</v>
      </c>
      <c r="F300" t="inlineStr">
        <is>
          <t>JÖNKÖPINGS LÄN</t>
        </is>
      </c>
      <c r="G300" t="inlineStr">
        <is>
          <t>JÖNKÖPING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45468</v>
      </c>
      <c r="E301" s="1" t="n">
        <v>46226</v>
      </c>
      <c r="F301" t="inlineStr">
        <is>
          <t>JÖNKÖPINGS LÄN</t>
        </is>
      </c>
      <c r="G301" t="inlineStr">
        <is>
          <t>JÖNKÖPING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11236-2024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45371</v>
      </c>
      <c r="E302" s="1" t="n">
        <v>46226</v>
      </c>
      <c r="F302" t="inlineStr">
        <is>
          <t>JÖNKÖPINGS LÄN</t>
        </is>
      </c>
      <c r="G302" t="inlineStr">
        <is>
          <t>JÖNKÖPING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46226</v>
      </c>
      <c r="F303" t="inlineStr">
        <is>
          <t>JÖNKÖPINGS LÄN</t>
        </is>
      </c>
      <c r="G303" t="inlineStr">
        <is>
          <t>JÖNKÖPING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46226</v>
      </c>
      <c r="F304" t="inlineStr">
        <is>
          <t>JÖNKÖPINGS LÄN</t>
        </is>
      </c>
      <c r="G304" t="inlineStr">
        <is>
          <t>JÖNKÖPING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45682</v>
      </c>
      <c r="E305" s="1" t="n">
        <v>46226</v>
      </c>
      <c r="F305" t="inlineStr">
        <is>
          <t>JÖNKÖPINGS LÄN</t>
        </is>
      </c>
      <c r="G305" t="inlineStr">
        <is>
          <t>JÖNKÖPING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44977</v>
      </c>
      <c r="E306" s="1" t="n">
        <v>46226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46226</v>
      </c>
      <c r="F307" t="inlineStr">
        <is>
          <t>JÖNKÖPINGS LÄN</t>
        </is>
      </c>
      <c r="G307" t="inlineStr">
        <is>
          <t>JÖNKÖPING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46070</v>
      </c>
      <c r="E308" s="1" t="n">
        <v>46226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9926-2026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46073</v>
      </c>
      <c r="E309" s="1" t="n">
        <v>46226</v>
      </c>
      <c r="F309" t="inlineStr">
        <is>
          <t>JÖNKÖPINGS LÄN</t>
        </is>
      </c>
      <c r="G309" t="inlineStr">
        <is>
          <t>JÖNKÖPING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45617</v>
      </c>
      <c r="E310" s="1" t="n">
        <v>46226</v>
      </c>
      <c r="F310" t="inlineStr">
        <is>
          <t>JÖNKÖPINGS LÄN</t>
        </is>
      </c>
      <c r="G310" t="inlineStr">
        <is>
          <t>JÖNKÖPING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45892</v>
      </c>
      <c r="E311" s="1" t="n">
        <v>46226</v>
      </c>
      <c r="F311" t="inlineStr">
        <is>
          <t>JÖNKÖPINGS LÄN</t>
        </is>
      </c>
      <c r="G311" t="inlineStr">
        <is>
          <t>JÖNKÖPING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45892</v>
      </c>
      <c r="E312" s="1" t="n">
        <v>46226</v>
      </c>
      <c r="F312" t="inlineStr">
        <is>
          <t>JÖNKÖPINGS LÄN</t>
        </is>
      </c>
      <c r="G312" t="inlineStr">
        <is>
          <t>JÖNKÖPING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45892</v>
      </c>
      <c r="E313" s="1" t="n">
        <v>46226</v>
      </c>
      <c r="F313" t="inlineStr">
        <is>
          <t>JÖNKÖPINGS LÄN</t>
        </is>
      </c>
      <c r="G313" t="inlineStr">
        <is>
          <t>JÖNKÖPING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44585</v>
      </c>
      <c r="E314" s="1" t="n">
        <v>46226</v>
      </c>
      <c r="F314" t="inlineStr">
        <is>
          <t>JÖNKÖPINGS LÄN</t>
        </is>
      </c>
      <c r="G314" t="inlineStr">
        <is>
          <t>JÖNKÖPING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46226</v>
      </c>
      <c r="F315" t="inlineStr">
        <is>
          <t>JÖNKÖPINGS LÄN</t>
        </is>
      </c>
      <c r="G315" t="inlineStr">
        <is>
          <t>JÖNKÖPING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46226</v>
      </c>
      <c r="F316" t="inlineStr">
        <is>
          <t>JÖNKÖPINGS LÄN</t>
        </is>
      </c>
      <c r="G316" t="inlineStr">
        <is>
          <t>JÖNKÖPING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46079</v>
      </c>
      <c r="E317" s="1" t="n">
        <v>46226</v>
      </c>
      <c r="F317" t="inlineStr">
        <is>
          <t>JÖNKÖPINGS LÄN</t>
        </is>
      </c>
      <c r="G317" t="inlineStr">
        <is>
          <t>JÖNKÖPING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46226</v>
      </c>
      <c r="F318" t="inlineStr">
        <is>
          <t>JÖNKÖPINGS LÄN</t>
        </is>
      </c>
      <c r="G318" t="inlineStr">
        <is>
          <t>JÖNKÖPING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45351</v>
      </c>
      <c r="E319" s="1" t="n">
        <v>46226</v>
      </c>
      <c r="F319" t="inlineStr">
        <is>
          <t>JÖNKÖPINGS LÄN</t>
        </is>
      </c>
      <c r="G319" t="inlineStr">
        <is>
          <t>JÖNKÖPING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46226</v>
      </c>
      <c r="F320" t="inlineStr">
        <is>
          <t>JÖNKÖPINGS LÄN</t>
        </is>
      </c>
      <c r="G320" t="inlineStr">
        <is>
          <t>JÖNKÖPING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44846</v>
      </c>
      <c r="E321" s="1" t="n">
        <v>46226</v>
      </c>
      <c r="F321" t="inlineStr">
        <is>
          <t>JÖNKÖPINGS LÄN</t>
        </is>
      </c>
      <c r="G321" t="inlineStr">
        <is>
          <t>JÖNKÖPING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45905</v>
      </c>
      <c r="E322" s="1" t="n">
        <v>46226</v>
      </c>
      <c r="F322" t="inlineStr">
        <is>
          <t>JÖNKÖPINGS LÄN</t>
        </is>
      </c>
      <c r="G322" t="inlineStr">
        <is>
          <t>JÖNKÖPING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46226</v>
      </c>
      <c r="F323" t="inlineStr">
        <is>
          <t>JÖNKÖPINGS LÄN</t>
        </is>
      </c>
      <c r="G323" t="inlineStr">
        <is>
          <t>JÖNKÖPING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46226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46226</v>
      </c>
      <c r="F325" t="inlineStr">
        <is>
          <t>JÖNKÖPINGS LÄN</t>
        </is>
      </c>
      <c r="G325" t="inlineStr">
        <is>
          <t>JÖNKÖPING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46226</v>
      </c>
      <c r="F326" t="inlineStr">
        <is>
          <t>JÖNKÖPINGS LÄN</t>
        </is>
      </c>
      <c r="G326" t="inlineStr">
        <is>
          <t>JÖNKÖPING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45502</v>
      </c>
      <c r="E327" s="1" t="n">
        <v>46226</v>
      </c>
      <c r="F327" t="inlineStr">
        <is>
          <t>JÖNKÖPINGS LÄN</t>
        </is>
      </c>
      <c r="G327" t="inlineStr">
        <is>
          <t>JÖNKÖPING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46226</v>
      </c>
      <c r="F328" t="inlineStr">
        <is>
          <t>JÖNKÖPINGS LÄN</t>
        </is>
      </c>
      <c r="G328" t="inlineStr">
        <is>
          <t>JÖNKÖPING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46226</v>
      </c>
      <c r="F329" t="inlineStr">
        <is>
          <t>JÖNKÖPINGS LÄN</t>
        </is>
      </c>
      <c r="G329" t="inlineStr">
        <is>
          <t>JÖNKÖPING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46226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45693</v>
      </c>
      <c r="E331" s="1" t="n">
        <v>46226</v>
      </c>
      <c r="F331" t="inlineStr">
        <is>
          <t>JÖNKÖPINGS LÄN</t>
        </is>
      </c>
      <c r="G331" t="inlineStr">
        <is>
          <t>JÖNKÖPING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46226</v>
      </c>
      <c r="F332" t="inlineStr">
        <is>
          <t>JÖNKÖPINGS LÄN</t>
        </is>
      </c>
      <c r="G332" t="inlineStr">
        <is>
          <t>JÖNKÖPING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46226</v>
      </c>
      <c r="F333" t="inlineStr">
        <is>
          <t>JÖNKÖPINGS LÄN</t>
        </is>
      </c>
      <c r="G333" t="inlineStr">
        <is>
          <t>JÖNKÖPING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46226</v>
      </c>
      <c r="F334" t="inlineStr">
        <is>
          <t>JÖNKÖPINGS LÄN</t>
        </is>
      </c>
      <c r="G334" t="inlineStr">
        <is>
          <t>JÖNKÖPING</t>
        </is>
      </c>
      <c r="I334" t="n">
        <v>11.9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63207-2021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44507</v>
      </c>
      <c r="E335" s="1" t="n">
        <v>46226</v>
      </c>
      <c r="F335" t="inlineStr">
        <is>
          <t>JÖNKÖPINGS LÄN</t>
        </is>
      </c>
      <c r="G335" t="inlineStr">
        <is>
          <t>JÖNKÖPING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45358</v>
      </c>
      <c r="E336" s="1" t="n">
        <v>46226</v>
      </c>
      <c r="F336" t="inlineStr">
        <is>
          <t>JÖNKÖPINGS LÄN</t>
        </is>
      </c>
      <c r="G336" t="inlineStr">
        <is>
          <t>JÖNKÖPING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48064-2021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44449</v>
      </c>
      <c r="E337" s="1" t="n">
        <v>46226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46226</v>
      </c>
      <c r="F338" t="inlineStr">
        <is>
          <t>JÖNKÖPINGS LÄN</t>
        </is>
      </c>
      <c r="G338" t="inlineStr">
        <is>
          <t>JÖNKÖPING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45294</v>
      </c>
      <c r="E339" s="1" t="n">
        <v>46226</v>
      </c>
      <c r="F339" t="inlineStr">
        <is>
          <t>JÖNKÖPINGS LÄN</t>
        </is>
      </c>
      <c r="G339" t="inlineStr">
        <is>
          <t>JÖNKÖPING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46226</v>
      </c>
      <c r="F340" t="inlineStr">
        <is>
          <t>JÖNKÖPINGS LÄN</t>
        </is>
      </c>
      <c r="G340" t="inlineStr">
        <is>
          <t>JÖNKÖPING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46226</v>
      </c>
      <c r="F341" t="inlineStr">
        <is>
          <t>JÖNKÖPINGS LÄN</t>
        </is>
      </c>
      <c r="G341" t="inlineStr">
        <is>
          <t>JÖNKÖPING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46226</v>
      </c>
      <c r="F342" t="inlineStr">
        <is>
          <t>JÖNKÖPINGS LÄN</t>
        </is>
      </c>
      <c r="G342" t="inlineStr">
        <is>
          <t>JÖNKÖPING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46374-2025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46226</v>
      </c>
      <c r="F343" t="inlineStr">
        <is>
          <t>JÖNKÖPINGS LÄN</t>
        </is>
      </c>
      <c r="G343" t="inlineStr">
        <is>
          <t>JÖNKÖPING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17237-2023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45035</v>
      </c>
      <c r="E344" s="1" t="n">
        <v>46226</v>
      </c>
      <c r="F344" t="inlineStr">
        <is>
          <t>JÖNKÖPINGS LÄN</t>
        </is>
      </c>
      <c r="G344" t="inlineStr">
        <is>
          <t>JÖNKÖPING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44950</v>
      </c>
      <c r="E345" s="1" t="n">
        <v>46226</v>
      </c>
      <c r="F345" t="inlineStr">
        <is>
          <t>JÖNKÖPINGS LÄN</t>
        </is>
      </c>
      <c r="G345" t="inlineStr">
        <is>
          <t>JÖNKÖPING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56062-2023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45240</v>
      </c>
      <c r="E346" s="1" t="n">
        <v>46226</v>
      </c>
      <c r="F346" t="inlineStr">
        <is>
          <t>JÖNKÖPINGS LÄN</t>
        </is>
      </c>
      <c r="G346" t="inlineStr">
        <is>
          <t>JÖNKÖPING</t>
        </is>
      </c>
      <c r="I346" t="n">
        <v>13.6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10720-2022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44626</v>
      </c>
      <c r="E347" s="1" t="n">
        <v>46226</v>
      </c>
      <c r="F347" t="inlineStr">
        <is>
          <t>JÖNKÖPINGS LÄN</t>
        </is>
      </c>
      <c r="G347" t="inlineStr">
        <is>
          <t>JÖNKÖPING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45246</v>
      </c>
      <c r="E348" s="1" t="n">
        <v>46226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Kyrkan</t>
        </is>
      </c>
      <c r="I348" t="n">
        <v>7.6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46226</v>
      </c>
      <c r="F349" t="inlineStr">
        <is>
          <t>JÖNKÖPINGS LÄN</t>
        </is>
      </c>
      <c r="G349" t="inlineStr">
        <is>
          <t>JÖNKÖPING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45119</v>
      </c>
      <c r="E350" s="1" t="n">
        <v>46226</v>
      </c>
      <c r="F350" t="inlineStr">
        <is>
          <t>JÖNKÖPINGS LÄN</t>
        </is>
      </c>
      <c r="G350" t="inlineStr">
        <is>
          <t>JÖNKÖPING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45566</v>
      </c>
      <c r="E351" s="1" t="n">
        <v>46226</v>
      </c>
      <c r="F351" t="inlineStr">
        <is>
          <t>JÖNKÖPINGS LÄN</t>
        </is>
      </c>
      <c r="G351" t="inlineStr">
        <is>
          <t>JÖNKÖPING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45566</v>
      </c>
      <c r="E352" s="1" t="n">
        <v>46226</v>
      </c>
      <c r="F352" t="inlineStr">
        <is>
          <t>JÖNKÖPINGS LÄN</t>
        </is>
      </c>
      <c r="G352" t="inlineStr">
        <is>
          <t>JÖNKÖPING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45502</v>
      </c>
      <c r="E353" s="1" t="n">
        <v>46226</v>
      </c>
      <c r="F353" t="inlineStr">
        <is>
          <t>JÖNKÖPINGS LÄN</t>
        </is>
      </c>
      <c r="G353" t="inlineStr">
        <is>
          <t>JÖNKÖPING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43668-2022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44837</v>
      </c>
      <c r="E354" s="1" t="n">
        <v>46226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45934</v>
      </c>
      <c r="E355" s="1" t="n">
        <v>46226</v>
      </c>
      <c r="F355" t="inlineStr">
        <is>
          <t>JÖNKÖPINGS LÄN</t>
        </is>
      </c>
      <c r="G355" t="inlineStr">
        <is>
          <t>JÖNKÖPING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46226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46226</v>
      </c>
      <c r="F357" t="inlineStr">
        <is>
          <t>JÖNKÖPINGS LÄN</t>
        </is>
      </c>
      <c r="G357" t="inlineStr">
        <is>
          <t>JÖNKÖPING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46119</v>
      </c>
      <c r="E358" s="1" t="n">
        <v>46226</v>
      </c>
      <c r="F358" t="inlineStr">
        <is>
          <t>JÖNKÖPINGS LÄN</t>
        </is>
      </c>
      <c r="G358" t="inlineStr">
        <is>
          <t>JÖNKÖPING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46226</v>
      </c>
      <c r="F359" t="inlineStr">
        <is>
          <t>JÖNKÖPINGS LÄN</t>
        </is>
      </c>
      <c r="G359" t="inlineStr">
        <is>
          <t>JÖNKÖPING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8864-2022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44614</v>
      </c>
      <c r="E360" s="1" t="n">
        <v>46226</v>
      </c>
      <c r="F360" t="inlineStr">
        <is>
          <t>JÖNKÖPINGS LÄN</t>
        </is>
      </c>
      <c r="G360" t="inlineStr">
        <is>
          <t>JÖNKÖPING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46226</v>
      </c>
      <c r="F361" t="inlineStr">
        <is>
          <t>JÖNKÖPINGS LÄN</t>
        </is>
      </c>
      <c r="G361" t="inlineStr">
        <is>
          <t>JÖNKÖPING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46226</v>
      </c>
      <c r="F362" t="inlineStr">
        <is>
          <t>JÖNKÖPINGS LÄN</t>
        </is>
      </c>
      <c r="G362" t="inlineStr">
        <is>
          <t>JÖNKÖPING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46226</v>
      </c>
      <c r="F363" t="inlineStr">
        <is>
          <t>JÖNKÖPINGS LÄN</t>
        </is>
      </c>
      <c r="G363" t="inlineStr">
        <is>
          <t>JÖNKÖPING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46226</v>
      </c>
      <c r="F364" t="inlineStr">
        <is>
          <t>JÖNKÖPINGS LÄN</t>
        </is>
      </c>
      <c r="G364" t="inlineStr">
        <is>
          <t>JÖNKÖPING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44963</v>
      </c>
      <c r="E365" s="1" t="n">
        <v>46226</v>
      </c>
      <c r="F365" t="inlineStr">
        <is>
          <t>JÖNKÖPINGS LÄN</t>
        </is>
      </c>
      <c r="G365" t="inlineStr">
        <is>
          <t>JÖNKÖPING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44935</v>
      </c>
      <c r="E366" s="1" t="n">
        <v>46226</v>
      </c>
      <c r="F366" t="inlineStr">
        <is>
          <t>JÖNKÖPINGS LÄN</t>
        </is>
      </c>
      <c r="G366" t="inlineStr">
        <is>
          <t>JÖNKÖPING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51876-2022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44867</v>
      </c>
      <c r="E367" s="1" t="n">
        <v>46226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45180</v>
      </c>
      <c r="E368" s="1" t="n">
        <v>46226</v>
      </c>
      <c r="F368" t="inlineStr">
        <is>
          <t>JÖNKÖPINGS LÄN</t>
        </is>
      </c>
      <c r="G368" t="inlineStr">
        <is>
          <t>JÖNKÖPING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44904</v>
      </c>
      <c r="E369" s="1" t="n">
        <v>46226</v>
      </c>
      <c r="F369" t="inlineStr">
        <is>
          <t>JÖNKÖPINGS LÄN</t>
        </is>
      </c>
      <c r="G369" t="inlineStr">
        <is>
          <t>JÖNKÖPING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44575</v>
      </c>
      <c r="E370" s="1" t="n">
        <v>46226</v>
      </c>
      <c r="F370" t="inlineStr">
        <is>
          <t>JÖNKÖPINGS LÄN</t>
        </is>
      </c>
      <c r="G370" t="inlineStr">
        <is>
          <t>JÖNKÖPING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46226</v>
      </c>
      <c r="F371" t="inlineStr">
        <is>
          <t>JÖNKÖPINGS LÄN</t>
        </is>
      </c>
      <c r="G371" t="inlineStr">
        <is>
          <t>JÖNKÖPING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46226</v>
      </c>
      <c r="F372" t="inlineStr">
        <is>
          <t>JÖNKÖPINGS LÄN</t>
        </is>
      </c>
      <c r="G372" t="inlineStr">
        <is>
          <t>JÖNKÖPING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50787-2025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46226</v>
      </c>
      <c r="F373" t="inlineStr">
        <is>
          <t>JÖNKÖPINGS LÄN</t>
        </is>
      </c>
      <c r="G373" t="inlineStr">
        <is>
          <t>JÖNKÖPING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45947</v>
      </c>
      <c r="E374" s="1" t="n">
        <v>46226</v>
      </c>
      <c r="F374" t="inlineStr">
        <is>
          <t>JÖNKÖPINGS LÄN</t>
        </is>
      </c>
      <c r="G374" t="inlineStr">
        <is>
          <t>JÖNKÖPING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46226</v>
      </c>
      <c r="F375" t="inlineStr">
        <is>
          <t>JÖNKÖPINGS LÄN</t>
        </is>
      </c>
      <c r="G375" t="inlineStr">
        <is>
          <t>JÖNKÖPING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45260</v>
      </c>
      <c r="E376" s="1" t="n">
        <v>46226</v>
      </c>
      <c r="F376" t="inlineStr">
        <is>
          <t>JÖNKÖPINGS LÄN</t>
        </is>
      </c>
      <c r="G376" t="inlineStr">
        <is>
          <t>JÖNKÖPING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45008</v>
      </c>
      <c r="E377" s="1" t="n">
        <v>46226</v>
      </c>
      <c r="F377" t="inlineStr">
        <is>
          <t>JÖNKÖPINGS LÄN</t>
        </is>
      </c>
      <c r="G377" t="inlineStr">
        <is>
          <t>JÖNKÖPING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45105</v>
      </c>
      <c r="E378" s="1" t="n">
        <v>46226</v>
      </c>
      <c r="F378" t="inlineStr">
        <is>
          <t>JÖNKÖPINGS LÄN</t>
        </is>
      </c>
      <c r="G378" t="inlineStr">
        <is>
          <t>JÖNKÖPING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46226</v>
      </c>
      <c r="F379" t="inlineStr">
        <is>
          <t>JÖNKÖPINGS LÄN</t>
        </is>
      </c>
      <c r="G379" t="inlineStr">
        <is>
          <t>JÖNKÖPING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45124</v>
      </c>
      <c r="E380" s="1" t="n">
        <v>46226</v>
      </c>
      <c r="F380" t="inlineStr">
        <is>
          <t>JÖNKÖPINGS LÄN</t>
        </is>
      </c>
      <c r="G380" t="inlineStr">
        <is>
          <t>JÖNKÖPING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17928-2025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45759</v>
      </c>
      <c r="E381" s="1" t="n">
        <v>46226</v>
      </c>
      <c r="F381" t="inlineStr">
        <is>
          <t>JÖNKÖPINGS LÄN</t>
        </is>
      </c>
      <c r="G381" t="inlineStr">
        <is>
          <t>JÖNKÖPING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45051</v>
      </c>
      <c r="E382" s="1" t="n">
        <v>46226</v>
      </c>
      <c r="F382" t="inlineStr">
        <is>
          <t>JÖNKÖPINGS LÄN</t>
        </is>
      </c>
      <c r="G382" t="inlineStr">
        <is>
          <t>JÖNKÖPING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46226</v>
      </c>
      <c r="F383" t="inlineStr">
        <is>
          <t>JÖNKÖPINGS LÄN</t>
        </is>
      </c>
      <c r="G383" t="inlineStr">
        <is>
          <t>JÖNKÖPING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57930-2021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44487</v>
      </c>
      <c r="E384" s="1" t="n">
        <v>46226</v>
      </c>
      <c r="F384" t="inlineStr">
        <is>
          <t>JÖNKÖPINGS LÄN</t>
        </is>
      </c>
      <c r="G384" t="inlineStr">
        <is>
          <t>JÖNKÖPING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46226</v>
      </c>
      <c r="F385" t="inlineStr">
        <is>
          <t>JÖNKÖPINGS LÄN</t>
        </is>
      </c>
      <c r="G385" t="inlineStr">
        <is>
          <t>JÖNKÖPING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46226</v>
      </c>
      <c r="F386" t="inlineStr">
        <is>
          <t>JÖNKÖPINGS LÄN</t>
        </is>
      </c>
      <c r="G386" t="inlineStr">
        <is>
          <t>JÖNKÖPING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46226</v>
      </c>
      <c r="F387" t="inlineStr">
        <is>
          <t>JÖNKÖPINGS LÄN</t>
        </is>
      </c>
      <c r="G387" t="inlineStr">
        <is>
          <t>JÖNKÖPING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46226</v>
      </c>
      <c r="F388" t="inlineStr">
        <is>
          <t>JÖNKÖPINGS LÄN</t>
        </is>
      </c>
      <c r="G388" t="inlineStr">
        <is>
          <t>JÖNKÖPING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45797</v>
      </c>
      <c r="E389" s="1" t="n">
        <v>46226</v>
      </c>
      <c r="F389" t="inlineStr">
        <is>
          <t>JÖNKÖPINGS LÄN</t>
        </is>
      </c>
      <c r="G389" t="inlineStr">
        <is>
          <t>JÖNKÖPING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46226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45842</v>
      </c>
      <c r="E391" s="1" t="n">
        <v>46226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45842</v>
      </c>
      <c r="E392" s="1" t="n">
        <v>46226</v>
      </c>
      <c r="F392" t="inlineStr">
        <is>
          <t>JÖNKÖPINGS LÄN</t>
        </is>
      </c>
      <c r="G392" t="inlineStr">
        <is>
          <t>JÖNKÖPING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45587</v>
      </c>
      <c r="E393" s="1" t="n">
        <v>46226</v>
      </c>
      <c r="F393" t="inlineStr">
        <is>
          <t>JÖNKÖPINGS LÄN</t>
        </is>
      </c>
      <c r="G393" t="inlineStr">
        <is>
          <t>JÖNKÖPING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45810</v>
      </c>
      <c r="E394" s="1" t="n">
        <v>46226</v>
      </c>
      <c r="F394" t="inlineStr">
        <is>
          <t>JÖNKÖPINGS LÄN</t>
        </is>
      </c>
      <c r="G394" t="inlineStr">
        <is>
          <t>JÖNKÖPING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11497-2022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44631</v>
      </c>
      <c r="E395" s="1" t="n">
        <v>46226</v>
      </c>
      <c r="F395" t="inlineStr">
        <is>
          <t>JÖNKÖPINGS LÄN</t>
        </is>
      </c>
      <c r="G395" t="inlineStr">
        <is>
          <t>JÖNKÖPING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45846</v>
      </c>
      <c r="E396" s="1" t="n">
        <v>46226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Kyrkan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39650-2024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45552</v>
      </c>
      <c r="E397" s="1" t="n">
        <v>46226</v>
      </c>
      <c r="F397" t="inlineStr">
        <is>
          <t>JÖNKÖPINGS LÄN</t>
        </is>
      </c>
      <c r="G397" t="inlineStr">
        <is>
          <t>JÖNKÖPING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45846</v>
      </c>
      <c r="E398" s="1" t="n">
        <v>46226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Kyrkan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46226</v>
      </c>
      <c r="F399" t="inlineStr">
        <is>
          <t>JÖNKÖPINGS LÄN</t>
        </is>
      </c>
      <c r="G399" t="inlineStr">
        <is>
          <t>JÖNKÖPING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46226</v>
      </c>
      <c r="F400" t="inlineStr">
        <is>
          <t>JÖNKÖPINGS LÄN</t>
        </is>
      </c>
      <c r="G400" t="inlineStr">
        <is>
          <t>JÖNKÖPING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54727-2025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45966</v>
      </c>
      <c r="E401" s="1" t="n">
        <v>46226</v>
      </c>
      <c r="F401" t="inlineStr">
        <is>
          <t>JÖNKÖPINGS LÄN</t>
        </is>
      </c>
      <c r="G401" t="inlineStr">
        <is>
          <t>JÖNKÖPING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54753-2025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46226</v>
      </c>
      <c r="F402" t="inlineStr">
        <is>
          <t>JÖNKÖPINGS LÄN</t>
        </is>
      </c>
      <c r="G402" t="inlineStr">
        <is>
          <t>JÖNKÖPING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46226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31757-2025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46226</v>
      </c>
      <c r="F404" t="inlineStr">
        <is>
          <t>JÖNKÖPINGS LÄN</t>
        </is>
      </c>
      <c r="G404" t="inlineStr">
        <is>
          <t>JÖNKÖPING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46226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46226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46226</v>
      </c>
      <c r="F407" t="inlineStr">
        <is>
          <t>JÖNKÖPINGS LÄN</t>
        </is>
      </c>
      <c r="G407" t="inlineStr">
        <is>
          <t>JÖNKÖPING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46226</v>
      </c>
      <c r="F408" t="inlineStr">
        <is>
          <t>JÖNKÖPINGS LÄN</t>
        </is>
      </c>
      <c r="G408" t="inlineStr">
        <is>
          <t>JÖNKÖPING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55198-2025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46226</v>
      </c>
      <c r="F409" t="inlineStr">
        <is>
          <t>JÖNKÖPINGS LÄN</t>
        </is>
      </c>
      <c r="G409" t="inlineStr">
        <is>
          <t>JÖNKÖPING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57413-2021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44483</v>
      </c>
      <c r="E410" s="1" t="n">
        <v>46226</v>
      </c>
      <c r="F410" t="inlineStr">
        <is>
          <t>JÖNKÖPINGS LÄN</t>
        </is>
      </c>
      <c r="G410" t="inlineStr">
        <is>
          <t>JÖNKÖPING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46226</v>
      </c>
      <c r="F411" t="inlineStr">
        <is>
          <t>JÖNKÖPINGS LÄN</t>
        </is>
      </c>
      <c r="G411" t="inlineStr">
        <is>
          <t>JÖNKÖPING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46226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46226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45758</v>
      </c>
      <c r="E414" s="1" t="n">
        <v>46226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45630</v>
      </c>
      <c r="E415" s="1" t="n">
        <v>46226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46226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46226</v>
      </c>
      <c r="F417" t="inlineStr">
        <is>
          <t>JÖNKÖPINGS LÄN</t>
        </is>
      </c>
      <c r="G417" t="inlineStr">
        <is>
          <t>JÖNKÖPING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46226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46226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46226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45975</v>
      </c>
      <c r="E421" s="1" t="n">
        <v>46226</v>
      </c>
      <c r="F421" t="inlineStr">
        <is>
          <t>JÖNKÖPINGS LÄN</t>
        </is>
      </c>
      <c r="G421" t="inlineStr">
        <is>
          <t>JÖNKÖPING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45730</v>
      </c>
      <c r="E422" s="1" t="n">
        <v>46226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46226</v>
      </c>
      <c r="F423" t="inlineStr">
        <is>
          <t>JÖNKÖPINGS LÄN</t>
        </is>
      </c>
      <c r="G423" t="inlineStr">
        <is>
          <t>JÖNKÖPING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46226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46226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46226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39155-2021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44412</v>
      </c>
      <c r="E427" s="1" t="n">
        <v>46226</v>
      </c>
      <c r="F427" t="inlineStr">
        <is>
          <t>JÖNKÖPINGS LÄN</t>
        </is>
      </c>
      <c r="G427" t="inlineStr">
        <is>
          <t>JÖNKÖPING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46226</v>
      </c>
      <c r="F428" t="inlineStr">
        <is>
          <t>JÖNKÖPINGS LÄN</t>
        </is>
      </c>
      <c r="G428" t="inlineStr">
        <is>
          <t>JÖNKÖPING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46226</v>
      </c>
      <c r="F429" t="inlineStr">
        <is>
          <t>JÖNKÖPINGS LÄN</t>
        </is>
      </c>
      <c r="G429" t="inlineStr">
        <is>
          <t>JÖNKÖPING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44923</v>
      </c>
      <c r="E430" s="1" t="n">
        <v>46226</v>
      </c>
      <c r="F430" t="inlineStr">
        <is>
          <t>JÖNKÖPINGS LÄN</t>
        </is>
      </c>
      <c r="G430" t="inlineStr">
        <is>
          <t>JÖNKÖPING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46226</v>
      </c>
      <c r="F431" t="inlineStr">
        <is>
          <t>JÖNKÖPINGS LÄN</t>
        </is>
      </c>
      <c r="G431" t="inlineStr">
        <is>
          <t>JÖNKÖPING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45788</v>
      </c>
      <c r="E432" s="1" t="n">
        <v>46226</v>
      </c>
      <c r="F432" t="inlineStr">
        <is>
          <t>JÖNKÖPINGS LÄN</t>
        </is>
      </c>
      <c r="G432" t="inlineStr">
        <is>
          <t>JÖNKÖPING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18774-2025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45764</v>
      </c>
      <c r="E433" s="1" t="n">
        <v>46226</v>
      </c>
      <c r="F433" t="inlineStr">
        <is>
          <t>JÖNKÖPINGS LÄN</t>
        </is>
      </c>
      <c r="G433" t="inlineStr">
        <is>
          <t>JÖNKÖPING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45861</v>
      </c>
      <c r="E434" s="1" t="n">
        <v>46226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45300</v>
      </c>
      <c r="E435" s="1" t="n">
        <v>46226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51363-2025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45947</v>
      </c>
      <c r="E436" s="1" t="n">
        <v>46226</v>
      </c>
      <c r="F436" t="inlineStr">
        <is>
          <t>JÖNKÖPINGS LÄN</t>
        </is>
      </c>
      <c r="G436" t="inlineStr">
        <is>
          <t>JÖNKÖPING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45681</v>
      </c>
      <c r="E437" s="1" t="n">
        <v>46226</v>
      </c>
      <c r="F437" t="inlineStr">
        <is>
          <t>JÖNKÖPINGS LÄN</t>
        </is>
      </c>
      <c r="G437" t="inlineStr">
        <is>
          <t>JÖNKÖPING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46226</v>
      </c>
      <c r="F438" t="inlineStr">
        <is>
          <t>JÖNKÖPINGS LÄN</t>
        </is>
      </c>
      <c r="G438" t="inlineStr">
        <is>
          <t>JÖNKÖPING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15384-2022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44659</v>
      </c>
      <c r="E439" s="1" t="n">
        <v>46226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23783-2024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46226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46226</v>
      </c>
      <c r="F441" t="inlineStr">
        <is>
          <t>JÖNKÖPINGS LÄN</t>
        </is>
      </c>
      <c r="G441" t="inlineStr">
        <is>
          <t>JÖNKÖPING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56131-2022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44889</v>
      </c>
      <c r="E442" s="1" t="n">
        <v>46226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45734</v>
      </c>
      <c r="E443" s="1" t="n">
        <v>46226</v>
      </c>
      <c r="F443" t="inlineStr">
        <is>
          <t>JÖNKÖPINGS LÄN</t>
        </is>
      </c>
      <c r="G443" t="inlineStr">
        <is>
          <t>JÖNKÖPING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48308-2022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44853</v>
      </c>
      <c r="E444" s="1" t="n">
        <v>46226</v>
      </c>
      <c r="F444" t="inlineStr">
        <is>
          <t>JÖNKÖPINGS LÄN</t>
        </is>
      </c>
      <c r="G444" t="inlineStr">
        <is>
          <t>JÖNKÖPING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45401</v>
      </c>
      <c r="E445" s="1" t="n">
        <v>46226</v>
      </c>
      <c r="F445" t="inlineStr">
        <is>
          <t>JÖNKÖPINGS LÄN</t>
        </is>
      </c>
      <c r="G445" t="inlineStr">
        <is>
          <t>JÖNKÖPING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44988</v>
      </c>
      <c r="E446" s="1" t="n">
        <v>46226</v>
      </c>
      <c r="F446" t="inlineStr">
        <is>
          <t>JÖNKÖPINGS LÄN</t>
        </is>
      </c>
      <c r="G446" t="inlineStr">
        <is>
          <t>JÖNKÖPING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45471</v>
      </c>
      <c r="E447" s="1" t="n">
        <v>46226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46226</v>
      </c>
      <c r="F448" t="inlineStr">
        <is>
          <t>JÖNKÖPINGS LÄN</t>
        </is>
      </c>
      <c r="G448" t="inlineStr">
        <is>
          <t>JÖNKÖPING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39443-2021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44414</v>
      </c>
      <c r="E449" s="1" t="n">
        <v>46226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45788</v>
      </c>
      <c r="E450" s="1" t="n">
        <v>46226</v>
      </c>
      <c r="F450" t="inlineStr">
        <is>
          <t>JÖNKÖPINGS LÄN</t>
        </is>
      </c>
      <c r="G450" t="inlineStr">
        <is>
          <t>JÖNKÖPING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45870</v>
      </c>
      <c r="E451" s="1" t="n">
        <v>46226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60569-2025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45995</v>
      </c>
      <c r="E452" s="1" t="n">
        <v>46226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10074-2024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45364</v>
      </c>
      <c r="E453" s="1" t="n">
        <v>46226</v>
      </c>
      <c r="F453" t="inlineStr">
        <is>
          <t>JÖNKÖPINGS LÄN</t>
        </is>
      </c>
      <c r="G453" t="inlineStr">
        <is>
          <t>JÖNKÖPING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44003-2023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46226</v>
      </c>
      <c r="F454" t="inlineStr">
        <is>
          <t>JÖNKÖPINGS LÄN</t>
        </is>
      </c>
      <c r="G454" t="inlineStr">
        <is>
          <t>JÖNKÖPING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8809-2024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45356</v>
      </c>
      <c r="E455" s="1" t="n">
        <v>46226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45181</v>
      </c>
      <c r="E456" s="1" t="n">
        <v>46226</v>
      </c>
      <c r="F456" t="inlineStr">
        <is>
          <t>JÖNKÖPINGS LÄN</t>
        </is>
      </c>
      <c r="G456" t="inlineStr">
        <is>
          <t>JÖNKÖPING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44882</v>
      </c>
      <c r="E457" s="1" t="n">
        <v>46226</v>
      </c>
      <c r="F457" t="inlineStr">
        <is>
          <t>JÖNKÖPINGS LÄN</t>
        </is>
      </c>
      <c r="G457" t="inlineStr">
        <is>
          <t>JÖNKÖPING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45875</v>
      </c>
      <c r="E458" s="1" t="n">
        <v>46226</v>
      </c>
      <c r="F458" t="inlineStr">
        <is>
          <t>JÖNKÖPINGS LÄN</t>
        </is>
      </c>
      <c r="G458" t="inlineStr">
        <is>
          <t>JÖNKÖPING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46226</v>
      </c>
      <c r="F459" t="inlineStr">
        <is>
          <t>JÖNKÖPINGS LÄN</t>
        </is>
      </c>
      <c r="G459" t="inlineStr">
        <is>
          <t>JÖNKÖPING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6428-2023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46226</v>
      </c>
      <c r="F460" t="inlineStr">
        <is>
          <t>JÖNKÖPINGS LÄN</t>
        </is>
      </c>
      <c r="G460" t="inlineStr">
        <is>
          <t>JÖNKÖPING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45775</v>
      </c>
      <c r="E461" s="1" t="n">
        <v>46226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37149-2025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45875</v>
      </c>
      <c r="E462" s="1" t="n">
        <v>46226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Kommuner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45734</v>
      </c>
      <c r="E463" s="1" t="n">
        <v>46226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45749</v>
      </c>
      <c r="E464" s="1" t="n">
        <v>46226</v>
      </c>
      <c r="F464" t="inlineStr">
        <is>
          <t>JÖNKÖPINGS LÄN</t>
        </is>
      </c>
      <c r="G464" t="inlineStr">
        <is>
          <t>JÖNKÖPING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44648</v>
      </c>
      <c r="E465" s="1" t="n">
        <v>46226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62486-2025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46226</v>
      </c>
      <c r="F466" t="inlineStr">
        <is>
          <t>JÖNKÖPINGS LÄN</t>
        </is>
      </c>
      <c r="G466" t="inlineStr">
        <is>
          <t>JÖNKÖPING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26621-2026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46226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46226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62876-2025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46226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46226</v>
      </c>
      <c r="F470" t="inlineStr">
        <is>
          <t>JÖNKÖPINGS LÄN</t>
        </is>
      </c>
      <c r="G470" t="inlineStr">
        <is>
          <t>JÖNKÖPING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46226</v>
      </c>
      <c r="F471" t="inlineStr">
        <is>
          <t>JÖNKÖPINGS LÄN</t>
        </is>
      </c>
      <c r="G471" t="inlineStr">
        <is>
          <t>JÖNKÖPING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46226</v>
      </c>
      <c r="F472" t="inlineStr">
        <is>
          <t>JÖNKÖPINGS LÄN</t>
        </is>
      </c>
      <c r="G472" t="inlineStr">
        <is>
          <t>JÖNKÖPING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63346-2025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46226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63540-2025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46226</v>
      </c>
      <c r="F474" t="inlineStr">
        <is>
          <t>JÖNKÖPINGS LÄN</t>
        </is>
      </c>
      <c r="G474" t="inlineStr">
        <is>
          <t>JÖNKÖPING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46226</v>
      </c>
      <c r="F475" t="inlineStr">
        <is>
          <t>JÖNKÖPINGS LÄN</t>
        </is>
      </c>
      <c r="G475" t="inlineStr">
        <is>
          <t>JÖNKÖPING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46226</v>
      </c>
      <c r="F476" t="inlineStr">
        <is>
          <t>JÖNKÖPINGS LÄN</t>
        </is>
      </c>
      <c r="G476" t="inlineStr">
        <is>
          <t>JÖNKÖPING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46226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46226</v>
      </c>
      <c r="F478" t="inlineStr">
        <is>
          <t>JÖNKÖPINGS LÄN</t>
        </is>
      </c>
      <c r="G478" t="inlineStr">
        <is>
          <t>JÖNKÖPING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46226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46226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45406-2023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45194</v>
      </c>
      <c r="E481" s="1" t="n">
        <v>46226</v>
      </c>
      <c r="F481" t="inlineStr">
        <is>
          <t>JÖNKÖPINGS LÄN</t>
        </is>
      </c>
      <c r="G481" t="inlineStr">
        <is>
          <t>JÖNKÖPING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63452-2025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46226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63563-2025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46013</v>
      </c>
      <c r="E483" s="1" t="n">
        <v>46226</v>
      </c>
      <c r="F483" t="inlineStr">
        <is>
          <t>JÖNKÖPINGS LÄN</t>
        </is>
      </c>
      <c r="G483" t="inlineStr">
        <is>
          <t>JÖNKÖPING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63119-2025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46009</v>
      </c>
      <c r="E484" s="1" t="n">
        <v>46226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63577-2025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46226</v>
      </c>
      <c r="F485" t="inlineStr">
        <is>
          <t>JÖNKÖPINGS LÄN</t>
        </is>
      </c>
      <c r="G485" t="inlineStr">
        <is>
          <t>JÖNKÖPING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46226</v>
      </c>
      <c r="F486" t="inlineStr">
        <is>
          <t>JÖNKÖPINGS LÄN</t>
        </is>
      </c>
      <c r="G486" t="inlineStr">
        <is>
          <t>JÖNKÖPING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46226</v>
      </c>
      <c r="F487" t="inlineStr">
        <is>
          <t>JÖNKÖPINGS LÄN</t>
        </is>
      </c>
      <c r="G487" t="inlineStr">
        <is>
          <t>JÖNKÖPING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44943</v>
      </c>
      <c r="E488" s="1" t="n">
        <v>46226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45587</v>
      </c>
      <c r="E489" s="1" t="n">
        <v>46226</v>
      </c>
      <c r="F489" t="inlineStr">
        <is>
          <t>JÖNKÖPINGS LÄN</t>
        </is>
      </c>
      <c r="G489" t="inlineStr">
        <is>
          <t>JÖNKÖPING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46226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46226</v>
      </c>
      <c r="F491" t="inlineStr">
        <is>
          <t>JÖNKÖPINGS LÄN</t>
        </is>
      </c>
      <c r="G491" t="inlineStr">
        <is>
          <t>JÖNKÖPING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45883</v>
      </c>
      <c r="E492" s="1" t="n">
        <v>46226</v>
      </c>
      <c r="F492" t="inlineStr">
        <is>
          <t>JÖNKÖPINGS LÄN</t>
        </is>
      </c>
      <c r="G492" t="inlineStr">
        <is>
          <t>JÖNKÖPING</t>
        </is>
      </c>
      <c r="I492" t="n">
        <v>7.4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45883</v>
      </c>
      <c r="E493" s="1" t="n">
        <v>46226</v>
      </c>
      <c r="F493" t="inlineStr">
        <is>
          <t>JÖNKÖPINGS LÄN</t>
        </is>
      </c>
      <c r="G493" t="inlineStr">
        <is>
          <t>JÖNKÖPING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45883</v>
      </c>
      <c r="E494" s="1" t="n">
        <v>46226</v>
      </c>
      <c r="F494" t="inlineStr">
        <is>
          <t>JÖNKÖPINGS LÄN</t>
        </is>
      </c>
      <c r="G494" t="inlineStr">
        <is>
          <t>JÖNKÖPING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45734</v>
      </c>
      <c r="E495" s="1" t="n">
        <v>46226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46226</v>
      </c>
      <c r="F496" t="inlineStr">
        <is>
          <t>JÖNKÖPINGS LÄN</t>
        </is>
      </c>
      <c r="G496" t="inlineStr">
        <is>
          <t>JÖNKÖPING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46226</v>
      </c>
      <c r="F497" t="inlineStr">
        <is>
          <t>JÖNKÖPINGS LÄN</t>
        </is>
      </c>
      <c r="G497" t="inlineStr">
        <is>
          <t>JÖNKÖPING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46026</v>
      </c>
      <c r="E498" s="1" t="n">
        <v>46226</v>
      </c>
      <c r="F498" t="inlineStr">
        <is>
          <t>JÖNKÖPINGS LÄN</t>
        </is>
      </c>
      <c r="G498" t="inlineStr">
        <is>
          <t>JÖNKÖPING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46226</v>
      </c>
      <c r="F499" t="inlineStr">
        <is>
          <t>JÖNKÖPINGS LÄN</t>
        </is>
      </c>
      <c r="G499" t="inlineStr">
        <is>
          <t>JÖNKÖPING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46226</v>
      </c>
      <c r="F500" t="inlineStr">
        <is>
          <t>JÖNKÖPINGS LÄN</t>
        </is>
      </c>
      <c r="G500" t="inlineStr">
        <is>
          <t>JÖNKÖPING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46226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38854-2021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44411</v>
      </c>
      <c r="E502" s="1" t="n">
        <v>46226</v>
      </c>
      <c r="F502" t="inlineStr">
        <is>
          <t>JÖNKÖPINGS LÄN</t>
        </is>
      </c>
      <c r="G502" t="inlineStr">
        <is>
          <t>JÖNKÖPING</t>
        </is>
      </c>
      <c r="I502" t="n">
        <v>10.1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45392</v>
      </c>
      <c r="E503" s="1" t="n">
        <v>46226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46226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45887</v>
      </c>
      <c r="E505" s="1" t="n">
        <v>46226</v>
      </c>
      <c r="F505" t="inlineStr">
        <is>
          <t>JÖNKÖPINGS LÄN</t>
        </is>
      </c>
      <c r="G505" t="inlineStr">
        <is>
          <t>JÖNKÖPING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46226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46226</v>
      </c>
      <c r="F507" t="inlineStr">
        <is>
          <t>JÖNKÖPINGS LÄN</t>
        </is>
      </c>
      <c r="G507" t="inlineStr">
        <is>
          <t>JÖNKÖPING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38962-2025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45887</v>
      </c>
      <c r="E508" s="1" t="n">
        <v>46226</v>
      </c>
      <c r="F508" t="inlineStr">
        <is>
          <t>JÖNKÖPINGS LÄN</t>
        </is>
      </c>
      <c r="G508" t="inlineStr">
        <is>
          <t>JÖNKÖPING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62909-2023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45271</v>
      </c>
      <c r="E509" s="1" t="n">
        <v>46226</v>
      </c>
      <c r="F509" t="inlineStr">
        <is>
          <t>JÖNKÖPINGS LÄN</t>
        </is>
      </c>
      <c r="G509" t="inlineStr">
        <is>
          <t>JÖNKÖPING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46226</v>
      </c>
      <c r="F510" t="inlineStr">
        <is>
          <t>JÖNKÖPINGS LÄN</t>
        </is>
      </c>
      <c r="G510" t="inlineStr">
        <is>
          <t>JÖNKÖPING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38901-2025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45887</v>
      </c>
      <c r="E511" s="1" t="n">
        <v>46226</v>
      </c>
      <c r="F511" t="inlineStr">
        <is>
          <t>JÖNKÖPINGS LÄN</t>
        </is>
      </c>
      <c r="G511" t="inlineStr">
        <is>
          <t>JÖNKÖPING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46226</v>
      </c>
      <c r="F512" t="inlineStr">
        <is>
          <t>JÖNKÖPINGS LÄN</t>
        </is>
      </c>
      <c r="G512" t="inlineStr">
        <is>
          <t>JÖNKÖPING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46226</v>
      </c>
      <c r="F513" t="inlineStr">
        <is>
          <t>JÖNKÖPINGS LÄN</t>
        </is>
      </c>
      <c r="G513" t="inlineStr">
        <is>
          <t>JÖNKÖPING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50173-2023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46226</v>
      </c>
      <c r="F514" t="inlineStr">
        <is>
          <t>JÖNKÖPINGS LÄN</t>
        </is>
      </c>
      <c r="G514" t="inlineStr">
        <is>
          <t>JÖNKÖPING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36189-2022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44803</v>
      </c>
      <c r="E515" s="1" t="n">
        <v>46226</v>
      </c>
      <c r="F515" t="inlineStr">
        <is>
          <t>JÖNKÖPINGS LÄN</t>
        </is>
      </c>
      <c r="G515" t="inlineStr">
        <is>
          <t>JÖNKÖPING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46226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46226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45673</v>
      </c>
      <c r="E518" s="1" t="n">
        <v>46226</v>
      </c>
      <c r="F518" t="inlineStr">
        <is>
          <t>JÖNKÖPINGS LÄN</t>
        </is>
      </c>
      <c r="G518" t="inlineStr">
        <is>
          <t>JÖNKÖPING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46226</v>
      </c>
      <c r="F519" t="inlineStr">
        <is>
          <t>JÖNKÖPINGS LÄN</t>
        </is>
      </c>
      <c r="G519" t="inlineStr">
        <is>
          <t>JÖNKÖPING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46226</v>
      </c>
      <c r="F520" t="inlineStr">
        <is>
          <t>JÖNKÖPINGS LÄN</t>
        </is>
      </c>
      <c r="G520" t="inlineStr">
        <is>
          <t>JÖNKÖPING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3667-2026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46043</v>
      </c>
      <c r="E521" s="1" t="n">
        <v>46226</v>
      </c>
      <c r="F521" t="inlineStr">
        <is>
          <t>JÖNKÖPINGS LÄN</t>
        </is>
      </c>
      <c r="G521" t="inlineStr">
        <is>
          <t>JÖNKÖPING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7425-2026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46059</v>
      </c>
      <c r="E522" s="1" t="n">
        <v>46226</v>
      </c>
      <c r="F522" t="inlineStr">
        <is>
          <t>JÖNKÖPINGS LÄN</t>
        </is>
      </c>
      <c r="G522" t="inlineStr">
        <is>
          <t>JÖNKÖPING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46226</v>
      </c>
      <c r="F523" t="inlineStr">
        <is>
          <t>JÖNKÖPINGS LÄN</t>
        </is>
      </c>
      <c r="G523" t="inlineStr">
        <is>
          <t>JÖNKÖPING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24554-2024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45460</v>
      </c>
      <c r="E524" s="1" t="n">
        <v>46226</v>
      </c>
      <c r="F524" t="inlineStr">
        <is>
          <t>JÖNKÖPINGS LÄN</t>
        </is>
      </c>
      <c r="G524" t="inlineStr">
        <is>
          <t>JÖNKÖPING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46044</v>
      </c>
      <c r="E525" s="1" t="n">
        <v>46226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46044</v>
      </c>
      <c r="E526" s="1" t="n">
        <v>46226</v>
      </c>
      <c r="F526" t="inlineStr">
        <is>
          <t>JÖNKÖPINGS LÄN</t>
        </is>
      </c>
      <c r="G526" t="inlineStr">
        <is>
          <t>JÖNKÖPING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46226</v>
      </c>
      <c r="F527" t="inlineStr">
        <is>
          <t>JÖNKÖPINGS LÄN</t>
        </is>
      </c>
      <c r="G527" t="inlineStr">
        <is>
          <t>JÖNKÖPING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44977</v>
      </c>
      <c r="E528" s="1" t="n">
        <v>46226</v>
      </c>
      <c r="F528" t="inlineStr">
        <is>
          <t>JÖNKÖPINGS LÄN</t>
        </is>
      </c>
      <c r="G528" t="inlineStr">
        <is>
          <t>JÖNKÖPING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46226</v>
      </c>
      <c r="F529" t="inlineStr">
        <is>
          <t>JÖNKÖPINGS LÄN</t>
        </is>
      </c>
      <c r="G529" t="inlineStr">
        <is>
          <t>JÖNKÖPING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46226</v>
      </c>
      <c r="F530" t="inlineStr">
        <is>
          <t>JÖNKÖPINGS LÄN</t>
        </is>
      </c>
      <c r="G530" t="inlineStr">
        <is>
          <t>JÖNKÖPING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26378-2022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44735</v>
      </c>
      <c r="E531" s="1" t="n">
        <v>46226</v>
      </c>
      <c r="F531" t="inlineStr">
        <is>
          <t>JÖNKÖPINGS LÄN</t>
        </is>
      </c>
      <c r="G531" t="inlineStr">
        <is>
          <t>JÖNKÖPING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45034</v>
      </c>
      <c r="E532" s="1" t="n">
        <v>46226</v>
      </c>
      <c r="F532" t="inlineStr">
        <is>
          <t>JÖNKÖPINGS LÄN</t>
        </is>
      </c>
      <c r="G532" t="inlineStr">
        <is>
          <t>JÖNKÖPING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46226</v>
      </c>
      <c r="F533" t="inlineStr">
        <is>
          <t>JÖNKÖPINGS LÄN</t>
        </is>
      </c>
      <c r="G533" t="inlineStr">
        <is>
          <t>JÖNKÖPING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46226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46226</v>
      </c>
      <c r="F535" t="inlineStr">
        <is>
          <t>JÖNKÖPINGS LÄN</t>
        </is>
      </c>
      <c r="G535" t="inlineStr">
        <is>
          <t>JÖNKÖPING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46226</v>
      </c>
      <c r="F536" t="inlineStr">
        <is>
          <t>JÖNKÖPINGS LÄN</t>
        </is>
      </c>
      <c r="G536" t="inlineStr">
        <is>
          <t>JÖNKÖPING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46226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46226</v>
      </c>
      <c r="F538" t="inlineStr">
        <is>
          <t>JÖNKÖPINGS LÄN</t>
        </is>
      </c>
      <c r="G538" t="inlineStr">
        <is>
          <t>JÖNKÖPING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4805-2026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46048</v>
      </c>
      <c r="E539" s="1" t="n">
        <v>46226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26896-2024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45470</v>
      </c>
      <c r="E540" s="1" t="n">
        <v>46226</v>
      </c>
      <c r="F540" t="inlineStr">
        <is>
          <t>JÖNKÖPINGS LÄN</t>
        </is>
      </c>
      <c r="G540" t="inlineStr">
        <is>
          <t>JÖNKÖPING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46226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Övriga Aktiebolag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53256-2021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44468</v>
      </c>
      <c r="E542" s="1" t="n">
        <v>46226</v>
      </c>
      <c r="F542" t="inlineStr">
        <is>
          <t>JÖNKÖPINGS LÄN</t>
        </is>
      </c>
      <c r="G542" t="inlineStr">
        <is>
          <t>JÖNKÖPING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45349</v>
      </c>
      <c r="E543" s="1" t="n">
        <v>46226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46050</v>
      </c>
      <c r="E544" s="1" t="n">
        <v>46226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46226</v>
      </c>
      <c r="F545" t="inlineStr">
        <is>
          <t>JÖNKÖPINGS LÄN</t>
        </is>
      </c>
      <c r="G545" t="inlineStr">
        <is>
          <t>JÖNKÖPING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42838-2023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45182</v>
      </c>
      <c r="E546" s="1" t="n">
        <v>46226</v>
      </c>
      <c r="F546" t="inlineStr">
        <is>
          <t>JÖNKÖPINGS LÄN</t>
        </is>
      </c>
      <c r="G546" t="inlineStr">
        <is>
          <t>JÖNKÖPING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46226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46226</v>
      </c>
      <c r="F548" t="inlineStr">
        <is>
          <t>JÖNKÖPINGS LÄN</t>
        </is>
      </c>
      <c r="G548" t="inlineStr">
        <is>
          <t>JÖNKÖPING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46226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45763</v>
      </c>
      <c r="E550" s="1" t="n">
        <v>46226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46226</v>
      </c>
      <c r="F551" t="inlineStr">
        <is>
          <t>JÖNKÖPINGS LÄN</t>
        </is>
      </c>
      <c r="G551" t="inlineStr">
        <is>
          <t>JÖNKÖPING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45646</v>
      </c>
      <c r="E552" s="1" t="n">
        <v>46226</v>
      </c>
      <c r="F552" t="inlineStr">
        <is>
          <t>JÖNKÖPINGS LÄN</t>
        </is>
      </c>
      <c r="G552" t="inlineStr">
        <is>
          <t>JÖNKÖPING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46226</v>
      </c>
      <c r="F553" t="inlineStr">
        <is>
          <t>JÖNKÖPINGS LÄN</t>
        </is>
      </c>
      <c r="G553" t="inlineStr">
        <is>
          <t>JÖNKÖPING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46226</v>
      </c>
      <c r="F554" t="inlineStr">
        <is>
          <t>JÖNKÖPINGS LÄN</t>
        </is>
      </c>
      <c r="G554" t="inlineStr">
        <is>
          <t>JÖNKÖPING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44704</v>
      </c>
      <c r="E555" s="1" t="n">
        <v>46226</v>
      </c>
      <c r="F555" t="inlineStr">
        <is>
          <t>JÖNKÖPINGS LÄN</t>
        </is>
      </c>
      <c r="G555" t="inlineStr">
        <is>
          <t>JÖNKÖPING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45401</v>
      </c>
      <c r="E556" s="1" t="n">
        <v>46226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Kommuner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29112-2026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46201</v>
      </c>
      <c r="E557" s="1" t="n">
        <v>46226</v>
      </c>
      <c r="F557" t="inlineStr">
        <is>
          <t>JÖNKÖPINGS LÄN</t>
        </is>
      </c>
      <c r="G557" t="inlineStr">
        <is>
          <t>JÖNKÖPING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46201</v>
      </c>
      <c r="E558" s="1" t="n">
        <v>46226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45414</v>
      </c>
      <c r="E559" s="1" t="n">
        <v>46226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17819-2025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46226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46201</v>
      </c>
      <c r="E561" s="1" t="n">
        <v>46226</v>
      </c>
      <c r="F561" t="inlineStr">
        <is>
          <t>JÖNKÖPINGS LÄN</t>
        </is>
      </c>
      <c r="G561" t="inlineStr">
        <is>
          <t>JÖNKÖPING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46203</v>
      </c>
      <c r="E562" s="1" t="n">
        <v>46226</v>
      </c>
      <c r="F562" t="inlineStr">
        <is>
          <t>JÖNKÖPINGS LÄN</t>
        </is>
      </c>
      <c r="G562" t="inlineStr">
        <is>
          <t>JÖNKÖPING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29292-2026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46197</v>
      </c>
      <c r="E563" s="1" t="n">
        <v>46226</v>
      </c>
      <c r="F563" t="inlineStr">
        <is>
          <t>JÖNKÖPINGS LÄN</t>
        </is>
      </c>
      <c r="G563" t="inlineStr">
        <is>
          <t>JÖNKÖPING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23248-2026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46226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46623-2023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45198</v>
      </c>
      <c r="E565" s="1" t="n">
        <v>46226</v>
      </c>
      <c r="F565" t="inlineStr">
        <is>
          <t>JÖNKÖPINGS LÄN</t>
        </is>
      </c>
      <c r="G565" t="inlineStr">
        <is>
          <t>JÖNKÖPING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46628-2023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45198</v>
      </c>
      <c r="E566" s="1" t="n">
        <v>46226</v>
      </c>
      <c r="F566" t="inlineStr">
        <is>
          <t>JÖNKÖPINGS LÄN</t>
        </is>
      </c>
      <c r="G566" t="inlineStr">
        <is>
          <t>JÖNKÖPING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74117-2021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44557</v>
      </c>
      <c r="E567" s="1" t="n">
        <v>46226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44886</v>
      </c>
      <c r="E568" s="1" t="n">
        <v>46226</v>
      </c>
      <c r="F568" t="inlineStr">
        <is>
          <t>JÖNKÖPINGS LÄN</t>
        </is>
      </c>
      <c r="G568" t="inlineStr">
        <is>
          <t>JÖNKÖPING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46226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44658</v>
      </c>
      <c r="E570" s="1" t="n">
        <v>46226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45303</v>
      </c>
      <c r="E571" s="1" t="n">
        <v>46226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46226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45920-2024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45580</v>
      </c>
      <c r="E573" s="1" t="n">
        <v>46226</v>
      </c>
      <c r="F573" t="inlineStr">
        <is>
          <t>JÖNKÖPINGS LÄN</t>
        </is>
      </c>
      <c r="G573" t="inlineStr">
        <is>
          <t>JÖNKÖPING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73003-2021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44550</v>
      </c>
      <c r="E574" s="1" t="n">
        <v>46226</v>
      </c>
      <c r="F574" t="inlineStr">
        <is>
          <t>JÖNKÖPINGS LÄN</t>
        </is>
      </c>
      <c r="G574" t="inlineStr">
        <is>
          <t>JÖNKÖPING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46226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45455</v>
      </c>
      <c r="E576" s="1" t="n">
        <v>46226</v>
      </c>
      <c r="F576" t="inlineStr">
        <is>
          <t>JÖNKÖPINGS LÄN</t>
        </is>
      </c>
      <c r="G576" t="inlineStr">
        <is>
          <t>JÖNKÖPING</t>
        </is>
      </c>
      <c r="H576" t="inlineStr">
        <is>
          <t>Sveaskog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45130</v>
      </c>
      <c r="E577" s="1" t="n">
        <v>46226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45477</v>
      </c>
      <c r="E578" s="1" t="n">
        <v>46226</v>
      </c>
      <c r="F578" t="inlineStr">
        <is>
          <t>JÖNKÖPINGS LÄN</t>
        </is>
      </c>
      <c r="G578" t="inlineStr">
        <is>
          <t>JÖNKÖPING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38917-2024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46226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45112</v>
      </c>
      <c r="E580" s="1" t="n">
        <v>46226</v>
      </c>
      <c r="F580" t="inlineStr">
        <is>
          <t>JÖNKÖPINGS LÄN</t>
        </is>
      </c>
      <c r="G580" t="inlineStr">
        <is>
          <t>JÖNKÖPING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45112</v>
      </c>
      <c r="E581" s="1" t="n">
        <v>46226</v>
      </c>
      <c r="F581" t="inlineStr">
        <is>
          <t>JÖNKÖPINGS LÄN</t>
        </is>
      </c>
      <c r="G581" t="inlineStr">
        <is>
          <t>JÖNKÖPING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46226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46226</v>
      </c>
      <c r="F583" t="inlineStr">
        <is>
          <t>JÖNKÖPINGS LÄN</t>
        </is>
      </c>
      <c r="G583" t="inlineStr">
        <is>
          <t>JÖNKÖPING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40609-2024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45557</v>
      </c>
      <c r="E584" s="1" t="n">
        <v>46226</v>
      </c>
      <c r="F584" t="inlineStr">
        <is>
          <t>JÖNKÖPINGS LÄN</t>
        </is>
      </c>
      <c r="G584" t="inlineStr">
        <is>
          <t>JÖNKÖPING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46226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44614</v>
      </c>
      <c r="E586" s="1" t="n">
        <v>46226</v>
      </c>
      <c r="F586" t="inlineStr">
        <is>
          <t>JÖNKÖPINGS LÄN</t>
        </is>
      </c>
      <c r="G586" t="inlineStr">
        <is>
          <t>JÖNKÖPING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46226</v>
      </c>
      <c r="F587" t="inlineStr">
        <is>
          <t>JÖNKÖPINGS LÄN</t>
        </is>
      </c>
      <c r="G587" t="inlineStr">
        <is>
          <t>JÖNKÖPING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25079-2024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46226</v>
      </c>
      <c r="F588" t="inlineStr">
        <is>
          <t>JÖNKÖPINGS LÄN</t>
        </is>
      </c>
      <c r="G588" t="inlineStr">
        <is>
          <t>JÖNKÖPING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44861</v>
      </c>
      <c r="E589" s="1" t="n">
        <v>46226</v>
      </c>
      <c r="F589" t="inlineStr">
        <is>
          <t>JÖNKÖPINGS LÄN</t>
        </is>
      </c>
      <c r="G589" t="inlineStr">
        <is>
          <t>JÖNKÖPING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46226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30287-2026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46226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46226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45324</v>
      </c>
      <c r="E593" s="1" t="n">
        <v>46226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Kyrkan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46226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62577-2023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45270</v>
      </c>
      <c r="E595" s="1" t="n">
        <v>46226</v>
      </c>
      <c r="F595" t="inlineStr">
        <is>
          <t>JÖNKÖPINGS LÄN</t>
        </is>
      </c>
      <c r="G595" t="inlineStr">
        <is>
          <t>JÖNKÖPING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45179</v>
      </c>
      <c r="E596" s="1" t="n">
        <v>46226</v>
      </c>
      <c r="F596" t="inlineStr">
        <is>
          <t>JÖNKÖPINGS LÄN</t>
        </is>
      </c>
      <c r="G596" t="inlineStr">
        <is>
          <t>JÖNKÖPING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63176-2021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44507</v>
      </c>
      <c r="E597" s="1" t="n">
        <v>46226</v>
      </c>
      <c r="F597" t="inlineStr">
        <is>
          <t>JÖNKÖPINGS LÄN</t>
        </is>
      </c>
      <c r="G597" t="inlineStr">
        <is>
          <t>JÖNKÖPING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46226</v>
      </c>
      <c r="F598" t="inlineStr">
        <is>
          <t>JÖNKÖPINGS LÄN</t>
        </is>
      </c>
      <c r="G598" t="inlineStr">
        <is>
          <t>JÖNKÖPING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46226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24114-2026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46226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46226</v>
      </c>
      <c r="F601" t="inlineStr">
        <is>
          <t>JÖNKÖPINGS LÄN</t>
        </is>
      </c>
      <c r="G601" t="inlineStr">
        <is>
          <t>JÖNKÖPING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46211</v>
      </c>
      <c r="E602" s="1" t="n">
        <v>46226</v>
      </c>
      <c r="F602" t="inlineStr">
        <is>
          <t>JÖNKÖPINGS LÄN</t>
        </is>
      </c>
      <c r="G602" t="inlineStr">
        <is>
          <t>JÖNKÖPING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46226</v>
      </c>
      <c r="F603" t="inlineStr">
        <is>
          <t>JÖNKÖPINGS LÄN</t>
        </is>
      </c>
      <c r="G603" t="inlineStr">
        <is>
          <t>JÖNKÖPING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46226</v>
      </c>
      <c r="F604" t="inlineStr">
        <is>
          <t>JÖNKÖPINGS LÄN</t>
        </is>
      </c>
      <c r="G604" t="inlineStr">
        <is>
          <t>JÖNKÖPING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24422-2026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46168</v>
      </c>
      <c r="E605" s="1" t="n">
        <v>46226</v>
      </c>
      <c r="F605" t="inlineStr">
        <is>
          <t>JÖNKÖPINGS LÄN</t>
        </is>
      </c>
      <c r="G605" t="inlineStr">
        <is>
          <t>JÖNKÖPING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54899-2024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45618</v>
      </c>
      <c r="E606" s="1" t="n">
        <v>46226</v>
      </c>
      <c r="F606" t="inlineStr">
        <is>
          <t>JÖNKÖPINGS LÄN</t>
        </is>
      </c>
      <c r="G606" t="inlineStr">
        <is>
          <t>JÖNKÖPING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46226</v>
      </c>
      <c r="F607" t="inlineStr">
        <is>
          <t>JÖNKÖPINGS LÄN</t>
        </is>
      </c>
      <c r="G607" t="inlineStr">
        <is>
          <t>JÖNKÖPING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46211</v>
      </c>
      <c r="E608" s="1" t="n">
        <v>46226</v>
      </c>
      <c r="F608" t="inlineStr">
        <is>
          <t>JÖNKÖPINGS LÄN</t>
        </is>
      </c>
      <c r="G608" t="inlineStr">
        <is>
          <t>JÖNKÖPING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46226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30734-2026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46226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45275</v>
      </c>
      <c r="E611" s="1" t="n">
        <v>46226</v>
      </c>
      <c r="F611" t="inlineStr">
        <is>
          <t>JÖNKÖPINGS LÄN</t>
        </is>
      </c>
      <c r="G611" t="inlineStr">
        <is>
          <t>JÖNKÖPING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30617-2026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46211</v>
      </c>
      <c r="E612" s="1" t="n">
        <v>46226</v>
      </c>
      <c r="F612" t="inlineStr">
        <is>
          <t>JÖNKÖPINGS LÄN</t>
        </is>
      </c>
      <c r="G612" t="inlineStr">
        <is>
          <t>JÖNKÖPING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46170</v>
      </c>
      <c r="E613" s="1" t="n">
        <v>46226</v>
      </c>
      <c r="F613" t="inlineStr">
        <is>
          <t>JÖNKÖPINGS LÄN</t>
        </is>
      </c>
      <c r="G613" t="inlineStr">
        <is>
          <t>JÖNKÖPING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46212</v>
      </c>
      <c r="E614" s="1" t="n">
        <v>46226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46226</v>
      </c>
      <c r="F615" t="inlineStr">
        <is>
          <t>JÖNKÖPINGS LÄN</t>
        </is>
      </c>
      <c r="G615" t="inlineStr">
        <is>
          <t>JÖNKÖPING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46212</v>
      </c>
      <c r="E616" s="1" t="n">
        <v>46226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46212</v>
      </c>
      <c r="E617" s="1" t="n">
        <v>46226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44936</v>
      </c>
      <c r="E618" s="1" t="n">
        <v>46226</v>
      </c>
      <c r="F618" t="inlineStr">
        <is>
          <t>JÖNKÖPINGS LÄN</t>
        </is>
      </c>
      <c r="G618" t="inlineStr">
        <is>
          <t>JÖNKÖPING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36944-2024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45538</v>
      </c>
      <c r="E619" s="1" t="n">
        <v>46226</v>
      </c>
      <c r="F619" t="inlineStr">
        <is>
          <t>JÖNKÖPINGS LÄN</t>
        </is>
      </c>
      <c r="G619" t="inlineStr">
        <is>
          <t>JÖNKÖPING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24536-2026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46226</v>
      </c>
      <c r="F620" t="inlineStr">
        <is>
          <t>JÖNKÖPINGS LÄN</t>
        </is>
      </c>
      <c r="G620" t="inlineStr">
        <is>
          <t>JÖNKÖPING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46226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46226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11039-2022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44628</v>
      </c>
      <c r="E623" s="1" t="n">
        <v>46226</v>
      </c>
      <c r="F623" t="inlineStr">
        <is>
          <t>JÖNKÖPINGS LÄN</t>
        </is>
      </c>
      <c r="G623" t="inlineStr">
        <is>
          <t>JÖNKÖPING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45302</v>
      </c>
      <c r="E624" s="1" t="n">
        <v>46226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909-2024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45300</v>
      </c>
      <c r="E625" s="1" t="n">
        <v>46226</v>
      </c>
      <c r="F625" t="inlineStr">
        <is>
          <t>JÖNKÖPINGS LÄN</t>
        </is>
      </c>
      <c r="G625" t="inlineStr">
        <is>
          <t>JÖNKÖPING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45412</v>
      </c>
      <c r="E626" s="1" t="n">
        <v>46226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Övriga Aktiebolag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46226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8.300000000000001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46226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42818-2023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45182</v>
      </c>
      <c r="E629" s="1" t="n">
        <v>46226</v>
      </c>
      <c r="F629" t="inlineStr">
        <is>
          <t>JÖNKÖPINGS LÄN</t>
        </is>
      </c>
      <c r="G629" t="inlineStr">
        <is>
          <t>JÖNKÖPING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62263-2023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46226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18846-2025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45764</v>
      </c>
      <c r="E631" s="1" t="n">
        <v>46226</v>
      </c>
      <c r="F631" t="inlineStr">
        <is>
          <t>JÖNKÖPINGS LÄN</t>
        </is>
      </c>
      <c r="G631" t="inlineStr">
        <is>
          <t>JÖNKÖPING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36180-2023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46226</v>
      </c>
      <c r="F632" t="inlineStr">
        <is>
          <t>JÖNKÖPINGS LÄN</t>
        </is>
      </c>
      <c r="G632" t="inlineStr">
        <is>
          <t>JÖNKÖPING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44943</v>
      </c>
      <c r="E633" s="1" t="n">
        <v>46226</v>
      </c>
      <c r="F633" t="inlineStr">
        <is>
          <t>JÖNKÖPINGS LÄN</t>
        </is>
      </c>
      <c r="G633" t="inlineStr">
        <is>
          <t>JÖNKÖPING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53936-2024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45615</v>
      </c>
      <c r="E634" s="1" t="n">
        <v>46226</v>
      </c>
      <c r="F634" t="inlineStr">
        <is>
          <t>JÖNKÖPINGS LÄN</t>
        </is>
      </c>
      <c r="G634" t="inlineStr">
        <is>
          <t>JÖNKÖPING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53938-2024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45615</v>
      </c>
      <c r="E635" s="1" t="n">
        <v>46226</v>
      </c>
      <c r="F635" t="inlineStr">
        <is>
          <t>JÖNKÖPINGS LÄN</t>
        </is>
      </c>
      <c r="G635" t="inlineStr">
        <is>
          <t>JÖNKÖPING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34024-2024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45523</v>
      </c>
      <c r="E636" s="1" t="n">
        <v>46226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46219</v>
      </c>
      <c r="E637" s="1" t="n">
        <v>46226</v>
      </c>
      <c r="F637" t="inlineStr">
        <is>
          <t>JÖNKÖPINGS LÄN</t>
        </is>
      </c>
      <c r="G637" t="inlineStr">
        <is>
          <t>JÖNKÖPING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47009-2025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45929</v>
      </c>
      <c r="E638" s="1" t="n">
        <v>46226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31368-2026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46219</v>
      </c>
      <c r="E639" s="1" t="n">
        <v>46226</v>
      </c>
      <c r="F639" t="inlineStr">
        <is>
          <t>JÖNKÖPINGS LÄN</t>
        </is>
      </c>
      <c r="G639" t="inlineStr">
        <is>
          <t>JÖNKÖPING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48038-2021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44449</v>
      </c>
      <c r="E640" s="1" t="n">
        <v>46226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64650-2023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45281</v>
      </c>
      <c r="E641" s="1" t="n">
        <v>46226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44944</v>
      </c>
      <c r="E642" s="1" t="n">
        <v>46226</v>
      </c>
      <c r="F642" t="inlineStr">
        <is>
          <t>JÖNKÖPINGS LÄN</t>
        </is>
      </c>
      <c r="G642" t="inlineStr">
        <is>
          <t>JÖNKÖPING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8931-2022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44614</v>
      </c>
      <c r="E643" s="1" t="n">
        <v>46226</v>
      </c>
      <c r="F643" t="inlineStr">
        <is>
          <t>JÖNKÖPINGS LÄN</t>
        </is>
      </c>
      <c r="G643" t="inlineStr">
        <is>
          <t>JÖNKÖPING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25067-2022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44729</v>
      </c>
      <c r="E644" s="1" t="n">
        <v>46226</v>
      </c>
      <c r="F644" t="inlineStr">
        <is>
          <t>JÖNKÖPINGS LÄN</t>
        </is>
      </c>
      <c r="G644" t="inlineStr">
        <is>
          <t>JÖNKÖPING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46226</v>
      </c>
      <c r="F645" t="inlineStr">
        <is>
          <t>JÖNKÖPINGS LÄN</t>
        </is>
      </c>
      <c r="G645" t="inlineStr">
        <is>
          <t>JÖNKÖPING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13632-2022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44648</v>
      </c>
      <c r="E646" s="1" t="n">
        <v>46226</v>
      </c>
      <c r="F646" t="inlineStr">
        <is>
          <t>JÖNKÖPINGS LÄN</t>
        </is>
      </c>
      <c r="G646" t="inlineStr">
        <is>
          <t>JÖNKÖPING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42047-2023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45177</v>
      </c>
      <c r="E647" s="1" t="n">
        <v>46226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46226</v>
      </c>
      <c r="F648" t="inlineStr">
        <is>
          <t>JÖNKÖPINGS LÄN</t>
        </is>
      </c>
      <c r="G648" t="inlineStr">
        <is>
          <t>JÖNKÖPING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44938</v>
      </c>
      <c r="E649" s="1" t="n">
        <v>46226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Kyrkan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47740-2024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45588</v>
      </c>
      <c r="E650" s="1" t="n">
        <v>46226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14566-2022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44655</v>
      </c>
      <c r="E651" s="1" t="n">
        <v>46226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46182</v>
      </c>
      <c r="E652" s="1" t="n">
        <v>46226</v>
      </c>
      <c r="F652" t="inlineStr">
        <is>
          <t>JÖNKÖPINGS LÄN</t>
        </is>
      </c>
      <c r="G652" t="inlineStr">
        <is>
          <t>JÖNKÖPING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31405-2026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46220</v>
      </c>
      <c r="E653" s="1" t="n">
        <v>46226</v>
      </c>
      <c r="F653" t="inlineStr">
        <is>
          <t>JÖNKÖPINGS LÄN</t>
        </is>
      </c>
      <c r="G653" t="inlineStr">
        <is>
          <t>JÖNKÖPING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44106-2022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44839</v>
      </c>
      <c r="E654" s="1" t="n">
        <v>46226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46226</v>
      </c>
      <c r="F655" t="inlineStr">
        <is>
          <t>JÖNKÖPINGS LÄN</t>
        </is>
      </c>
      <c r="G655" t="inlineStr">
        <is>
          <t>JÖNKÖPING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56599-2022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44893</v>
      </c>
      <c r="E656" s="1" t="n">
        <v>46226</v>
      </c>
      <c r="F656" t="inlineStr">
        <is>
          <t>JÖNKÖPINGS LÄN</t>
        </is>
      </c>
      <c r="G656" t="inlineStr">
        <is>
          <t>JÖNKÖPING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45363</v>
      </c>
      <c r="E657" s="1" t="n">
        <v>46226</v>
      </c>
      <c r="F657" t="inlineStr">
        <is>
          <t>JÖNKÖPINGS LÄN</t>
        </is>
      </c>
      <c r="G657" t="inlineStr">
        <is>
          <t>JÖNKÖPING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2650-2024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45314</v>
      </c>
      <c r="E658" s="1" t="n">
        <v>46226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57719-2021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46226</v>
      </c>
      <c r="F659" t="inlineStr">
        <is>
          <t>JÖNKÖPINGS LÄN</t>
        </is>
      </c>
      <c r="G659" t="inlineStr">
        <is>
          <t>JÖNKÖPING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52812-2023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45226</v>
      </c>
      <c r="E660" s="1" t="n">
        <v>46226</v>
      </c>
      <c r="F660" t="inlineStr">
        <is>
          <t>JÖNKÖPINGS LÄN</t>
        </is>
      </c>
      <c r="G660" t="inlineStr">
        <is>
          <t>JÖNKÖPING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4505-2022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44589</v>
      </c>
      <c r="E661" s="1" t="n">
        <v>46226</v>
      </c>
      <c r="F661" t="inlineStr">
        <is>
          <t>JÖNKÖPINGS LÄN</t>
        </is>
      </c>
      <c r="G661" t="inlineStr">
        <is>
          <t>JÖNKÖPING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44578</v>
      </c>
      <c r="E662" s="1" t="n">
        <v>46226</v>
      </c>
      <c r="F662" t="inlineStr">
        <is>
          <t>JÖNKÖPINGS LÄN</t>
        </is>
      </c>
      <c r="G662" t="inlineStr">
        <is>
          <t>JÖNKÖPING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47569-2024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45587</v>
      </c>
      <c r="E663" s="1" t="n">
        <v>46226</v>
      </c>
      <c r="F663" t="inlineStr">
        <is>
          <t>JÖNKÖPINGS LÄN</t>
        </is>
      </c>
      <c r="G663" t="inlineStr">
        <is>
          <t>JÖNKÖPING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36619-2022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44804</v>
      </c>
      <c r="E664" s="1" t="n">
        <v>46226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18729-2023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46226</v>
      </c>
      <c r="F665" t="inlineStr">
        <is>
          <t>JÖNKÖPINGS LÄN</t>
        </is>
      </c>
      <c r="G665" t="inlineStr">
        <is>
          <t>JÖNKÖPING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30872-2023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45113</v>
      </c>
      <c r="E666" s="1" t="n">
        <v>46226</v>
      </c>
      <c r="F666" t="inlineStr">
        <is>
          <t>JÖNKÖPINGS LÄN</t>
        </is>
      </c>
      <c r="G666" t="inlineStr">
        <is>
          <t>JÖNKÖPING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6897-2025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45701</v>
      </c>
      <c r="E667" s="1" t="n">
        <v>46226</v>
      </c>
      <c r="F667" t="inlineStr">
        <is>
          <t>JÖNKÖPINGS LÄN</t>
        </is>
      </c>
      <c r="G667" t="inlineStr">
        <is>
          <t>JÖNKÖPING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60822-2024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45644</v>
      </c>
      <c r="E668" s="1" t="n">
        <v>46226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44608</v>
      </c>
      <c r="E669" s="1" t="n">
        <v>46226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26206-2022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44734</v>
      </c>
      <c r="E670" s="1" t="n">
        <v>46226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Kyrkan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26213-2022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44734</v>
      </c>
      <c r="E671" s="1" t="n">
        <v>46226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Kyrkan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59318-2022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44904</v>
      </c>
      <c r="E672" s="1" t="n">
        <v>46226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46321-2023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45197</v>
      </c>
      <c r="E673" s="1" t="n">
        <v>46226</v>
      </c>
      <c r="F673" t="inlineStr">
        <is>
          <t>JÖNKÖPINGS LÄN</t>
        </is>
      </c>
      <c r="G673" t="inlineStr">
        <is>
          <t>JÖNKÖPING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3749-2024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45321</v>
      </c>
      <c r="E674" s="1" t="n">
        <v>46226</v>
      </c>
      <c r="F674" t="inlineStr">
        <is>
          <t>JÖNKÖPINGS LÄN</t>
        </is>
      </c>
      <c r="G674" t="inlineStr">
        <is>
          <t>JÖNKÖPING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18574-2023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46226</v>
      </c>
      <c r="F675" t="inlineStr">
        <is>
          <t>JÖNKÖPINGS LÄN</t>
        </is>
      </c>
      <c r="G675" t="inlineStr">
        <is>
          <t>JÖNKÖPING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38258-2024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45545</v>
      </c>
      <c r="E676" s="1" t="n">
        <v>46226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21924-2022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44711</v>
      </c>
      <c r="E677" s="1" t="n">
        <v>46226</v>
      </c>
      <c r="F677" t="inlineStr">
        <is>
          <t>JÖNKÖPINGS LÄN</t>
        </is>
      </c>
      <c r="G677" t="inlineStr">
        <is>
          <t>JÖNKÖPING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28305-2024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45477</v>
      </c>
      <c r="E678" s="1" t="n">
        <v>46226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28307-2024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45477</v>
      </c>
      <c r="E679" s="1" t="n">
        <v>46226</v>
      </c>
      <c r="F679" t="inlineStr">
        <is>
          <t>JÖNKÖPINGS LÄN</t>
        </is>
      </c>
      <c r="G679" t="inlineStr">
        <is>
          <t>JÖNKÖPING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45299</v>
      </c>
      <c r="E680" s="1" t="n">
        <v>46226</v>
      </c>
      <c r="F680" t="inlineStr">
        <is>
          <t>JÖNKÖPINGS LÄN</t>
        </is>
      </c>
      <c r="G680" t="inlineStr">
        <is>
          <t>JÖNKÖPING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12301-2023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44998</v>
      </c>
      <c r="E681" s="1" t="n">
        <v>46226</v>
      </c>
      <c r="F681" t="inlineStr">
        <is>
          <t>JÖNKÖPINGS LÄN</t>
        </is>
      </c>
      <c r="G681" t="inlineStr">
        <is>
          <t>JÖNKÖPING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45175</v>
      </c>
      <c r="E682" s="1" t="n">
        <v>46226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33492-2023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45118</v>
      </c>
      <c r="E683" s="1" t="n">
        <v>46226</v>
      </c>
      <c r="F683" t="inlineStr">
        <is>
          <t>JÖNKÖPINGS LÄN</t>
        </is>
      </c>
      <c r="G683" t="inlineStr">
        <is>
          <t>JÖNKÖPING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4577-2022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44591</v>
      </c>
      <c r="E684" s="1" t="n">
        <v>46226</v>
      </c>
      <c r="F684" t="inlineStr">
        <is>
          <t>JÖNKÖPINGS LÄN</t>
        </is>
      </c>
      <c r="G684" t="inlineStr">
        <is>
          <t>JÖNKÖPING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8262-2025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45708</v>
      </c>
      <c r="E685" s="1" t="n">
        <v>46226</v>
      </c>
      <c r="F685" t="inlineStr">
        <is>
          <t>JÖNKÖPINGS LÄN</t>
        </is>
      </c>
      <c r="G685" t="inlineStr">
        <is>
          <t>JÖNKÖPING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49343-2023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45211</v>
      </c>
      <c r="E686" s="1" t="n">
        <v>46226</v>
      </c>
      <c r="F686" t="inlineStr">
        <is>
          <t>JÖNKÖPINGS LÄN</t>
        </is>
      </c>
      <c r="G686" t="inlineStr">
        <is>
          <t>JÖNKÖPING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30585-2023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45112</v>
      </c>
      <c r="E687" s="1" t="n">
        <v>46226</v>
      </c>
      <c r="F687" t="inlineStr">
        <is>
          <t>JÖNKÖPINGS LÄN</t>
        </is>
      </c>
      <c r="G687" t="inlineStr">
        <is>
          <t>JÖNKÖPING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11801-2024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45375</v>
      </c>
      <c r="E688" s="1" t="n">
        <v>46226</v>
      </c>
      <c r="F688" t="inlineStr">
        <is>
          <t>JÖNKÖPINGS LÄN</t>
        </is>
      </c>
      <c r="G688" t="inlineStr">
        <is>
          <t>JÖNKÖPING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37498-2024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46226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48305-2022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44853</v>
      </c>
      <c r="E690" s="1" t="n">
        <v>46226</v>
      </c>
      <c r="F690" t="inlineStr">
        <is>
          <t>JÖNKÖPINGS LÄN</t>
        </is>
      </c>
      <c r="G690" t="inlineStr">
        <is>
          <t>JÖNKÖPING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45492</v>
      </c>
      <c r="E691" s="1" t="n">
        <v>46226</v>
      </c>
      <c r="F691" t="inlineStr">
        <is>
          <t>JÖNKÖPINGS LÄN</t>
        </is>
      </c>
      <c r="G691" t="inlineStr">
        <is>
          <t>JÖNKÖPING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46226</v>
      </c>
      <c r="F692" t="inlineStr">
        <is>
          <t>JÖNKÖPINGS LÄN</t>
        </is>
      </c>
      <c r="G692" t="inlineStr">
        <is>
          <t>JÖNKÖPING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45477</v>
      </c>
      <c r="E693" s="1" t="n">
        <v>46226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28234-2024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45477</v>
      </c>
      <c r="E694" s="1" t="n">
        <v>46226</v>
      </c>
      <c r="F694" t="inlineStr">
        <is>
          <t>JÖNKÖPINGS LÄN</t>
        </is>
      </c>
      <c r="G694" t="inlineStr">
        <is>
          <t>JÖNKÖPING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45359</v>
      </c>
      <c r="E695" s="1" t="n">
        <v>46226</v>
      </c>
      <c r="F695" t="inlineStr">
        <is>
          <t>JÖNKÖPINGS LÄN</t>
        </is>
      </c>
      <c r="G695" t="inlineStr">
        <is>
          <t>JÖNKÖPING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56441-2023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45243</v>
      </c>
      <c r="E696" s="1" t="n">
        <v>46226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Övriga Aktiebolag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44697-2023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45184</v>
      </c>
      <c r="E697" s="1" t="n">
        <v>46226</v>
      </c>
      <c r="F697" t="inlineStr">
        <is>
          <t>JÖNKÖPINGS LÄN</t>
        </is>
      </c>
      <c r="G697" t="inlineStr">
        <is>
          <t>JÖNKÖPING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44950</v>
      </c>
      <c r="E698" s="1" t="n">
        <v>46226</v>
      </c>
      <c r="F698" t="inlineStr">
        <is>
          <t>JÖNKÖPINGS LÄN</t>
        </is>
      </c>
      <c r="G698" t="inlineStr">
        <is>
          <t>JÖNKÖPING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3522-2023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44950</v>
      </c>
      <c r="E699" s="1" t="n">
        <v>46226</v>
      </c>
      <c r="F699" t="inlineStr">
        <is>
          <t>JÖNKÖPINGS LÄN</t>
        </is>
      </c>
      <c r="G699" t="inlineStr">
        <is>
          <t>JÖNKÖPING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44930</v>
      </c>
      <c r="E700" s="1" t="n">
        <v>46226</v>
      </c>
      <c r="F700" t="inlineStr">
        <is>
          <t>JÖNKÖPINGS LÄN</t>
        </is>
      </c>
      <c r="G700" t="inlineStr">
        <is>
          <t>JÖNKÖPING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35451-2024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45531</v>
      </c>
      <c r="E701" s="1" t="n">
        <v>46226</v>
      </c>
      <c r="F701" t="inlineStr">
        <is>
          <t>JÖNKÖPINGS LÄN</t>
        </is>
      </c>
      <c r="G701" t="inlineStr">
        <is>
          <t>JÖNKÖPING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17384-2025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45757</v>
      </c>
      <c r="E702" s="1" t="n">
        <v>46226</v>
      </c>
      <c r="F702" t="inlineStr">
        <is>
          <t>JÖNKÖPINGS LÄN</t>
        </is>
      </c>
      <c r="G702" t="inlineStr">
        <is>
          <t>JÖNKÖPING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25076-2024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45462</v>
      </c>
      <c r="E703" s="1" t="n">
        <v>46226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46226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46971-2023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45201</v>
      </c>
      <c r="E705" s="1" t="n">
        <v>46226</v>
      </c>
      <c r="F705" t="inlineStr">
        <is>
          <t>JÖNKÖPINGS LÄN</t>
        </is>
      </c>
      <c r="G705" t="inlineStr">
        <is>
          <t>JÖNKÖPING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23055-2022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44719</v>
      </c>
      <c r="E706" s="1" t="n">
        <v>46226</v>
      </c>
      <c r="F706" t="inlineStr">
        <is>
          <t>JÖNKÖPINGS LÄN</t>
        </is>
      </c>
      <c r="G706" t="inlineStr">
        <is>
          <t>JÖNKÖPING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45335</v>
      </c>
      <c r="E707" s="1" t="n">
        <v>46226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26512-2023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45092</v>
      </c>
      <c r="E708" s="1" t="n">
        <v>46226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45099</v>
      </c>
      <c r="E709" s="1" t="n">
        <v>46226</v>
      </c>
      <c r="F709" t="inlineStr">
        <is>
          <t>JÖNKÖPINGS LÄN</t>
        </is>
      </c>
      <c r="G709" t="inlineStr">
        <is>
          <t>JÖNKÖPING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44943</v>
      </c>
      <c r="E710" s="1" t="n">
        <v>46226</v>
      </c>
      <c r="F710" t="inlineStr">
        <is>
          <t>JÖNKÖPINGS LÄN</t>
        </is>
      </c>
      <c r="G710" t="inlineStr">
        <is>
          <t>JÖNKÖPING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48404-2023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46226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9924-2023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44985</v>
      </c>
      <c r="E712" s="1" t="n">
        <v>46226</v>
      </c>
      <c r="F712" t="inlineStr">
        <is>
          <t>JÖNKÖPINGS LÄN</t>
        </is>
      </c>
      <c r="G712" t="inlineStr">
        <is>
          <t>JÖNKÖPING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57180-2023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45245</v>
      </c>
      <c r="E713" s="1" t="n">
        <v>46226</v>
      </c>
      <c r="F713" t="inlineStr">
        <is>
          <t>JÖNKÖPINGS LÄN</t>
        </is>
      </c>
      <c r="G713" t="inlineStr">
        <is>
          <t>JÖNKÖPING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46226</v>
      </c>
      <c r="F714" t="inlineStr">
        <is>
          <t>JÖNKÖPINGS LÄN</t>
        </is>
      </c>
      <c r="G714" t="inlineStr">
        <is>
          <t>JÖNKÖPING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45314</v>
      </c>
      <c r="E715" s="1" t="n">
        <v>46226</v>
      </c>
      <c r="F715" t="inlineStr">
        <is>
          <t>JÖNKÖPINGS LÄN</t>
        </is>
      </c>
      <c r="G715" t="inlineStr">
        <is>
          <t>JÖNKÖPING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45295</v>
      </c>
      <c r="E716" s="1" t="n">
        <v>46226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36147-2024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45534</v>
      </c>
      <c r="E717" s="1" t="n">
        <v>46226</v>
      </c>
      <c r="F717" t="inlineStr">
        <is>
          <t>JÖNKÖPINGS LÄN</t>
        </is>
      </c>
      <c r="G717" t="inlineStr">
        <is>
          <t>JÖNKÖPING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54394-2024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45617</v>
      </c>
      <c r="E718" s="1" t="n">
        <v>46226</v>
      </c>
      <c r="F718" t="inlineStr">
        <is>
          <t>JÖNKÖPINGS LÄN</t>
        </is>
      </c>
      <c r="G718" t="inlineStr">
        <is>
          <t>JÖNKÖPING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44564</v>
      </c>
      <c r="E719" s="1" t="n">
        <v>46226</v>
      </c>
      <c r="F719" t="inlineStr">
        <is>
          <t>JÖNKÖPINGS LÄN</t>
        </is>
      </c>
      <c r="G719" t="inlineStr">
        <is>
          <t>JÖNKÖPING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45377</v>
      </c>
      <c r="E720" s="1" t="n">
        <v>46226</v>
      </c>
      <c r="F720" t="inlineStr">
        <is>
          <t>JÖNKÖPINGS LÄN</t>
        </is>
      </c>
      <c r="G720" t="inlineStr">
        <is>
          <t>JÖNKÖPING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46226</v>
      </c>
      <c r="F721" t="inlineStr">
        <is>
          <t>JÖNKÖPINGS LÄN</t>
        </is>
      </c>
      <c r="G721" t="inlineStr">
        <is>
          <t>JÖNKÖPING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45363</v>
      </c>
      <c r="E722" s="1" t="n">
        <v>46226</v>
      </c>
      <c r="F722" t="inlineStr">
        <is>
          <t>JÖNKÖPINGS LÄN</t>
        </is>
      </c>
      <c r="G722" t="inlineStr">
        <is>
          <t>JÖNKÖPING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56051-2023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45240</v>
      </c>
      <c r="E723" s="1" t="n">
        <v>46226</v>
      </c>
      <c r="F723" t="inlineStr">
        <is>
          <t>JÖNKÖPINGS LÄN</t>
        </is>
      </c>
      <c r="G723" t="inlineStr">
        <is>
          <t>JÖNKÖPING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44966</v>
      </c>
      <c r="E724" s="1" t="n">
        <v>46226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45408-2023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45194</v>
      </c>
      <c r="E725" s="1" t="n">
        <v>46226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45412-2023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45194</v>
      </c>
      <c r="E726" s="1" t="n">
        <v>46226</v>
      </c>
      <c r="F726" t="inlineStr">
        <is>
          <t>JÖNKÖPINGS LÄN</t>
        </is>
      </c>
      <c r="G726" t="inlineStr">
        <is>
          <t>JÖNKÖPING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45112</v>
      </c>
      <c r="E727" s="1" t="n">
        <v>46226</v>
      </c>
      <c r="F727" t="inlineStr">
        <is>
          <t>JÖNKÖPINGS LÄN</t>
        </is>
      </c>
      <c r="G727" t="inlineStr">
        <is>
          <t>JÖNKÖPING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29880-2023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45107</v>
      </c>
      <c r="E728" s="1" t="n">
        <v>46226</v>
      </c>
      <c r="F728" t="inlineStr">
        <is>
          <t>JÖNKÖPINGS LÄN</t>
        </is>
      </c>
      <c r="G728" t="inlineStr">
        <is>
          <t>JÖNKÖPING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15134-2023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45015</v>
      </c>
      <c r="E729" s="1" t="n">
        <v>46226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59218-2022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46226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45049</v>
      </c>
      <c r="E731" s="1" t="n">
        <v>46226</v>
      </c>
      <c r="F731" t="inlineStr">
        <is>
          <t>JÖNKÖPINGS LÄN</t>
        </is>
      </c>
      <c r="G731" t="inlineStr">
        <is>
          <t>JÖNKÖPING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45338</v>
      </c>
      <c r="E732" s="1" t="n">
        <v>46226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56747-2022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46226</v>
      </c>
      <c r="F733" t="inlineStr">
        <is>
          <t>JÖNKÖPINGS LÄN</t>
        </is>
      </c>
      <c r="G733" t="inlineStr">
        <is>
          <t>JÖNKÖPING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56569-2022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44893</v>
      </c>
      <c r="E734" s="1" t="n">
        <v>46226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7177-2022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44605</v>
      </c>
      <c r="E735" s="1" t="n">
        <v>46226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46460-2023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46226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16214-2024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45406</v>
      </c>
      <c r="E737" s="1" t="n">
        <v>46226</v>
      </c>
      <c r="F737" t="inlineStr">
        <is>
          <t>JÖNKÖPINGS LÄN</t>
        </is>
      </c>
      <c r="G737" t="inlineStr">
        <is>
          <t>JÖNKÖPING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9897-2023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44985</v>
      </c>
      <c r="E738" s="1" t="n">
        <v>46226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45051</v>
      </c>
      <c r="E739" s="1" t="n">
        <v>46226</v>
      </c>
      <c r="F739" t="inlineStr">
        <is>
          <t>JÖNKÖPINGS LÄN</t>
        </is>
      </c>
      <c r="G739" t="inlineStr">
        <is>
          <t>JÖNKÖPING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57715-2021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44484</v>
      </c>
      <c r="E740" s="1" t="n">
        <v>46226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45706</v>
      </c>
      <c r="E741" s="1" t="n">
        <v>46226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1780-2025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45671</v>
      </c>
      <c r="E742" s="1" t="n">
        <v>46226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7401-2025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45705</v>
      </c>
      <c r="E743" s="1" t="n">
        <v>46226</v>
      </c>
      <c r="F743" t="inlineStr">
        <is>
          <t>JÖNKÖPINGS LÄN</t>
        </is>
      </c>
      <c r="G743" t="inlineStr">
        <is>
          <t>JÖNKÖPING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14228-2025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45740</v>
      </c>
      <c r="E744" s="1" t="n">
        <v>46226</v>
      </c>
      <c r="F744" t="inlineStr">
        <is>
          <t>JÖNKÖPINGS LÄN</t>
        </is>
      </c>
      <c r="G744" t="inlineStr">
        <is>
          <t>JÖNKÖPING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5661-2025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45693</v>
      </c>
      <c r="E745" s="1" t="n">
        <v>46226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14227-2023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45009</v>
      </c>
      <c r="E746" s="1" t="n">
        <v>46226</v>
      </c>
      <c r="F746" t="inlineStr">
        <is>
          <t>JÖNKÖPINGS LÄN</t>
        </is>
      </c>
      <c r="G746" t="inlineStr">
        <is>
          <t>JÖNKÖPING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45127</v>
      </c>
      <c r="E747" s="1" t="n">
        <v>46226</v>
      </c>
      <c r="F747" t="inlineStr">
        <is>
          <t>JÖNKÖPINGS LÄN</t>
        </is>
      </c>
      <c r="G747" t="inlineStr">
        <is>
          <t>JÖNKÖPING</t>
        </is>
      </c>
      <c r="I747" t="n">
        <v>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44677</v>
      </c>
      <c r="E748" s="1" t="n">
        <v>46226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45756</v>
      </c>
      <c r="E749" s="1" t="n">
        <v>46226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46226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Kyrkan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45324</v>
      </c>
      <c r="E751" s="1" t="n">
        <v>46226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46226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45414</v>
      </c>
      <c r="E753" s="1" t="n">
        <v>46226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45761</v>
      </c>
      <c r="E754" s="1" t="n">
        <v>46226</v>
      </c>
      <c r="F754" t="inlineStr">
        <is>
          <t>JÖNKÖPINGS LÄN</t>
        </is>
      </c>
      <c r="G754" t="inlineStr">
        <is>
          <t>JÖNKÖPING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27246-2022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44741</v>
      </c>
      <c r="E755" s="1" t="n">
        <v>46226</v>
      </c>
      <c r="F755" t="inlineStr">
        <is>
          <t>JÖNKÖPINGS LÄN</t>
        </is>
      </c>
      <c r="G755" t="inlineStr">
        <is>
          <t>JÖNKÖPING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52058-2023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45223</v>
      </c>
      <c r="E756" s="1" t="n">
        <v>46226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37503-2024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45541</v>
      </c>
      <c r="E757" s="1" t="n">
        <v>46226</v>
      </c>
      <c r="F757" t="inlineStr">
        <is>
          <t>JÖNKÖPINGS LÄN</t>
        </is>
      </c>
      <c r="G757" t="inlineStr">
        <is>
          <t>JÖNKÖPING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20384-2024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45435</v>
      </c>
      <c r="E758" s="1" t="n">
        <v>46226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6970-2023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44967</v>
      </c>
      <c r="E759" s="1" t="n">
        <v>46226</v>
      </c>
      <c r="F759" t="inlineStr">
        <is>
          <t>JÖNKÖPINGS LÄN</t>
        </is>
      </c>
      <c r="G759" t="inlineStr">
        <is>
          <t>JÖNKÖPING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26208-2022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44734</v>
      </c>
      <c r="E760" s="1" t="n">
        <v>46226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15315-2025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45747</v>
      </c>
      <c r="E761" s="1" t="n">
        <v>46226</v>
      </c>
      <c r="F761" t="inlineStr">
        <is>
          <t>JÖNKÖPINGS LÄN</t>
        </is>
      </c>
      <c r="G761" t="inlineStr">
        <is>
          <t>JÖNKÖPING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35949-2024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45533</v>
      </c>
      <c r="E762" s="1" t="n">
        <v>46226</v>
      </c>
      <c r="F762" t="inlineStr">
        <is>
          <t>JÖNKÖPINGS LÄN</t>
        </is>
      </c>
      <c r="G762" t="inlineStr">
        <is>
          <t>JÖNKÖPING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7846-2025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45706</v>
      </c>
      <c r="E763" s="1" t="n">
        <v>46226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58437-2024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45635</v>
      </c>
      <c r="E764" s="1" t="n">
        <v>46226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37510-2024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45541</v>
      </c>
      <c r="E765" s="1" t="n">
        <v>46226</v>
      </c>
      <c r="F765" t="inlineStr">
        <is>
          <t>JÖNKÖPINGS LÄN</t>
        </is>
      </c>
      <c r="G765" t="inlineStr">
        <is>
          <t>JÖNKÖPING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47067-2023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45201</v>
      </c>
      <c r="E766" s="1" t="n">
        <v>46226</v>
      </c>
      <c r="F766" t="inlineStr">
        <is>
          <t>JÖNKÖPINGS LÄN</t>
        </is>
      </c>
      <c r="G766" t="inlineStr">
        <is>
          <t>JÖNKÖPING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6663-2024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45341</v>
      </c>
      <c r="E767" s="1" t="n">
        <v>46226</v>
      </c>
      <c r="F767" t="inlineStr">
        <is>
          <t>JÖNKÖPINGS LÄN</t>
        </is>
      </c>
      <c r="G767" t="inlineStr">
        <is>
          <t>JÖNKÖPING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3516-2023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44950</v>
      </c>
      <c r="E768" s="1" t="n">
        <v>46226</v>
      </c>
      <c r="F768" t="inlineStr">
        <is>
          <t>JÖNKÖPINGS LÄN</t>
        </is>
      </c>
      <c r="G768" t="inlineStr">
        <is>
          <t>JÖNKÖPING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45099</v>
      </c>
      <c r="E769" s="1" t="n">
        <v>46226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45681</v>
      </c>
      <c r="E770" s="1" t="n">
        <v>46226</v>
      </c>
      <c r="F770" t="inlineStr">
        <is>
          <t>JÖNKÖPINGS LÄN</t>
        </is>
      </c>
      <c r="G770" t="inlineStr">
        <is>
          <t>JÖNKÖPING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9604-2025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46226</v>
      </c>
      <c r="F771" t="inlineStr">
        <is>
          <t>JÖNKÖPINGS LÄN</t>
        </is>
      </c>
      <c r="G771" t="inlineStr">
        <is>
          <t>JÖNKÖPING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10760-2022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44627</v>
      </c>
      <c r="E772" s="1" t="n">
        <v>46226</v>
      </c>
      <c r="F772" t="inlineStr">
        <is>
          <t>JÖNKÖPINGS LÄN</t>
        </is>
      </c>
      <c r="G772" t="inlineStr">
        <is>
          <t>JÖNKÖPING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20425-2023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45056</v>
      </c>
      <c r="E773" s="1" t="n">
        <v>46226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8554-2024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45355</v>
      </c>
      <c r="E774" s="1" t="n">
        <v>46226</v>
      </c>
      <c r="F774" t="inlineStr">
        <is>
          <t>JÖNKÖPINGS LÄN</t>
        </is>
      </c>
      <c r="G774" t="inlineStr">
        <is>
          <t>JÖNKÖPING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6601-2023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44966</v>
      </c>
      <c r="E775" s="1" t="n">
        <v>46226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Kyrkan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4154-2022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44588</v>
      </c>
      <c r="E776" s="1" t="n">
        <v>46226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58559-2021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44488</v>
      </c>
      <c r="E777" s="1" t="n">
        <v>46226</v>
      </c>
      <c r="F777" t="inlineStr">
        <is>
          <t>JÖNKÖPINGS LÄN</t>
        </is>
      </c>
      <c r="G777" t="inlineStr">
        <is>
          <t>JÖNKÖPING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46462-2023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45197</v>
      </c>
      <c r="E778" s="1" t="n">
        <v>46226</v>
      </c>
      <c r="F778" t="inlineStr">
        <is>
          <t>JÖNKÖPINGS LÄN</t>
        </is>
      </c>
      <c r="G778" t="inlineStr">
        <is>
          <t>JÖNKÖPING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38919-2024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45547</v>
      </c>
      <c r="E779" s="1" t="n">
        <v>46226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43573-2024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45569</v>
      </c>
      <c r="E780" s="1" t="n">
        <v>46226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57620-2022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44897</v>
      </c>
      <c r="E781" s="1" t="n">
        <v>46226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Kyrkan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18836-2025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45764</v>
      </c>
      <c r="E782" s="1" t="n">
        <v>46226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46226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20410-2023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45056</v>
      </c>
      <c r="E784" s="1" t="n">
        <v>46226</v>
      </c>
      <c r="F784" t="inlineStr">
        <is>
          <t>JÖNKÖPINGS LÄN</t>
        </is>
      </c>
      <c r="G784" t="inlineStr">
        <is>
          <t>JÖNKÖPING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45406</v>
      </c>
      <c r="E785" s="1" t="n">
        <v>46226</v>
      </c>
      <c r="F785" t="inlineStr">
        <is>
          <t>JÖNKÖPINGS LÄN</t>
        </is>
      </c>
      <c r="G785" t="inlineStr">
        <is>
          <t>JÖNKÖPING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16213-2024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45406</v>
      </c>
      <c r="E786" s="1" t="n">
        <v>46226</v>
      </c>
      <c r="F786" t="inlineStr">
        <is>
          <t>JÖNKÖPINGS LÄN</t>
        </is>
      </c>
      <c r="G786" t="inlineStr">
        <is>
          <t>JÖNKÖPING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21132-2024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45440</v>
      </c>
      <c r="E787" s="1" t="n">
        <v>46226</v>
      </c>
      <c r="F787" t="inlineStr">
        <is>
          <t>JÖNKÖPINGS LÄN</t>
        </is>
      </c>
      <c r="G787" t="inlineStr">
        <is>
          <t>JÖNKÖPING</t>
        </is>
      </c>
      <c r="I787" t="n">
        <v>5.8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50293-2023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45216</v>
      </c>
      <c r="E788" s="1" t="n">
        <v>46226</v>
      </c>
      <c r="F788" t="inlineStr">
        <is>
          <t>JÖNKÖPINGS LÄN</t>
        </is>
      </c>
      <c r="G788" t="inlineStr">
        <is>
          <t>JÖNKÖPING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45667</v>
      </c>
      <c r="E789" s="1" t="n">
        <v>46226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33398-2024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45519</v>
      </c>
      <c r="E790" s="1" t="n">
        <v>46226</v>
      </c>
      <c r="F790" t="inlineStr">
        <is>
          <t>JÖNKÖPINGS LÄN</t>
        </is>
      </c>
      <c r="G790" t="inlineStr">
        <is>
          <t>JÖNKÖPING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47190-2024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45586</v>
      </c>
      <c r="E791" s="1" t="n">
        <v>46226</v>
      </c>
      <c r="F791" t="inlineStr">
        <is>
          <t>JÖNKÖPINGS LÄN</t>
        </is>
      </c>
      <c r="G791" t="inlineStr">
        <is>
          <t>JÖNKÖPING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37515-2024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45541</v>
      </c>
      <c r="E792" s="1" t="n">
        <v>46226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39280-2024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45551</v>
      </c>
      <c r="E793" s="1" t="n">
        <v>46226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7959-2024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45350</v>
      </c>
      <c r="E794" s="1" t="n">
        <v>46226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46226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46226</v>
      </c>
      <c r="F796" t="inlineStr">
        <is>
          <t>JÖNKÖPINGS LÄN</t>
        </is>
      </c>
      <c r="G796" t="inlineStr">
        <is>
          <t>JÖNKÖPING</t>
        </is>
      </c>
      <c r="I796" t="n">
        <v>15.5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43782-2024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45570</v>
      </c>
      <c r="E797" s="1" t="n">
        <v>46226</v>
      </c>
      <c r="F797" t="inlineStr">
        <is>
          <t>JÖNKÖPINGS LÄN</t>
        </is>
      </c>
      <c r="G797" t="inlineStr">
        <is>
          <t>JÖNKÖPING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11557-2025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45727</v>
      </c>
      <c r="E798" s="1" t="n">
        <v>46226</v>
      </c>
      <c r="F798" t="inlineStr">
        <is>
          <t>JÖNKÖPINGS LÄN</t>
        </is>
      </c>
      <c r="G798" t="inlineStr">
        <is>
          <t>JÖNKÖPING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11560-2025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45727</v>
      </c>
      <c r="E799" s="1" t="n">
        <v>46226</v>
      </c>
      <c r="F799" t="inlineStr">
        <is>
          <t>JÖNKÖPINGS LÄN</t>
        </is>
      </c>
      <c r="G799" t="inlineStr">
        <is>
          <t>JÖNKÖPING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14225-2025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45740</v>
      </c>
      <c r="E800" s="1" t="n">
        <v>46226</v>
      </c>
      <c r="F800" t="inlineStr">
        <is>
          <t>JÖNKÖPINGS LÄN</t>
        </is>
      </c>
      <c r="G800" t="inlineStr">
        <is>
          <t>JÖNKÖPING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11561-2025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45727</v>
      </c>
      <c r="E801" s="1" t="n">
        <v>46226</v>
      </c>
      <c r="F801" t="inlineStr">
        <is>
          <t>JÖNKÖPINGS LÄN</t>
        </is>
      </c>
      <c r="G801" t="inlineStr">
        <is>
          <t>JÖNKÖPING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13144-2025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45735</v>
      </c>
      <c r="E802" s="1" t="n">
        <v>46226</v>
      </c>
      <c r="F802" t="inlineStr">
        <is>
          <t>JÖNKÖPINGS LÄN</t>
        </is>
      </c>
      <c r="G802" t="inlineStr">
        <is>
          <t>JÖNKÖPING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12933-2025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45734</v>
      </c>
      <c r="E803" s="1" t="n">
        <v>46226</v>
      </c>
      <c r="F803" t="inlineStr">
        <is>
          <t>JÖNKÖPINGS LÄN</t>
        </is>
      </c>
      <c r="G803" t="inlineStr">
        <is>
          <t>JÖNKÖPING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11255-2023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44992</v>
      </c>
      <c r="E804" s="1" t="n">
        <v>46226</v>
      </c>
      <c r="F804" t="inlineStr">
        <is>
          <t>JÖNKÖPINGS LÄN</t>
        </is>
      </c>
      <c r="G804" t="inlineStr">
        <is>
          <t>JÖNKÖPING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26274-2025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45805</v>
      </c>
      <c r="E805" s="1" t="n">
        <v>46226</v>
      </c>
      <c r="F805" t="inlineStr">
        <is>
          <t>JÖNKÖPINGS LÄN</t>
        </is>
      </c>
      <c r="G805" t="inlineStr">
        <is>
          <t>JÖNKÖPING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26279-2025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45805</v>
      </c>
      <c r="E806" s="1" t="n">
        <v>46226</v>
      </c>
      <c r="F806" t="inlineStr">
        <is>
          <t>JÖNKÖPINGS LÄN</t>
        </is>
      </c>
      <c r="G806" t="inlineStr">
        <is>
          <t>JÖNKÖPING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45806</v>
      </c>
      <c r="E807" s="1" t="n">
        <v>46226</v>
      </c>
      <c r="F807" t="inlineStr">
        <is>
          <t>JÖNKÖPINGS LÄN</t>
        </is>
      </c>
      <c r="G807" t="inlineStr">
        <is>
          <t>JÖNKÖPING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49836-2024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45597</v>
      </c>
      <c r="E808" s="1" t="n">
        <v>46226</v>
      </c>
      <c r="F808" t="inlineStr">
        <is>
          <t>JÖNKÖPINGS LÄN</t>
        </is>
      </c>
      <c r="G808" t="inlineStr">
        <is>
          <t>JÖNKÖPING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45811</v>
      </c>
      <c r="E809" s="1" t="n">
        <v>46226</v>
      </c>
      <c r="F809" t="inlineStr">
        <is>
          <t>JÖNKÖPINGS LÄN</t>
        </is>
      </c>
      <c r="G809" t="inlineStr">
        <is>
          <t>JÖNKÖPING</t>
        </is>
      </c>
      <c r="I809" t="n">
        <v>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46226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46226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46226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46226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589-2022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44593</v>
      </c>
      <c r="E814" s="1" t="n">
        <v>46226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46226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46226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46226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46226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46226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46226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46226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46226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46226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46226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46226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46226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46226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46226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46226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46226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2026-07-23T01:43:10Z</dcterms:created>
  <dcterms:modified xmlns:dcterms="http://purl.org/dc/terms/" xmlns:xsi="http://www.w3.org/2001/XMLSchema-instance" xsi:type="dcterms:W3CDTF">2026-07-23T01:43:11Z</dcterms:modified>
</cp:coreProperties>
</file>