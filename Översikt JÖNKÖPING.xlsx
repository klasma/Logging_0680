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45791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45791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45791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45791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45791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45791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45791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45791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45791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45791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45791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45791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45791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45791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45791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45791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45791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45791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45791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45791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45791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45791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45791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45791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45791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8977-2023</t>
        </is>
      </c>
      <c r="B27" s="1" t="n">
        <v>44974</v>
      </c>
      <c r="C27" s="1" t="n">
        <v>45791</v>
      </c>
      <c r="D27" t="inlineStr">
        <is>
          <t>JÖNKÖPINGS LÄN</t>
        </is>
      </c>
      <c r="E27" t="inlineStr">
        <is>
          <t>JÖNKÖPING</t>
        </is>
      </c>
      <c r="G27" t="n">
        <v>7.9</v>
      </c>
      <c r="H27" t="n">
        <v>1</v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Falsk djävulssopp
Knärot
Granbarkgnagare</t>
        </is>
      </c>
      <c r="S27">
        <f>HYPERLINK("https://klasma.github.io/Logging_0680/artfynd/A 8977-2023 artfynd.xlsx", "A 8977-2023")</f>
        <v/>
      </c>
      <c r="T27">
        <f>HYPERLINK("https://klasma.github.io/Logging_0680/kartor/A 8977-2023 karta.png", "A 8977-2023")</f>
        <v/>
      </c>
      <c r="U27">
        <f>HYPERLINK("https://klasma.github.io/Logging_0680/knärot/A 8977-2023 karta knärot.png", "A 8977-2023")</f>
        <v/>
      </c>
      <c r="V27">
        <f>HYPERLINK("https://klasma.github.io/Logging_0680/klagomål/A 8977-2023 FSC-klagomål.docx", "A 8977-2023")</f>
        <v/>
      </c>
      <c r="W27">
        <f>HYPERLINK("https://klasma.github.io/Logging_0680/klagomålsmail/A 8977-2023 FSC-klagomål mail.docx", "A 8977-2023")</f>
        <v/>
      </c>
      <c r="X27">
        <f>HYPERLINK("https://klasma.github.io/Logging_0680/tillsyn/A 8977-2023 tillsynsbegäran.docx", "A 8977-2023")</f>
        <v/>
      </c>
      <c r="Y27">
        <f>HYPERLINK("https://klasma.github.io/Logging_0680/tillsynsmail/A 8977-2023 tillsynsbegäran mail.docx", "A 8977-2023")</f>
        <v/>
      </c>
    </row>
    <row r="28" ht="15" customHeight="1">
      <c r="A28" t="inlineStr">
        <is>
          <t>A 9885-2024</t>
        </is>
      </c>
      <c r="B28" s="1" t="n">
        <v>45363</v>
      </c>
      <c r="C28" s="1" t="n">
        <v>45791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Grönsångare
Grönsiska
Järnsparv</t>
        </is>
      </c>
      <c r="S28">
        <f>HYPERLINK("https://klasma.github.io/Logging_0680/artfynd/A 9885-2024 artfynd.xlsx", "A 9885-2024")</f>
        <v/>
      </c>
      <c r="T28">
        <f>HYPERLINK("https://klasma.github.io/Logging_0680/kartor/A 9885-2024 karta.png", "A 9885-2024")</f>
        <v/>
      </c>
      <c r="V28">
        <f>HYPERLINK("https://klasma.github.io/Logging_0680/klagomål/A 9885-2024 FSC-klagomål.docx", "A 9885-2024")</f>
        <v/>
      </c>
      <c r="W28">
        <f>HYPERLINK("https://klasma.github.io/Logging_0680/klagomålsmail/A 9885-2024 FSC-klagomål mail.docx", "A 9885-2024")</f>
        <v/>
      </c>
      <c r="X28">
        <f>HYPERLINK("https://klasma.github.io/Logging_0680/tillsyn/A 9885-2024 tillsynsbegäran.docx", "A 9885-2024")</f>
        <v/>
      </c>
      <c r="Y28">
        <f>HYPERLINK("https://klasma.github.io/Logging_0680/tillsynsmail/A 9885-2024 tillsynsbegäran mail.docx", "A 9885-2024")</f>
        <v/>
      </c>
      <c r="Z28">
        <f>HYPERLINK("https://klasma.github.io/Logging_0680/fåglar/A 9885-2024 prioriterade fågelarter.docx", "A 9885-2024")</f>
        <v/>
      </c>
    </row>
    <row r="29" ht="15" customHeight="1">
      <c r="A29" t="inlineStr">
        <is>
          <t>A 26393-2024</t>
        </is>
      </c>
      <c r="B29" s="1" t="n">
        <v>45469</v>
      </c>
      <c r="C29" s="1" t="n">
        <v>45791</v>
      </c>
      <c r="D29" t="inlineStr">
        <is>
          <t>JÖNKÖPINGS LÄN</t>
        </is>
      </c>
      <c r="E29" t="inlineStr">
        <is>
          <t>JÖNKÖPING</t>
        </is>
      </c>
      <c r="G29" t="n">
        <v>6.2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Bronshjon
Thomsons trägnagare</t>
        </is>
      </c>
      <c r="S29">
        <f>HYPERLINK("https://klasma.github.io/Logging_0680/artfynd/A 26393-2024 artfynd.xlsx", "A 26393-2024")</f>
        <v/>
      </c>
      <c r="T29">
        <f>HYPERLINK("https://klasma.github.io/Logging_0680/kartor/A 26393-2024 karta.png", "A 26393-2024")</f>
        <v/>
      </c>
      <c r="U29">
        <f>HYPERLINK("https://klasma.github.io/Logging_0680/knärot/A 26393-2024 karta knärot.png", "A 26393-2024")</f>
        <v/>
      </c>
      <c r="V29">
        <f>HYPERLINK("https://klasma.github.io/Logging_0680/klagomål/A 26393-2024 FSC-klagomål.docx", "A 26393-2024")</f>
        <v/>
      </c>
      <c r="W29">
        <f>HYPERLINK("https://klasma.github.io/Logging_0680/klagomålsmail/A 26393-2024 FSC-klagomål mail.docx", "A 26393-2024")</f>
        <v/>
      </c>
      <c r="X29">
        <f>HYPERLINK("https://klasma.github.io/Logging_0680/tillsyn/A 26393-2024 tillsynsbegäran.docx", "A 26393-2024")</f>
        <v/>
      </c>
      <c r="Y29">
        <f>HYPERLINK("https://klasma.github.io/Logging_0680/tillsynsmail/A 26393-2024 tillsynsbegäran mail.docx", "A 26393-2024")</f>
        <v/>
      </c>
    </row>
    <row r="30" ht="15" customHeight="1">
      <c r="A30" t="inlineStr">
        <is>
          <t>A 42355-2024</t>
        </is>
      </c>
      <c r="B30" s="1" t="n">
        <v>45562</v>
      </c>
      <c r="C30" s="1" t="n">
        <v>45791</v>
      </c>
      <c r="D30" t="inlineStr">
        <is>
          <t>JÖNKÖPINGS LÄN</t>
        </is>
      </c>
      <c r="E30" t="inlineStr">
        <is>
          <t>JÖNKÖPING</t>
        </is>
      </c>
      <c r="G30" t="n">
        <v>7.7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Slåtterfibbla
Vårstarr
Gullviva</t>
        </is>
      </c>
      <c r="S30">
        <f>HYPERLINK("https://klasma.github.io/Logging_0680/artfynd/A 42355-2024 artfynd.xlsx", "A 42355-2024")</f>
        <v/>
      </c>
      <c r="T30">
        <f>HYPERLINK("https://klasma.github.io/Logging_0680/kartor/A 42355-2024 karta.png", "A 42355-2024")</f>
        <v/>
      </c>
      <c r="V30">
        <f>HYPERLINK("https://klasma.github.io/Logging_0680/klagomål/A 42355-2024 FSC-klagomål.docx", "A 42355-2024")</f>
        <v/>
      </c>
      <c r="W30">
        <f>HYPERLINK("https://klasma.github.io/Logging_0680/klagomålsmail/A 42355-2024 FSC-klagomål mail.docx", "A 42355-2024")</f>
        <v/>
      </c>
      <c r="X30">
        <f>HYPERLINK("https://klasma.github.io/Logging_0680/tillsyn/A 42355-2024 tillsynsbegäran.docx", "A 42355-2024")</f>
        <v/>
      </c>
      <c r="Y30">
        <f>HYPERLINK("https://klasma.github.io/Logging_0680/tillsynsmail/A 42355-2024 tillsynsbegäran mail.docx", "A 42355-2024")</f>
        <v/>
      </c>
    </row>
    <row r="31" ht="15" customHeight="1">
      <c r="A31" t="inlineStr">
        <is>
          <t>A 51176-2024</t>
        </is>
      </c>
      <c r="B31" s="1" t="n">
        <v>45603</v>
      </c>
      <c r="C31" s="1" t="n">
        <v>45791</v>
      </c>
      <c r="D31" t="inlineStr">
        <is>
          <t>JÖNKÖPINGS LÄN</t>
        </is>
      </c>
      <c r="E31" t="inlineStr">
        <is>
          <t>JÖNKÖPING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Underviol
Grönvit nattviol</t>
        </is>
      </c>
      <c r="S31">
        <f>HYPERLINK("https://klasma.github.io/Logging_0680/artfynd/A 51176-2024 artfynd.xlsx", "A 51176-2024")</f>
        <v/>
      </c>
      <c r="T31">
        <f>HYPERLINK("https://klasma.github.io/Logging_0680/kartor/A 51176-2024 karta.png", "A 51176-2024")</f>
        <v/>
      </c>
      <c r="V31">
        <f>HYPERLINK("https://klasma.github.io/Logging_0680/klagomål/A 51176-2024 FSC-klagomål.docx", "A 51176-2024")</f>
        <v/>
      </c>
      <c r="W31">
        <f>HYPERLINK("https://klasma.github.io/Logging_0680/klagomålsmail/A 51176-2024 FSC-klagomål mail.docx", "A 51176-2024")</f>
        <v/>
      </c>
      <c r="X31">
        <f>HYPERLINK("https://klasma.github.io/Logging_0680/tillsyn/A 51176-2024 tillsynsbegäran.docx", "A 51176-2024")</f>
        <v/>
      </c>
      <c r="Y31">
        <f>HYPERLINK("https://klasma.github.io/Logging_0680/tillsynsmail/A 51176-2024 tillsynsbegäran mail.docx", "A 51176-2024")</f>
        <v/>
      </c>
    </row>
    <row r="32" ht="15" customHeight="1">
      <c r="A32" t="inlineStr">
        <is>
          <t>A 51492-2024</t>
        </is>
      </c>
      <c r="B32" s="1" t="n">
        <v>45604</v>
      </c>
      <c r="C32" s="1" t="n">
        <v>45791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Vanlig padda
Grönvit nattviol</t>
        </is>
      </c>
      <c r="S32">
        <f>HYPERLINK("https://klasma.github.io/Logging_0680/artfynd/A 51492-2024 artfynd.xlsx", "A 51492-2024")</f>
        <v/>
      </c>
      <c r="T32">
        <f>HYPERLINK("https://klasma.github.io/Logging_0680/kartor/A 51492-2024 karta.png", "A 51492-2024")</f>
        <v/>
      </c>
      <c r="V32">
        <f>HYPERLINK("https://klasma.github.io/Logging_0680/klagomål/A 51492-2024 FSC-klagomål.docx", "A 51492-2024")</f>
        <v/>
      </c>
      <c r="W32">
        <f>HYPERLINK("https://klasma.github.io/Logging_0680/klagomålsmail/A 51492-2024 FSC-klagomål mail.docx", "A 51492-2024")</f>
        <v/>
      </c>
      <c r="X32">
        <f>HYPERLINK("https://klasma.github.io/Logging_0680/tillsyn/A 51492-2024 tillsynsbegäran.docx", "A 51492-2024")</f>
        <v/>
      </c>
      <c r="Y32">
        <f>HYPERLINK("https://klasma.github.io/Logging_0680/tillsynsmail/A 51492-2024 tillsynsbegäran mail.docx", "A 51492-2024")</f>
        <v/>
      </c>
    </row>
    <row r="33" ht="15" customHeight="1">
      <c r="A33" t="inlineStr">
        <is>
          <t>A 26553-2019</t>
        </is>
      </c>
      <c r="B33" s="1" t="n">
        <v>43612</v>
      </c>
      <c r="C33" s="1" t="n">
        <v>45791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HYPERLINK("https://klasma.github.io/Logging_0680/artfynd/A 26553-2019 artfynd.xlsx", "A 26553-2019")</f>
        <v/>
      </c>
      <c r="T33">
        <f>HYPERLINK("https://klasma.github.io/Logging_0680/kartor/A 26553-2019 karta.png", "A 26553-2019")</f>
        <v/>
      </c>
      <c r="U33">
        <f>HYPERLINK("https://klasma.github.io/Logging_0680/knärot/A 26553-2019 karta knärot.png", "A 26553-2019")</f>
        <v/>
      </c>
      <c r="V33">
        <f>HYPERLINK("https://klasma.github.io/Logging_0680/klagomål/A 26553-2019 FSC-klagomål.docx", "A 26553-2019")</f>
        <v/>
      </c>
      <c r="W33">
        <f>HYPERLINK("https://klasma.github.io/Logging_0680/klagomålsmail/A 26553-2019 FSC-klagomål mail.docx", "A 26553-2019")</f>
        <v/>
      </c>
      <c r="X33">
        <f>HYPERLINK("https://klasma.github.io/Logging_0680/tillsyn/A 26553-2019 tillsynsbegäran.docx", "A 26553-2019")</f>
        <v/>
      </c>
      <c r="Y33">
        <f>HYPERLINK("https://klasma.github.io/Logging_0680/tillsynsmail/A 26553-2019 tillsynsbegäran mail.docx", "A 26553-2019")</f>
        <v/>
      </c>
    </row>
    <row r="34" ht="15" customHeight="1">
      <c r="A34" t="inlineStr">
        <is>
          <t>A 36871-2019</t>
        </is>
      </c>
      <c r="B34" s="1" t="n">
        <v>43675</v>
      </c>
      <c r="C34" s="1" t="n">
        <v>45791</v>
      </c>
      <c r="D34" t="inlineStr">
        <is>
          <t>JÖNKÖPINGS LÄN</t>
        </is>
      </c>
      <c r="E34" t="inlineStr">
        <is>
          <t>JÖNKÖPING</t>
        </is>
      </c>
      <c r="G34" t="n">
        <v>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HYPERLINK("https://klasma.github.io/Logging_0680/artfynd/A 36871-2019 artfynd.xlsx", "A 36871-2019")</f>
        <v/>
      </c>
      <c r="T34">
        <f>HYPERLINK("https://klasma.github.io/Logging_0680/kartor/A 36871-2019 karta.png", "A 36871-2019")</f>
        <v/>
      </c>
      <c r="U34">
        <f>HYPERLINK("https://klasma.github.io/Logging_0680/knärot/A 36871-2019 karta knärot.png", "A 36871-2019")</f>
        <v/>
      </c>
      <c r="V34">
        <f>HYPERLINK("https://klasma.github.io/Logging_0680/klagomål/A 36871-2019 FSC-klagomål.docx", "A 36871-2019")</f>
        <v/>
      </c>
      <c r="W34">
        <f>HYPERLINK("https://klasma.github.io/Logging_0680/klagomålsmail/A 36871-2019 FSC-klagomål mail.docx", "A 36871-2019")</f>
        <v/>
      </c>
      <c r="X34">
        <f>HYPERLINK("https://klasma.github.io/Logging_0680/tillsyn/A 36871-2019 tillsynsbegäran.docx", "A 36871-2019")</f>
        <v/>
      </c>
      <c r="Y34">
        <f>HYPERLINK("https://klasma.github.io/Logging_0680/tillsynsmail/A 36871-2019 tillsynsbegäran mail.docx", "A 36871-2019")</f>
        <v/>
      </c>
    </row>
    <row r="35" ht="15" customHeight="1">
      <c r="A35" t="inlineStr">
        <is>
          <t>A 66666-2019</t>
        </is>
      </c>
      <c r="B35" s="1" t="n">
        <v>43809</v>
      </c>
      <c r="C35" s="1" t="n">
        <v>45791</v>
      </c>
      <c r="D35" t="inlineStr">
        <is>
          <t>JÖNKÖPINGS LÄN</t>
        </is>
      </c>
      <c r="E35" t="inlineStr">
        <is>
          <t>JÖNKÖPING</t>
        </is>
      </c>
      <c r="G35" t="n">
        <v>1.5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Spindelblomster
Grönvit nattviol</t>
        </is>
      </c>
      <c r="S35">
        <f>HYPERLINK("https://klasma.github.io/Logging_0680/artfynd/A 66666-2019 artfynd.xlsx", "A 66666-2019")</f>
        <v/>
      </c>
      <c r="T35">
        <f>HYPERLINK("https://klasma.github.io/Logging_0680/kartor/A 66666-2019 karta.png", "A 66666-2019")</f>
        <v/>
      </c>
      <c r="V35">
        <f>HYPERLINK("https://klasma.github.io/Logging_0680/klagomål/A 66666-2019 FSC-klagomål.docx", "A 66666-2019")</f>
        <v/>
      </c>
      <c r="W35">
        <f>HYPERLINK("https://klasma.github.io/Logging_0680/klagomålsmail/A 66666-2019 FSC-klagomål mail.docx", "A 66666-2019")</f>
        <v/>
      </c>
      <c r="X35">
        <f>HYPERLINK("https://klasma.github.io/Logging_0680/tillsyn/A 66666-2019 tillsynsbegäran.docx", "A 66666-2019")</f>
        <v/>
      </c>
      <c r="Y35">
        <f>HYPERLINK("https://klasma.github.io/Logging_0680/tillsynsmail/A 66666-2019 tillsynsbegäran mail.docx", "A 66666-2019")</f>
        <v/>
      </c>
    </row>
    <row r="36" ht="15" customHeight="1">
      <c r="A36" t="inlineStr">
        <is>
          <t>A 16652-2020</t>
        </is>
      </c>
      <c r="B36" s="1" t="n">
        <v>43920</v>
      </c>
      <c r="C36" s="1" t="n">
        <v>45791</v>
      </c>
      <c r="D36" t="inlineStr">
        <is>
          <t>JÖNKÖPINGS LÄN</t>
        </is>
      </c>
      <c r="E36" t="inlineStr">
        <is>
          <t>JÖNKÖPING</t>
        </is>
      </c>
      <c r="G36" t="n">
        <v>12.2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Blylav
Lunglav</t>
        </is>
      </c>
      <c r="S36">
        <f>HYPERLINK("https://klasma.github.io/Logging_0680/artfynd/A 16652-2020 artfynd.xlsx", "A 16652-2020")</f>
        <v/>
      </c>
      <c r="T36">
        <f>HYPERLINK("https://klasma.github.io/Logging_0680/kartor/A 16652-2020 karta.png", "A 16652-2020")</f>
        <v/>
      </c>
      <c r="V36">
        <f>HYPERLINK("https://klasma.github.io/Logging_0680/klagomål/A 16652-2020 FSC-klagomål.docx", "A 16652-2020")</f>
        <v/>
      </c>
      <c r="W36">
        <f>HYPERLINK("https://klasma.github.io/Logging_0680/klagomålsmail/A 16652-2020 FSC-klagomål mail.docx", "A 16652-2020")</f>
        <v/>
      </c>
      <c r="X36">
        <f>HYPERLINK("https://klasma.github.io/Logging_0680/tillsyn/A 16652-2020 tillsynsbegäran.docx", "A 16652-2020")</f>
        <v/>
      </c>
      <c r="Y36">
        <f>HYPERLINK("https://klasma.github.io/Logging_0680/tillsynsmail/A 16652-2020 tillsynsbegäran mail.docx", "A 16652-2020")</f>
        <v/>
      </c>
    </row>
    <row r="37" ht="15" customHeight="1">
      <c r="A37" t="inlineStr">
        <is>
          <t>A 46397-2020</t>
        </is>
      </c>
      <c r="B37" s="1" t="n">
        <v>44094</v>
      </c>
      <c r="C37" s="1" t="n">
        <v>45791</v>
      </c>
      <c r="D37" t="inlineStr">
        <is>
          <t>JÖNKÖPINGS LÄN</t>
        </is>
      </c>
      <c r="E37" t="inlineStr">
        <is>
          <t>JÖNKÖPING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Spindelbock</t>
        </is>
      </c>
      <c r="S37">
        <f>HYPERLINK("https://klasma.github.io/Logging_0680/artfynd/A 46397-2020 artfynd.xlsx", "A 46397-2020")</f>
        <v/>
      </c>
      <c r="T37">
        <f>HYPERLINK("https://klasma.github.io/Logging_0680/kartor/A 46397-2020 karta.png", "A 46397-2020")</f>
        <v/>
      </c>
      <c r="V37">
        <f>HYPERLINK("https://klasma.github.io/Logging_0680/klagomål/A 46397-2020 FSC-klagomål.docx", "A 46397-2020")</f>
        <v/>
      </c>
      <c r="W37">
        <f>HYPERLINK("https://klasma.github.io/Logging_0680/klagomålsmail/A 46397-2020 FSC-klagomål mail.docx", "A 46397-2020")</f>
        <v/>
      </c>
      <c r="X37">
        <f>HYPERLINK("https://klasma.github.io/Logging_0680/tillsyn/A 46397-2020 tillsynsbegäran.docx", "A 46397-2020")</f>
        <v/>
      </c>
      <c r="Y37">
        <f>HYPERLINK("https://klasma.github.io/Logging_0680/tillsynsmail/A 46397-2020 tillsynsbegäran mail.docx", "A 46397-2020")</f>
        <v/>
      </c>
    </row>
    <row r="38" ht="15" customHeight="1">
      <c r="A38" t="inlineStr">
        <is>
          <t>A 59687-2020</t>
        </is>
      </c>
      <c r="B38" s="1" t="n">
        <v>44151</v>
      </c>
      <c r="C38" s="1" t="n">
        <v>45791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Spindelblomster</t>
        </is>
      </c>
      <c r="S38">
        <f>HYPERLINK("https://klasma.github.io/Logging_0680/artfynd/A 59687-2020 artfynd.xlsx", "A 59687-2020")</f>
        <v/>
      </c>
      <c r="T38">
        <f>HYPERLINK("https://klasma.github.io/Logging_0680/kartor/A 59687-2020 karta.png", "A 59687-2020")</f>
        <v/>
      </c>
      <c r="V38">
        <f>HYPERLINK("https://klasma.github.io/Logging_0680/klagomål/A 59687-2020 FSC-klagomål.docx", "A 59687-2020")</f>
        <v/>
      </c>
      <c r="W38">
        <f>HYPERLINK("https://klasma.github.io/Logging_0680/klagomålsmail/A 59687-2020 FSC-klagomål mail.docx", "A 59687-2020")</f>
        <v/>
      </c>
      <c r="X38">
        <f>HYPERLINK("https://klasma.github.io/Logging_0680/tillsyn/A 59687-2020 tillsynsbegäran.docx", "A 59687-2020")</f>
        <v/>
      </c>
      <c r="Y38">
        <f>HYPERLINK("https://klasma.github.io/Logging_0680/tillsynsmail/A 59687-2020 tillsynsbegäran mail.docx", "A 59687-2020")</f>
        <v/>
      </c>
    </row>
    <row r="39" ht="15" customHeight="1">
      <c r="A39" t="inlineStr">
        <is>
          <t>A 42369-2022</t>
        </is>
      </c>
      <c r="B39" s="1" t="n">
        <v>44831</v>
      </c>
      <c r="C39" s="1" t="n">
        <v>45791</v>
      </c>
      <c r="D39" t="inlineStr">
        <is>
          <t>JÖNKÖPINGS LÄN</t>
        </is>
      </c>
      <c r="E39" t="inlineStr">
        <is>
          <t>JÖNKÖPING</t>
        </is>
      </c>
      <c r="G39" t="n">
        <v>6.8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Mörk husmossa
Västlig hakmossa</t>
        </is>
      </c>
      <c r="S39">
        <f>HYPERLINK("https://klasma.github.io/Logging_0680/artfynd/A 42369-2022 artfynd.xlsx", "A 42369-2022")</f>
        <v/>
      </c>
      <c r="T39">
        <f>HYPERLINK("https://klasma.github.io/Logging_0680/kartor/A 42369-2022 karta.png", "A 42369-2022")</f>
        <v/>
      </c>
      <c r="V39">
        <f>HYPERLINK("https://klasma.github.io/Logging_0680/klagomål/A 42369-2022 FSC-klagomål.docx", "A 42369-2022")</f>
        <v/>
      </c>
      <c r="W39">
        <f>HYPERLINK("https://klasma.github.io/Logging_0680/klagomålsmail/A 42369-2022 FSC-klagomål mail.docx", "A 42369-2022")</f>
        <v/>
      </c>
      <c r="X39">
        <f>HYPERLINK("https://klasma.github.io/Logging_0680/tillsyn/A 42369-2022 tillsynsbegäran.docx", "A 42369-2022")</f>
        <v/>
      </c>
      <c r="Y39">
        <f>HYPERLINK("https://klasma.github.io/Logging_0680/tillsynsmail/A 42369-2022 tillsynsbegäran mail.docx", "A 42369-2022")</f>
        <v/>
      </c>
    </row>
    <row r="40" ht="15" customHeight="1">
      <c r="A40" t="inlineStr">
        <is>
          <t>A 10991-2023</t>
        </is>
      </c>
      <c r="B40" s="1" t="n">
        <v>44991</v>
      </c>
      <c r="C40" s="1" t="n">
        <v>45791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Kornig nållav</t>
        </is>
      </c>
      <c r="S40">
        <f>HYPERLINK("https://klasma.github.io/Logging_0680/artfynd/A 10991-2023 artfynd.xlsx", "A 10991-2023")</f>
        <v/>
      </c>
      <c r="T40">
        <f>HYPERLINK("https://klasma.github.io/Logging_0680/kartor/A 10991-2023 karta.png", "A 10991-2023")</f>
        <v/>
      </c>
      <c r="V40">
        <f>HYPERLINK("https://klasma.github.io/Logging_0680/klagomål/A 10991-2023 FSC-klagomål.docx", "A 10991-2023")</f>
        <v/>
      </c>
      <c r="W40">
        <f>HYPERLINK("https://klasma.github.io/Logging_0680/klagomålsmail/A 10991-2023 FSC-klagomål mail.docx", "A 10991-2023")</f>
        <v/>
      </c>
      <c r="X40">
        <f>HYPERLINK("https://klasma.github.io/Logging_0680/tillsyn/A 10991-2023 tillsynsbegäran.docx", "A 10991-2023")</f>
        <v/>
      </c>
      <c r="Y40">
        <f>HYPERLINK("https://klasma.github.io/Logging_0680/tillsynsmail/A 10991-2023 tillsynsbegäran mail.docx", "A 10991-2023")</f>
        <v/>
      </c>
    </row>
    <row r="41" ht="15" customHeight="1">
      <c r="A41" t="inlineStr">
        <is>
          <t>A 20756-2023</t>
        </is>
      </c>
      <c r="B41" s="1" t="n">
        <v>45058</v>
      </c>
      <c r="C41" s="1" t="n">
        <v>45791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Naverlönn
Åkerkål</t>
        </is>
      </c>
      <c r="S41">
        <f>HYPERLINK("https://klasma.github.io/Logging_0680/artfynd/A 20756-2023 artfynd.xlsx", "A 20756-2023")</f>
        <v/>
      </c>
      <c r="T41">
        <f>HYPERLINK("https://klasma.github.io/Logging_0680/kartor/A 20756-2023 karta.png", "A 20756-2023")</f>
        <v/>
      </c>
      <c r="V41">
        <f>HYPERLINK("https://klasma.github.io/Logging_0680/klagomål/A 20756-2023 FSC-klagomål.docx", "A 20756-2023")</f>
        <v/>
      </c>
      <c r="W41">
        <f>HYPERLINK("https://klasma.github.io/Logging_0680/klagomålsmail/A 20756-2023 FSC-klagomål mail.docx", "A 20756-2023")</f>
        <v/>
      </c>
      <c r="X41">
        <f>HYPERLINK("https://klasma.github.io/Logging_0680/tillsyn/A 20756-2023 tillsynsbegäran.docx", "A 20756-2023")</f>
        <v/>
      </c>
      <c r="Y41">
        <f>HYPERLINK("https://klasma.github.io/Logging_0680/tillsynsmail/A 20756-2023 tillsynsbegäran mail.docx", "A 20756-2023")</f>
        <v/>
      </c>
    </row>
    <row r="42" ht="15" customHeight="1">
      <c r="A42" t="inlineStr">
        <is>
          <t>A 40296-2023</t>
        </is>
      </c>
      <c r="B42" s="1" t="n">
        <v>45169</v>
      </c>
      <c r="C42" s="1" t="n">
        <v>45791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Blomkålssvamp</t>
        </is>
      </c>
      <c r="S42">
        <f>HYPERLINK("https://klasma.github.io/Logging_0680/artfynd/A 40296-2023 artfynd.xlsx", "A 40296-2023")</f>
        <v/>
      </c>
      <c r="T42">
        <f>HYPERLINK("https://klasma.github.io/Logging_0680/kartor/A 40296-2023 karta.png", "A 40296-2023")</f>
        <v/>
      </c>
      <c r="U42">
        <f>HYPERLINK("https://klasma.github.io/Logging_0680/knärot/A 40296-2023 karta knärot.png", "A 40296-2023")</f>
        <v/>
      </c>
      <c r="V42">
        <f>HYPERLINK("https://klasma.github.io/Logging_0680/klagomål/A 40296-2023 FSC-klagomål.docx", "A 40296-2023")</f>
        <v/>
      </c>
      <c r="W42">
        <f>HYPERLINK("https://klasma.github.io/Logging_0680/klagomålsmail/A 40296-2023 FSC-klagomål mail.docx", "A 40296-2023")</f>
        <v/>
      </c>
      <c r="X42">
        <f>HYPERLINK("https://klasma.github.io/Logging_0680/tillsyn/A 40296-2023 tillsynsbegäran.docx", "A 40296-2023")</f>
        <v/>
      </c>
      <c r="Y42">
        <f>HYPERLINK("https://klasma.github.io/Logging_0680/tillsynsmail/A 40296-2023 tillsynsbegäran mail.docx", "A 40296-2023")</f>
        <v/>
      </c>
    </row>
    <row r="43" ht="15" customHeight="1">
      <c r="A43" t="inlineStr">
        <is>
          <t>A 1235-2024</t>
        </is>
      </c>
      <c r="B43" s="1" t="n">
        <v>45302</v>
      </c>
      <c r="C43" s="1" t="n">
        <v>45791</v>
      </c>
      <c r="D43" t="inlineStr">
        <is>
          <t>JÖNKÖPINGS LÄN</t>
        </is>
      </c>
      <c r="E43" t="inlineStr">
        <is>
          <t>JÖNKÖPING</t>
        </is>
      </c>
      <c r="G43" t="n">
        <v>2.8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Lakritsmusseron
Dropptaggsvamp</t>
        </is>
      </c>
      <c r="S43">
        <f>HYPERLINK("https://klasma.github.io/Logging_0680/artfynd/A 1235-2024 artfynd.xlsx", "A 1235-2024")</f>
        <v/>
      </c>
      <c r="T43">
        <f>HYPERLINK("https://klasma.github.io/Logging_0680/kartor/A 1235-2024 karta.png", "A 1235-2024")</f>
        <v/>
      </c>
      <c r="V43">
        <f>HYPERLINK("https://klasma.github.io/Logging_0680/klagomål/A 1235-2024 FSC-klagomål.docx", "A 1235-2024")</f>
        <v/>
      </c>
      <c r="W43">
        <f>HYPERLINK("https://klasma.github.io/Logging_0680/klagomålsmail/A 1235-2024 FSC-klagomål mail.docx", "A 1235-2024")</f>
        <v/>
      </c>
      <c r="X43">
        <f>HYPERLINK("https://klasma.github.io/Logging_0680/tillsyn/A 1235-2024 tillsynsbegäran.docx", "A 1235-2024")</f>
        <v/>
      </c>
      <c r="Y43">
        <f>HYPERLINK("https://klasma.github.io/Logging_0680/tillsynsmail/A 1235-2024 tillsynsbegäran mail.docx", "A 1235-2024")</f>
        <v/>
      </c>
    </row>
    <row r="44" ht="15" customHeight="1">
      <c r="A44" t="inlineStr">
        <is>
          <t>A 9221-2024</t>
        </is>
      </c>
      <c r="B44" s="1" t="n">
        <v>45358</v>
      </c>
      <c r="C44" s="1" t="n">
        <v>45791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Blomkålssvamp</t>
        </is>
      </c>
      <c r="S44">
        <f>HYPERLINK("https://klasma.github.io/Logging_0680/artfynd/A 9221-2024 artfynd.xlsx", "A 9221-2024")</f>
        <v/>
      </c>
      <c r="T44">
        <f>HYPERLINK("https://klasma.github.io/Logging_0680/kartor/A 9221-2024 karta.png", "A 9221-2024")</f>
        <v/>
      </c>
      <c r="V44">
        <f>HYPERLINK("https://klasma.github.io/Logging_0680/klagomål/A 9221-2024 FSC-klagomål.docx", "A 9221-2024")</f>
        <v/>
      </c>
      <c r="W44">
        <f>HYPERLINK("https://klasma.github.io/Logging_0680/klagomålsmail/A 9221-2024 FSC-klagomål mail.docx", "A 9221-2024")</f>
        <v/>
      </c>
      <c r="X44">
        <f>HYPERLINK("https://klasma.github.io/Logging_0680/tillsyn/A 9221-2024 tillsynsbegäran.docx", "A 9221-2024")</f>
        <v/>
      </c>
      <c r="Y44">
        <f>HYPERLINK("https://klasma.github.io/Logging_0680/tillsynsmail/A 9221-2024 tillsynsbegäran mail.docx", "A 9221-2024")</f>
        <v/>
      </c>
    </row>
    <row r="45" ht="15" customHeight="1">
      <c r="A45" t="inlineStr">
        <is>
          <t>A 37016-2024</t>
        </is>
      </c>
      <c r="B45" s="1" t="n">
        <v>45539</v>
      </c>
      <c r="C45" s="1" t="n">
        <v>45791</v>
      </c>
      <c r="D45" t="inlineStr">
        <is>
          <t>JÖNKÖPINGS LÄN</t>
        </is>
      </c>
      <c r="E45" t="inlineStr">
        <is>
          <t>JÖNKÖPING</t>
        </is>
      </c>
      <c r="G45" t="n">
        <v>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Vårärt</t>
        </is>
      </c>
      <c r="S45">
        <f>HYPERLINK("https://klasma.github.io/Logging_0680/artfynd/A 37016-2024 artfynd.xlsx", "A 37016-2024")</f>
        <v/>
      </c>
      <c r="T45">
        <f>HYPERLINK("https://klasma.github.io/Logging_0680/kartor/A 37016-2024 karta.png", "A 37016-2024")</f>
        <v/>
      </c>
      <c r="V45">
        <f>HYPERLINK("https://klasma.github.io/Logging_0680/klagomål/A 37016-2024 FSC-klagomål.docx", "A 37016-2024")</f>
        <v/>
      </c>
      <c r="W45">
        <f>HYPERLINK("https://klasma.github.io/Logging_0680/klagomålsmail/A 37016-2024 FSC-klagomål mail.docx", "A 37016-2024")</f>
        <v/>
      </c>
      <c r="X45">
        <f>HYPERLINK("https://klasma.github.io/Logging_0680/tillsyn/A 37016-2024 tillsynsbegäran.docx", "A 37016-2024")</f>
        <v/>
      </c>
      <c r="Y45">
        <f>HYPERLINK("https://klasma.github.io/Logging_0680/tillsynsmail/A 37016-2024 tillsynsbegäran mail.docx", "A 37016-2024")</f>
        <v/>
      </c>
    </row>
    <row r="46" ht="15" customHeight="1">
      <c r="A46" t="inlineStr">
        <is>
          <t>A 47483-2024</t>
        </is>
      </c>
      <c r="B46" s="1" t="n">
        <v>45587</v>
      </c>
      <c r="C46" s="1" t="n">
        <v>45791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Blåmossa</t>
        </is>
      </c>
      <c r="S46">
        <f>HYPERLINK("https://klasma.github.io/Logging_0680/artfynd/A 47483-2024 artfynd.xlsx", "A 47483-2024")</f>
        <v/>
      </c>
      <c r="T46">
        <f>HYPERLINK("https://klasma.github.io/Logging_0680/kartor/A 47483-2024 karta.png", "A 47483-2024")</f>
        <v/>
      </c>
      <c r="V46">
        <f>HYPERLINK("https://klasma.github.io/Logging_0680/klagomål/A 47483-2024 FSC-klagomål.docx", "A 47483-2024")</f>
        <v/>
      </c>
      <c r="W46">
        <f>HYPERLINK("https://klasma.github.io/Logging_0680/klagomålsmail/A 47483-2024 FSC-klagomål mail.docx", "A 47483-2024")</f>
        <v/>
      </c>
      <c r="X46">
        <f>HYPERLINK("https://klasma.github.io/Logging_0680/tillsyn/A 47483-2024 tillsynsbegäran.docx", "A 47483-2024")</f>
        <v/>
      </c>
      <c r="Y46">
        <f>HYPERLINK("https://klasma.github.io/Logging_0680/tillsynsmail/A 47483-2024 tillsynsbegäran mail.docx", "A 47483-2024")</f>
        <v/>
      </c>
    </row>
    <row r="47" ht="15" customHeight="1">
      <c r="A47" t="inlineStr">
        <is>
          <t>A 52603-2024</t>
        </is>
      </c>
      <c r="B47" s="1" t="n">
        <v>45609</v>
      </c>
      <c r="C47" s="1" t="n">
        <v>45791</v>
      </c>
      <c r="D47" t="inlineStr">
        <is>
          <t>JÖNKÖPINGS LÄN</t>
        </is>
      </c>
      <c r="E47" t="inlineStr">
        <is>
          <t>JÖNKÖPING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HYPERLINK("https://klasma.github.io/Logging_0680/artfynd/A 52603-2024 artfynd.xlsx", "A 52603-2024")</f>
        <v/>
      </c>
      <c r="T47">
        <f>HYPERLINK("https://klasma.github.io/Logging_0680/kartor/A 52603-2024 karta.png", "A 52603-2024")</f>
        <v/>
      </c>
      <c r="V47">
        <f>HYPERLINK("https://klasma.github.io/Logging_0680/klagomål/A 52603-2024 FSC-klagomål.docx", "A 52603-2024")</f>
        <v/>
      </c>
      <c r="W47">
        <f>HYPERLINK("https://klasma.github.io/Logging_0680/klagomålsmail/A 52603-2024 FSC-klagomål mail.docx", "A 52603-2024")</f>
        <v/>
      </c>
      <c r="X47">
        <f>HYPERLINK("https://klasma.github.io/Logging_0680/tillsyn/A 52603-2024 tillsynsbegäran.docx", "A 52603-2024")</f>
        <v/>
      </c>
      <c r="Y47">
        <f>HYPERLINK("https://klasma.github.io/Logging_0680/tillsynsmail/A 52603-2024 tillsynsbegäran mail.docx", "A 52603-2024")</f>
        <v/>
      </c>
    </row>
    <row r="48" ht="15" customHeight="1">
      <c r="A48" t="inlineStr">
        <is>
          <t>A 61520-2024</t>
        </is>
      </c>
      <c r="B48" s="1" t="n">
        <v>45646</v>
      </c>
      <c r="C48" s="1" t="n">
        <v>45791</v>
      </c>
      <c r="D48" t="inlineStr">
        <is>
          <t>JÖNKÖPINGS LÄN</t>
        </is>
      </c>
      <c r="E48" t="inlineStr">
        <is>
          <t>JÖNKÖPING</t>
        </is>
      </c>
      <c r="G48" t="n">
        <v>4.8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Blek kraterlav
Storgröe</t>
        </is>
      </c>
      <c r="S48">
        <f>HYPERLINK("https://klasma.github.io/Logging_0680/artfynd/A 61520-2024 artfynd.xlsx", "A 61520-2024")</f>
        <v/>
      </c>
      <c r="T48">
        <f>HYPERLINK("https://klasma.github.io/Logging_0680/kartor/A 61520-2024 karta.png", "A 61520-2024")</f>
        <v/>
      </c>
      <c r="V48">
        <f>HYPERLINK("https://klasma.github.io/Logging_0680/klagomål/A 61520-2024 FSC-klagomål.docx", "A 61520-2024")</f>
        <v/>
      </c>
      <c r="W48">
        <f>HYPERLINK("https://klasma.github.io/Logging_0680/klagomålsmail/A 61520-2024 FSC-klagomål mail.docx", "A 61520-2024")</f>
        <v/>
      </c>
      <c r="X48">
        <f>HYPERLINK("https://klasma.github.io/Logging_0680/tillsyn/A 61520-2024 tillsynsbegäran.docx", "A 61520-2024")</f>
        <v/>
      </c>
      <c r="Y48">
        <f>HYPERLINK("https://klasma.github.io/Logging_0680/tillsynsmail/A 61520-2024 tillsynsbegäran mail.docx", "A 61520-2024")</f>
        <v/>
      </c>
    </row>
    <row r="49" ht="15" customHeight="1">
      <c r="A49" t="inlineStr">
        <is>
          <t>A 3362-2025</t>
        </is>
      </c>
      <c r="B49" s="1" t="n">
        <v>45680</v>
      </c>
      <c r="C49" s="1" t="n">
        <v>45791</v>
      </c>
      <c r="D49" t="inlineStr">
        <is>
          <t>JÖNKÖPINGS LÄN</t>
        </is>
      </c>
      <c r="E49" t="inlineStr">
        <is>
          <t>JÖNKÖPING</t>
        </is>
      </c>
      <c r="G49" t="n">
        <v>3.7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HYPERLINK("https://klasma.github.io/Logging_0680/artfynd/A 3362-2025 artfynd.xlsx", "A 3362-2025")</f>
        <v/>
      </c>
      <c r="T49">
        <f>HYPERLINK("https://klasma.github.io/Logging_0680/kartor/A 3362-2025 karta.png", "A 3362-2025")</f>
        <v/>
      </c>
      <c r="V49">
        <f>HYPERLINK("https://klasma.github.io/Logging_0680/klagomål/A 3362-2025 FSC-klagomål.docx", "A 3362-2025")</f>
        <v/>
      </c>
      <c r="W49">
        <f>HYPERLINK("https://klasma.github.io/Logging_0680/klagomålsmail/A 3362-2025 FSC-klagomål mail.docx", "A 3362-2025")</f>
        <v/>
      </c>
      <c r="X49">
        <f>HYPERLINK("https://klasma.github.io/Logging_0680/tillsyn/A 3362-2025 tillsynsbegäran.docx", "A 3362-2025")</f>
        <v/>
      </c>
      <c r="Y49">
        <f>HYPERLINK("https://klasma.github.io/Logging_0680/tillsynsmail/A 3362-2025 tillsynsbegäran mail.docx", "A 3362-2025")</f>
        <v/>
      </c>
    </row>
    <row r="50" ht="15" customHeight="1">
      <c r="A50" t="inlineStr">
        <is>
          <t>A 3361-2025</t>
        </is>
      </c>
      <c r="B50" s="1" t="n">
        <v>45680</v>
      </c>
      <c r="C50" s="1" t="n">
        <v>45791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16501-2025</t>
        </is>
      </c>
      <c r="B51" s="1" t="n">
        <v>45751</v>
      </c>
      <c r="C51" s="1" t="n">
        <v>45791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0.6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Nattskärra
Tjäder</t>
        </is>
      </c>
      <c r="S51">
        <f>HYPERLINK("https://klasma.github.io/Logging_060680/artfynd/A 16501-2025 artfynd.xlsx", "A 16501-2025")</f>
        <v/>
      </c>
      <c r="T51">
        <f>HYPERLINK("https://klasma.github.io/Logging_060680/kartor/A 16501-2025 karta.png", "A 16501-2025")</f>
        <v/>
      </c>
      <c r="V51">
        <f>HYPERLINK("https://klasma.github.io/Logging_060680/klagomål/A 16501-2025 FSC-klagomål.docx", "A 16501-2025")</f>
        <v/>
      </c>
      <c r="W51">
        <f>HYPERLINK("https://klasma.github.io/Logging_060680/klagomålsmail/A 16501-2025 FSC-klagomål mail.docx", "A 16501-2025")</f>
        <v/>
      </c>
      <c r="X51">
        <f>HYPERLINK("https://klasma.github.io/Logging_060680/tillsyn/A 16501-2025 tillsynsbegäran.docx", "A 16501-2025")</f>
        <v/>
      </c>
      <c r="Y51">
        <f>HYPERLINK("https://klasma.github.io/Logging_060680/tillsynsmail/A 16501-2025 tillsynsbegäran mail.docx", "A 16501-2025")</f>
        <v/>
      </c>
      <c r="Z51">
        <f>HYPERLINK("https://klasma.github.io/Logging_060680/fåglar/A 16501-2025 prioriterade fågelarter.docx", "A 16501-2025")</f>
        <v/>
      </c>
    </row>
    <row r="52" ht="15" customHeight="1">
      <c r="A52" t="inlineStr">
        <is>
          <t>A 23066-2025</t>
        </is>
      </c>
      <c r="B52" s="1" t="n">
        <v>45790</v>
      </c>
      <c r="C52" s="1" t="n">
        <v>45791</v>
      </c>
      <c r="D52" t="inlineStr">
        <is>
          <t>JÖNKÖPINGS LÄN</t>
        </is>
      </c>
      <c r="E52" t="inlineStr">
        <is>
          <t>JÖNKÖPING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Slåttergubbe
Nattviol</t>
        </is>
      </c>
      <c r="S52">
        <f>HYPERLINK("https://klasma.github.io/Logging_060680/artfynd/A 23066-2025 artfynd.xlsx", "A 23066-2025")</f>
        <v/>
      </c>
      <c r="T52">
        <f>HYPERLINK("https://klasma.github.io/Logging_060680/kartor/A 23066-2025 karta.png", "A 23066-2025")</f>
        <v/>
      </c>
      <c r="V52">
        <f>HYPERLINK("https://klasma.github.io/Logging_060680/klagomål/A 23066-2025 FSC-klagomål.docx", "A 23066-2025")</f>
        <v/>
      </c>
      <c r="W52">
        <f>HYPERLINK("https://klasma.github.io/Logging_060680/klagomålsmail/A 23066-2025 FSC-klagomål mail.docx", "A 23066-2025")</f>
        <v/>
      </c>
      <c r="X52">
        <f>HYPERLINK("https://klasma.github.io/Logging_060680/tillsyn/A 23066-2025 tillsynsbegäran.docx", "A 23066-2025")</f>
        <v/>
      </c>
      <c r="Y52">
        <f>HYPERLINK("https://klasma.github.io/Logging_060680/tillsynsmail/A 23066-2025 tillsynsbegäran mail.docx", "A 23066-2025")</f>
        <v/>
      </c>
    </row>
    <row r="53" ht="15" customHeight="1">
      <c r="A53" t="inlineStr">
        <is>
          <t>A 26905-2019</t>
        </is>
      </c>
      <c r="B53" s="1" t="n">
        <v>43609</v>
      </c>
      <c r="C53" s="1" t="n">
        <v>45791</v>
      </c>
      <c r="D53" t="inlineStr">
        <is>
          <t>JÖNKÖPINGS LÄN</t>
        </is>
      </c>
      <c r="E53" t="inlineStr">
        <is>
          <t>JÖNKÖPING</t>
        </is>
      </c>
      <c r="G53" t="n">
        <v>4.4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Kustdaggkåpa</t>
        </is>
      </c>
      <c r="S53">
        <f>HYPERLINK("https://klasma.github.io/Logging_0680/artfynd/A 26905-2019 artfynd.xlsx", "A 26905-2019")</f>
        <v/>
      </c>
      <c r="T53">
        <f>HYPERLINK("https://klasma.github.io/Logging_0680/kartor/A 26905-2019 karta.png", "A 26905-2019")</f>
        <v/>
      </c>
      <c r="V53">
        <f>HYPERLINK("https://klasma.github.io/Logging_0680/klagomål/A 26905-2019 FSC-klagomål.docx", "A 26905-2019")</f>
        <v/>
      </c>
      <c r="W53">
        <f>HYPERLINK("https://klasma.github.io/Logging_0680/klagomålsmail/A 26905-2019 FSC-klagomål mail.docx", "A 26905-2019")</f>
        <v/>
      </c>
      <c r="X53">
        <f>HYPERLINK("https://klasma.github.io/Logging_0680/tillsyn/A 26905-2019 tillsynsbegäran.docx", "A 26905-2019")</f>
        <v/>
      </c>
      <c r="Y53">
        <f>HYPERLINK("https://klasma.github.io/Logging_0680/tillsynsmail/A 26905-2019 tillsynsbegäran mail.docx", "A 26905-2019")</f>
        <v/>
      </c>
    </row>
    <row r="54" ht="15" customHeight="1">
      <c r="A54" t="inlineStr">
        <is>
          <t>A 28694-2019</t>
        </is>
      </c>
      <c r="B54" s="1" t="n">
        <v>43614</v>
      </c>
      <c r="C54" s="1" t="n">
        <v>45791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28694-2019 artfynd.xlsx", "A 28694-2019")</f>
        <v/>
      </c>
      <c r="T54">
        <f>HYPERLINK("https://klasma.github.io/Logging_0680/kartor/A 28694-2019 karta.png", "A 28694-2019")</f>
        <v/>
      </c>
      <c r="U54">
        <f>HYPERLINK("https://klasma.github.io/Logging_0680/knärot/A 28694-2019 karta knärot.png", "A 28694-2019")</f>
        <v/>
      </c>
      <c r="V54">
        <f>HYPERLINK("https://klasma.github.io/Logging_0680/klagomål/A 28694-2019 FSC-klagomål.docx", "A 28694-2019")</f>
        <v/>
      </c>
      <c r="W54">
        <f>HYPERLINK("https://klasma.github.io/Logging_0680/klagomålsmail/A 28694-2019 FSC-klagomål mail.docx", "A 28694-2019")</f>
        <v/>
      </c>
      <c r="X54">
        <f>HYPERLINK("https://klasma.github.io/Logging_0680/tillsyn/A 28694-2019 tillsynsbegäran.docx", "A 28694-2019")</f>
        <v/>
      </c>
      <c r="Y54">
        <f>HYPERLINK("https://klasma.github.io/Logging_0680/tillsynsmail/A 28694-2019 tillsynsbegäran mail.docx", "A 28694-2019")</f>
        <v/>
      </c>
    </row>
    <row r="55" ht="15" customHeight="1">
      <c r="A55" t="inlineStr">
        <is>
          <t>A 28682-2019</t>
        </is>
      </c>
      <c r="B55" s="1" t="n">
        <v>43627</v>
      </c>
      <c r="C55" s="1" t="n">
        <v>45791</v>
      </c>
      <c r="D55" t="inlineStr">
        <is>
          <t>JÖNKÖPINGS LÄN</t>
        </is>
      </c>
      <c r="E55" t="inlineStr">
        <is>
          <t>JÖNKÖPING</t>
        </is>
      </c>
      <c r="G55" t="n">
        <v>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HYPERLINK("https://klasma.github.io/Logging_0680/artfynd/A 28682-2019 artfynd.xlsx", "A 28682-2019")</f>
        <v/>
      </c>
      <c r="T55">
        <f>HYPERLINK("https://klasma.github.io/Logging_0680/kartor/A 28682-2019 karta.png", "A 28682-2019")</f>
        <v/>
      </c>
      <c r="V55">
        <f>HYPERLINK("https://klasma.github.io/Logging_0680/klagomål/A 28682-2019 FSC-klagomål.docx", "A 28682-2019")</f>
        <v/>
      </c>
      <c r="W55">
        <f>HYPERLINK("https://klasma.github.io/Logging_0680/klagomålsmail/A 28682-2019 FSC-klagomål mail.docx", "A 28682-2019")</f>
        <v/>
      </c>
      <c r="X55">
        <f>HYPERLINK("https://klasma.github.io/Logging_0680/tillsyn/A 28682-2019 tillsynsbegäran.docx", "A 28682-2019")</f>
        <v/>
      </c>
      <c r="Y55">
        <f>HYPERLINK("https://klasma.github.io/Logging_0680/tillsynsmail/A 28682-2019 tillsynsbegäran mail.docx", "A 28682-2019")</f>
        <v/>
      </c>
    </row>
    <row r="56" ht="15" customHeight="1">
      <c r="A56" t="inlineStr">
        <is>
          <t>A 35825-2019</t>
        </is>
      </c>
      <c r="B56" s="1" t="n">
        <v>43665</v>
      </c>
      <c r="C56" s="1" t="n">
        <v>45791</v>
      </c>
      <c r="D56" t="inlineStr">
        <is>
          <t>JÖNKÖPINGS LÄN</t>
        </is>
      </c>
      <c r="E56" t="inlineStr">
        <is>
          <t>JÖNKÖPING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35825-2019 artfynd.xlsx", "A 35825-2019")</f>
        <v/>
      </c>
      <c r="T56">
        <f>HYPERLINK("https://klasma.github.io/Logging_0680/kartor/A 35825-2019 karta.png", "A 35825-2019")</f>
        <v/>
      </c>
      <c r="U56">
        <f>HYPERLINK("https://klasma.github.io/Logging_0680/knärot/A 35825-2019 karta knärot.png", "A 35825-2019")</f>
        <v/>
      </c>
      <c r="V56">
        <f>HYPERLINK("https://klasma.github.io/Logging_0680/klagomål/A 35825-2019 FSC-klagomål.docx", "A 35825-2019")</f>
        <v/>
      </c>
      <c r="W56">
        <f>HYPERLINK("https://klasma.github.io/Logging_0680/klagomålsmail/A 35825-2019 FSC-klagomål mail.docx", "A 35825-2019")</f>
        <v/>
      </c>
      <c r="X56">
        <f>HYPERLINK("https://klasma.github.io/Logging_0680/tillsyn/A 35825-2019 tillsynsbegäran.docx", "A 35825-2019")</f>
        <v/>
      </c>
      <c r="Y56">
        <f>HYPERLINK("https://klasma.github.io/Logging_0680/tillsynsmail/A 35825-2019 tillsynsbegäran mail.docx", "A 35825-2019")</f>
        <v/>
      </c>
    </row>
    <row r="57" ht="15" customHeight="1">
      <c r="A57" t="inlineStr">
        <is>
          <t>A 48689-2019</t>
        </is>
      </c>
      <c r="B57" s="1" t="n">
        <v>43727</v>
      </c>
      <c r="C57" s="1" t="n">
        <v>45791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48689-2019 artfynd.xlsx", "A 48689-2019")</f>
        <v/>
      </c>
      <c r="T57">
        <f>HYPERLINK("https://klasma.github.io/Logging_0680/kartor/A 48689-2019 karta.png", "A 48689-2019")</f>
        <v/>
      </c>
      <c r="V57">
        <f>HYPERLINK("https://klasma.github.io/Logging_0680/klagomål/A 48689-2019 FSC-klagomål.docx", "A 48689-2019")</f>
        <v/>
      </c>
      <c r="W57">
        <f>HYPERLINK("https://klasma.github.io/Logging_0680/klagomålsmail/A 48689-2019 FSC-klagomål mail.docx", "A 48689-2019")</f>
        <v/>
      </c>
      <c r="X57">
        <f>HYPERLINK("https://klasma.github.io/Logging_0680/tillsyn/A 48689-2019 tillsynsbegäran.docx", "A 48689-2019")</f>
        <v/>
      </c>
      <c r="Y57">
        <f>HYPERLINK("https://klasma.github.io/Logging_0680/tillsynsmail/A 48689-2019 tillsynsbegäran mail.docx", "A 48689-2019")</f>
        <v/>
      </c>
    </row>
    <row r="58" ht="15" customHeight="1">
      <c r="A58" t="inlineStr">
        <is>
          <t>A 12704-2020</t>
        </is>
      </c>
      <c r="B58" s="1" t="n">
        <v>43899</v>
      </c>
      <c r="C58" s="1" t="n">
        <v>45791</v>
      </c>
      <c r="D58" t="inlineStr">
        <is>
          <t>JÖNKÖPINGS LÄN</t>
        </is>
      </c>
      <c r="E58" t="inlineStr">
        <is>
          <t>JÖNKÖPING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12704-2020 artfynd.xlsx", "A 12704-2020")</f>
        <v/>
      </c>
      <c r="T58">
        <f>HYPERLINK("https://klasma.github.io/Logging_0680/kartor/A 12704-2020 karta.png", "A 12704-2020")</f>
        <v/>
      </c>
      <c r="V58">
        <f>HYPERLINK("https://klasma.github.io/Logging_0680/klagomål/A 12704-2020 FSC-klagomål.docx", "A 12704-2020")</f>
        <v/>
      </c>
      <c r="W58">
        <f>HYPERLINK("https://klasma.github.io/Logging_0680/klagomålsmail/A 12704-2020 FSC-klagomål mail.docx", "A 12704-2020")</f>
        <v/>
      </c>
      <c r="X58">
        <f>HYPERLINK("https://klasma.github.io/Logging_0680/tillsyn/A 12704-2020 tillsynsbegäran.docx", "A 12704-2020")</f>
        <v/>
      </c>
      <c r="Y58">
        <f>HYPERLINK("https://klasma.github.io/Logging_0680/tillsynsmail/A 12704-2020 tillsynsbegäran mail.docx", "A 12704-2020")</f>
        <v/>
      </c>
    </row>
    <row r="59" ht="15" customHeight="1">
      <c r="A59" t="inlineStr">
        <is>
          <t>A 36238-2020</t>
        </is>
      </c>
      <c r="B59" s="1" t="n">
        <v>44018</v>
      </c>
      <c r="C59" s="1" t="n">
        <v>45791</v>
      </c>
      <c r="D59" t="inlineStr">
        <is>
          <t>JÖNKÖPINGS LÄN</t>
        </is>
      </c>
      <c r="E59" t="inlineStr">
        <is>
          <t>JÖNKÖPING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HYPERLINK("https://klasma.github.io/Logging_0680/artfynd/A 36238-2020 artfynd.xlsx", "A 36238-2020")</f>
        <v/>
      </c>
      <c r="T59">
        <f>HYPERLINK("https://klasma.github.io/Logging_0680/kartor/A 36238-2020 karta.png", "A 36238-2020")</f>
        <v/>
      </c>
      <c r="V59">
        <f>HYPERLINK("https://klasma.github.io/Logging_0680/klagomål/A 36238-2020 FSC-klagomål.docx", "A 36238-2020")</f>
        <v/>
      </c>
      <c r="W59">
        <f>HYPERLINK("https://klasma.github.io/Logging_0680/klagomålsmail/A 36238-2020 FSC-klagomål mail.docx", "A 36238-2020")</f>
        <v/>
      </c>
      <c r="X59">
        <f>HYPERLINK("https://klasma.github.io/Logging_0680/tillsyn/A 36238-2020 tillsynsbegäran.docx", "A 36238-2020")</f>
        <v/>
      </c>
      <c r="Y59">
        <f>HYPERLINK("https://klasma.github.io/Logging_0680/tillsynsmail/A 36238-2020 tillsynsbegäran mail.docx", "A 36238-2020")</f>
        <v/>
      </c>
    </row>
    <row r="60" ht="15" customHeight="1">
      <c r="A60" t="inlineStr">
        <is>
          <t>A 44144-2020</t>
        </is>
      </c>
      <c r="B60" s="1" t="n">
        <v>44083</v>
      </c>
      <c r="C60" s="1" t="n">
        <v>45791</v>
      </c>
      <c r="D60" t="inlineStr">
        <is>
          <t>JÖNKÖPINGS LÄN</t>
        </is>
      </c>
      <c r="E60" t="inlineStr">
        <is>
          <t>JÖNKÖPING</t>
        </is>
      </c>
      <c r="F60" t="inlineStr">
        <is>
          <t>Kommuner</t>
        </is>
      </c>
      <c r="G60" t="n">
        <v>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HYPERLINK("https://klasma.github.io/Logging_0680/artfynd/A 44144-2020 artfynd.xlsx", "A 44144-2020")</f>
        <v/>
      </c>
      <c r="T60">
        <f>HYPERLINK("https://klasma.github.io/Logging_0680/kartor/A 44144-2020 karta.png", "A 44144-2020")</f>
        <v/>
      </c>
      <c r="V60">
        <f>HYPERLINK("https://klasma.github.io/Logging_0680/klagomål/A 44144-2020 FSC-klagomål.docx", "A 44144-2020")</f>
        <v/>
      </c>
      <c r="W60">
        <f>HYPERLINK("https://klasma.github.io/Logging_0680/klagomålsmail/A 44144-2020 FSC-klagomål mail.docx", "A 44144-2020")</f>
        <v/>
      </c>
      <c r="X60">
        <f>HYPERLINK("https://klasma.github.io/Logging_0680/tillsyn/A 44144-2020 tillsynsbegäran.docx", "A 44144-2020")</f>
        <v/>
      </c>
      <c r="Y60">
        <f>HYPERLINK("https://klasma.github.io/Logging_0680/tillsynsmail/A 44144-2020 tillsynsbegäran mail.docx", "A 44144-2020")</f>
        <v/>
      </c>
    </row>
    <row r="61" ht="15" customHeight="1">
      <c r="A61" t="inlineStr">
        <is>
          <t>A 46552-2020</t>
        </is>
      </c>
      <c r="B61" s="1" t="n">
        <v>44095</v>
      </c>
      <c r="C61" s="1" t="n">
        <v>45791</v>
      </c>
      <c r="D61" t="inlineStr">
        <is>
          <t>JÖNKÖPINGS LÄN</t>
        </is>
      </c>
      <c r="E61" t="inlineStr">
        <is>
          <t>JÖNKÖPING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Granspira</t>
        </is>
      </c>
      <c r="S61">
        <f>HYPERLINK("https://klasma.github.io/Logging_0680/artfynd/A 46552-2020 artfynd.xlsx", "A 46552-2020")</f>
        <v/>
      </c>
      <c r="T61">
        <f>HYPERLINK("https://klasma.github.io/Logging_0680/kartor/A 46552-2020 karta.png", "A 46552-2020")</f>
        <v/>
      </c>
      <c r="V61">
        <f>HYPERLINK("https://klasma.github.io/Logging_0680/klagomål/A 46552-2020 FSC-klagomål.docx", "A 46552-2020")</f>
        <v/>
      </c>
      <c r="W61">
        <f>HYPERLINK("https://klasma.github.io/Logging_0680/klagomålsmail/A 46552-2020 FSC-klagomål mail.docx", "A 46552-2020")</f>
        <v/>
      </c>
      <c r="X61">
        <f>HYPERLINK("https://klasma.github.io/Logging_0680/tillsyn/A 46552-2020 tillsynsbegäran.docx", "A 46552-2020")</f>
        <v/>
      </c>
      <c r="Y61">
        <f>HYPERLINK("https://klasma.github.io/Logging_0680/tillsynsmail/A 46552-2020 tillsynsbegäran mail.docx", "A 46552-2020")</f>
        <v/>
      </c>
    </row>
    <row r="62" ht="15" customHeight="1">
      <c r="A62" t="inlineStr">
        <is>
          <t>A 14138-2021</t>
        </is>
      </c>
      <c r="B62" s="1" t="n">
        <v>44278</v>
      </c>
      <c r="C62" s="1" t="n">
        <v>45791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HYPERLINK("https://klasma.github.io/Logging_0680/artfynd/A 14138-2021 artfynd.xlsx", "A 14138-2021")</f>
        <v/>
      </c>
      <c r="T62">
        <f>HYPERLINK("https://klasma.github.io/Logging_0680/kartor/A 14138-2021 karta.png", "A 14138-2021")</f>
        <v/>
      </c>
      <c r="V62">
        <f>HYPERLINK("https://klasma.github.io/Logging_0680/klagomål/A 14138-2021 FSC-klagomål.docx", "A 14138-2021")</f>
        <v/>
      </c>
      <c r="W62">
        <f>HYPERLINK("https://klasma.github.io/Logging_0680/klagomålsmail/A 14138-2021 FSC-klagomål mail.docx", "A 14138-2021")</f>
        <v/>
      </c>
      <c r="X62">
        <f>HYPERLINK("https://klasma.github.io/Logging_0680/tillsyn/A 14138-2021 tillsynsbegäran.docx", "A 14138-2021")</f>
        <v/>
      </c>
      <c r="Y62">
        <f>HYPERLINK("https://klasma.github.io/Logging_0680/tillsynsmail/A 14138-2021 tillsynsbegäran mail.docx", "A 14138-2021")</f>
        <v/>
      </c>
    </row>
    <row r="63" ht="15" customHeight="1">
      <c r="A63" t="inlineStr">
        <is>
          <t>A 26343-2021</t>
        </is>
      </c>
      <c r="B63" s="1" t="n">
        <v>44347</v>
      </c>
      <c r="C63" s="1" t="n">
        <v>45791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HYPERLINK("https://klasma.github.io/Logging_0680/artfynd/A 26343-2021 artfynd.xlsx", "A 26343-2021")</f>
        <v/>
      </c>
      <c r="T63">
        <f>HYPERLINK("https://klasma.github.io/Logging_0680/kartor/A 26343-2021 karta.png", "A 26343-2021")</f>
        <v/>
      </c>
      <c r="V63">
        <f>HYPERLINK("https://klasma.github.io/Logging_0680/klagomål/A 26343-2021 FSC-klagomål.docx", "A 26343-2021")</f>
        <v/>
      </c>
      <c r="W63">
        <f>HYPERLINK("https://klasma.github.io/Logging_0680/klagomålsmail/A 26343-2021 FSC-klagomål mail.docx", "A 26343-2021")</f>
        <v/>
      </c>
      <c r="X63">
        <f>HYPERLINK("https://klasma.github.io/Logging_0680/tillsyn/A 26343-2021 tillsynsbegäran.docx", "A 26343-2021")</f>
        <v/>
      </c>
      <c r="Y63">
        <f>HYPERLINK("https://klasma.github.io/Logging_0680/tillsynsmail/A 26343-2021 tillsynsbegäran mail.docx", "A 26343-2021")</f>
        <v/>
      </c>
    </row>
    <row r="64" ht="15" customHeight="1">
      <c r="A64" t="inlineStr">
        <is>
          <t>A 38072-2021</t>
        </is>
      </c>
      <c r="B64" s="1" t="n">
        <v>44404</v>
      </c>
      <c r="C64" s="1" t="n">
        <v>45791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HYPERLINK("https://klasma.github.io/Logging_0680/artfynd/A 38072-2021 artfynd.xlsx", "A 38072-2021")</f>
        <v/>
      </c>
      <c r="T64">
        <f>HYPERLINK("https://klasma.github.io/Logging_0680/kartor/A 38072-2021 karta.png", "A 38072-2021")</f>
        <v/>
      </c>
      <c r="V64">
        <f>HYPERLINK("https://klasma.github.io/Logging_0680/klagomål/A 38072-2021 FSC-klagomål.docx", "A 38072-2021")</f>
        <v/>
      </c>
      <c r="W64">
        <f>HYPERLINK("https://klasma.github.io/Logging_0680/klagomålsmail/A 38072-2021 FSC-klagomål mail.docx", "A 38072-2021")</f>
        <v/>
      </c>
      <c r="X64">
        <f>HYPERLINK("https://klasma.github.io/Logging_0680/tillsyn/A 38072-2021 tillsynsbegäran.docx", "A 38072-2021")</f>
        <v/>
      </c>
      <c r="Y64">
        <f>HYPERLINK("https://klasma.github.io/Logging_0680/tillsynsmail/A 38072-2021 tillsynsbegäran mail.docx", "A 38072-2021")</f>
        <v/>
      </c>
    </row>
    <row r="65" ht="15" customHeight="1">
      <c r="A65" t="inlineStr">
        <is>
          <t>A 40268-2021</t>
        </is>
      </c>
      <c r="B65" s="1" t="n">
        <v>44419</v>
      </c>
      <c r="C65" s="1" t="n">
        <v>45791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HYPERLINK("https://klasma.github.io/Logging_0680/artfynd/A 40268-2021 artfynd.xlsx", "A 40268-2021")</f>
        <v/>
      </c>
      <c r="T65">
        <f>HYPERLINK("https://klasma.github.io/Logging_0680/kartor/A 40268-2021 karta.png", "A 40268-2021")</f>
        <v/>
      </c>
      <c r="V65">
        <f>HYPERLINK("https://klasma.github.io/Logging_0680/klagomål/A 40268-2021 FSC-klagomål.docx", "A 40268-2021")</f>
        <v/>
      </c>
      <c r="W65">
        <f>HYPERLINK("https://klasma.github.io/Logging_0680/klagomålsmail/A 40268-2021 FSC-klagomål mail.docx", "A 40268-2021")</f>
        <v/>
      </c>
      <c r="X65">
        <f>HYPERLINK("https://klasma.github.io/Logging_0680/tillsyn/A 40268-2021 tillsynsbegäran.docx", "A 40268-2021")</f>
        <v/>
      </c>
      <c r="Y65">
        <f>HYPERLINK("https://klasma.github.io/Logging_0680/tillsynsmail/A 40268-2021 tillsynsbegäran mail.docx", "A 40268-2021")</f>
        <v/>
      </c>
    </row>
    <row r="66" ht="15" customHeight="1">
      <c r="A66" t="inlineStr">
        <is>
          <t>A 48001-2021</t>
        </is>
      </c>
      <c r="B66" s="1" t="n">
        <v>44449</v>
      </c>
      <c r="C66" s="1" t="n">
        <v>45791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Sågtandad mycelbagge</t>
        </is>
      </c>
      <c r="S66">
        <f>HYPERLINK("https://klasma.github.io/Logging_0680/artfynd/A 48001-2021 artfynd.xlsx", "A 48001-2021")</f>
        <v/>
      </c>
      <c r="T66">
        <f>HYPERLINK("https://klasma.github.io/Logging_0680/kartor/A 48001-2021 karta.png", "A 48001-2021")</f>
        <v/>
      </c>
      <c r="V66">
        <f>HYPERLINK("https://klasma.github.io/Logging_0680/klagomål/A 48001-2021 FSC-klagomål.docx", "A 48001-2021")</f>
        <v/>
      </c>
      <c r="W66">
        <f>HYPERLINK("https://klasma.github.io/Logging_0680/klagomålsmail/A 48001-2021 FSC-klagomål mail.docx", "A 48001-2021")</f>
        <v/>
      </c>
      <c r="X66">
        <f>HYPERLINK("https://klasma.github.io/Logging_0680/tillsyn/A 48001-2021 tillsynsbegäran.docx", "A 48001-2021")</f>
        <v/>
      </c>
      <c r="Y66">
        <f>HYPERLINK("https://klasma.github.io/Logging_0680/tillsynsmail/A 48001-2021 tillsynsbegäran mail.docx", "A 48001-2021")</f>
        <v/>
      </c>
    </row>
    <row r="67" ht="15" customHeight="1">
      <c r="A67" t="inlineStr">
        <is>
          <t>A 52023-2021</t>
        </is>
      </c>
      <c r="B67" s="1" t="n">
        <v>44463</v>
      </c>
      <c r="C67" s="1" t="n">
        <v>45791</v>
      </c>
      <c r="D67" t="inlineStr">
        <is>
          <t>JÖNKÖPINGS LÄN</t>
        </is>
      </c>
      <c r="E67" t="inlineStr">
        <is>
          <t>JÖNKÖPING</t>
        </is>
      </c>
      <c r="G67" t="n">
        <v>2.9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HYPERLINK("https://klasma.github.io/Logging_0680/artfynd/A 52023-2021 artfynd.xlsx", "A 52023-2021")</f>
        <v/>
      </c>
      <c r="T67">
        <f>HYPERLINK("https://klasma.github.io/Logging_0680/kartor/A 52023-2021 karta.png", "A 52023-2021")</f>
        <v/>
      </c>
      <c r="V67">
        <f>HYPERLINK("https://klasma.github.io/Logging_0680/klagomål/A 52023-2021 FSC-klagomål.docx", "A 52023-2021")</f>
        <v/>
      </c>
      <c r="W67">
        <f>HYPERLINK("https://klasma.github.io/Logging_0680/klagomålsmail/A 52023-2021 FSC-klagomål mail.docx", "A 52023-2021")</f>
        <v/>
      </c>
      <c r="X67">
        <f>HYPERLINK("https://klasma.github.io/Logging_0680/tillsyn/A 52023-2021 tillsynsbegäran.docx", "A 52023-2021")</f>
        <v/>
      </c>
      <c r="Y67">
        <f>HYPERLINK("https://klasma.github.io/Logging_0680/tillsynsmail/A 52023-2021 tillsynsbegäran mail.docx", "A 52023-2021")</f>
        <v/>
      </c>
    </row>
    <row r="68" ht="15" customHeight="1">
      <c r="A68" t="inlineStr">
        <is>
          <t>A 53025-2021</t>
        </is>
      </c>
      <c r="B68" s="1" t="n">
        <v>44467</v>
      </c>
      <c r="C68" s="1" t="n">
        <v>45791</v>
      </c>
      <c r="D68" t="inlineStr">
        <is>
          <t>JÖNKÖPINGS LÄN</t>
        </is>
      </c>
      <c r="E68" t="inlineStr">
        <is>
          <t>JÖNKÖPING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HYPERLINK("https://klasma.github.io/Logging_0680/artfynd/A 53025-2021 artfynd.xlsx", "A 53025-2021")</f>
        <v/>
      </c>
      <c r="T68">
        <f>HYPERLINK("https://klasma.github.io/Logging_0680/kartor/A 53025-2021 karta.png", "A 53025-2021")</f>
        <v/>
      </c>
      <c r="V68">
        <f>HYPERLINK("https://klasma.github.io/Logging_0680/klagomål/A 53025-2021 FSC-klagomål.docx", "A 53025-2021")</f>
        <v/>
      </c>
      <c r="W68">
        <f>HYPERLINK("https://klasma.github.io/Logging_0680/klagomålsmail/A 53025-2021 FSC-klagomål mail.docx", "A 53025-2021")</f>
        <v/>
      </c>
      <c r="X68">
        <f>HYPERLINK("https://klasma.github.io/Logging_0680/tillsyn/A 53025-2021 tillsynsbegäran.docx", "A 53025-2021")</f>
        <v/>
      </c>
      <c r="Y68">
        <f>HYPERLINK("https://klasma.github.io/Logging_0680/tillsynsmail/A 53025-2021 tillsynsbegäran mail.docx", "A 53025-2021")</f>
        <v/>
      </c>
    </row>
    <row r="69" ht="15" customHeight="1">
      <c r="A69" t="inlineStr">
        <is>
          <t>A 53670-2021</t>
        </is>
      </c>
      <c r="B69" s="1" t="n">
        <v>44469</v>
      </c>
      <c r="C69" s="1" t="n">
        <v>45791</v>
      </c>
      <c r="D69" t="inlineStr">
        <is>
          <t>JÖNKÖPINGS LÄN</t>
        </is>
      </c>
      <c r="E69" t="inlineStr">
        <is>
          <t>JÖNKÖPING</t>
        </is>
      </c>
      <c r="G69" t="n">
        <v>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HYPERLINK("https://klasma.github.io/Logging_0680/artfynd/A 53670-2021 artfynd.xlsx", "A 53670-2021")</f>
        <v/>
      </c>
      <c r="T69">
        <f>HYPERLINK("https://klasma.github.io/Logging_0680/kartor/A 53670-2021 karta.png", "A 53670-2021")</f>
        <v/>
      </c>
      <c r="U69">
        <f>HYPERLINK("https://klasma.github.io/Logging_0680/knärot/A 53670-2021 karta knärot.png", "A 53670-2021")</f>
        <v/>
      </c>
      <c r="V69">
        <f>HYPERLINK("https://klasma.github.io/Logging_0680/klagomål/A 53670-2021 FSC-klagomål.docx", "A 53670-2021")</f>
        <v/>
      </c>
      <c r="W69">
        <f>HYPERLINK("https://klasma.github.io/Logging_0680/klagomålsmail/A 53670-2021 FSC-klagomål mail.docx", "A 53670-2021")</f>
        <v/>
      </c>
      <c r="X69">
        <f>HYPERLINK("https://klasma.github.io/Logging_0680/tillsyn/A 53670-2021 tillsynsbegäran.docx", "A 53670-2021")</f>
        <v/>
      </c>
      <c r="Y69">
        <f>HYPERLINK("https://klasma.github.io/Logging_0680/tillsynsmail/A 53670-2021 tillsynsbegäran mail.docx", "A 53670-2021")</f>
        <v/>
      </c>
    </row>
    <row r="70" ht="15" customHeight="1">
      <c r="A70" t="inlineStr">
        <is>
          <t>A 5254-2022</t>
        </is>
      </c>
      <c r="B70" s="1" t="n">
        <v>44594</v>
      </c>
      <c r="C70" s="1" t="n">
        <v>45791</v>
      </c>
      <c r="D70" t="inlineStr">
        <is>
          <t>JÖNKÖPINGS LÄN</t>
        </is>
      </c>
      <c r="E70" t="inlineStr">
        <is>
          <t>JÖNKÖPING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Gråvaxing</t>
        </is>
      </c>
      <c r="S70">
        <f>HYPERLINK("https://klasma.github.io/Logging_0680/artfynd/A 5254-2022 artfynd.xlsx", "A 5254-2022")</f>
        <v/>
      </c>
      <c r="T70">
        <f>HYPERLINK("https://klasma.github.io/Logging_0680/kartor/A 5254-2022 karta.png", "A 5254-2022")</f>
        <v/>
      </c>
      <c r="V70">
        <f>HYPERLINK("https://klasma.github.io/Logging_0680/klagomål/A 5254-2022 FSC-klagomål.docx", "A 5254-2022")</f>
        <v/>
      </c>
      <c r="W70">
        <f>HYPERLINK("https://klasma.github.io/Logging_0680/klagomålsmail/A 5254-2022 FSC-klagomål mail.docx", "A 5254-2022")</f>
        <v/>
      </c>
      <c r="X70">
        <f>HYPERLINK("https://klasma.github.io/Logging_0680/tillsyn/A 5254-2022 tillsynsbegäran.docx", "A 5254-2022")</f>
        <v/>
      </c>
      <c r="Y70">
        <f>HYPERLINK("https://klasma.github.io/Logging_0680/tillsynsmail/A 5254-2022 tillsynsbegäran mail.docx", "A 5254-2022")</f>
        <v/>
      </c>
    </row>
    <row r="71" ht="15" customHeight="1">
      <c r="A71" t="inlineStr">
        <is>
          <t>A 16312-2022</t>
        </is>
      </c>
      <c r="B71" s="1" t="n">
        <v>44670</v>
      </c>
      <c r="C71" s="1" t="n">
        <v>45791</v>
      </c>
      <c r="D71" t="inlineStr">
        <is>
          <t>JÖNKÖPINGS LÄN</t>
        </is>
      </c>
      <c r="E71" t="inlineStr">
        <is>
          <t>JÖNKÖPING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Gröngöling</t>
        </is>
      </c>
      <c r="S71">
        <f>HYPERLINK("https://klasma.github.io/Logging_0680/artfynd/A 16312-2022 artfynd.xlsx", "A 16312-2022")</f>
        <v/>
      </c>
      <c r="T71">
        <f>HYPERLINK("https://klasma.github.io/Logging_0680/kartor/A 16312-2022 karta.png", "A 16312-2022")</f>
        <v/>
      </c>
      <c r="V71">
        <f>HYPERLINK("https://klasma.github.io/Logging_0680/klagomål/A 16312-2022 FSC-klagomål.docx", "A 16312-2022")</f>
        <v/>
      </c>
      <c r="W71">
        <f>HYPERLINK("https://klasma.github.io/Logging_0680/klagomålsmail/A 16312-2022 FSC-klagomål mail.docx", "A 16312-2022")</f>
        <v/>
      </c>
      <c r="X71">
        <f>HYPERLINK("https://klasma.github.io/Logging_0680/tillsyn/A 16312-2022 tillsynsbegäran.docx", "A 16312-2022")</f>
        <v/>
      </c>
      <c r="Y71">
        <f>HYPERLINK("https://klasma.github.io/Logging_0680/tillsynsmail/A 16312-2022 tillsynsbegäran mail.docx", "A 16312-2022")</f>
        <v/>
      </c>
      <c r="Z71">
        <f>HYPERLINK("https://klasma.github.io/Logging_0680/fåglar/A 16312-2022 prioriterade fågelarter.docx", "A 16312-2022")</f>
        <v/>
      </c>
    </row>
    <row r="72" ht="15" customHeight="1">
      <c r="A72" t="inlineStr">
        <is>
          <t>A 16310-2022</t>
        </is>
      </c>
      <c r="B72" s="1" t="n">
        <v>44670</v>
      </c>
      <c r="C72" s="1" t="n">
        <v>45791</v>
      </c>
      <c r="D72" t="inlineStr">
        <is>
          <t>JÖNKÖPINGS LÄN</t>
        </is>
      </c>
      <c r="E72" t="inlineStr">
        <is>
          <t>JÖNKÖPING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Gröngöling</t>
        </is>
      </c>
      <c r="S72">
        <f>HYPERLINK("https://klasma.github.io/Logging_0680/artfynd/A 16310-2022 artfynd.xlsx", "A 16310-2022")</f>
        <v/>
      </c>
      <c r="T72">
        <f>HYPERLINK("https://klasma.github.io/Logging_0680/kartor/A 16310-2022 karta.png", "A 16310-2022")</f>
        <v/>
      </c>
      <c r="V72">
        <f>HYPERLINK("https://klasma.github.io/Logging_0680/klagomål/A 16310-2022 FSC-klagomål.docx", "A 16310-2022")</f>
        <v/>
      </c>
      <c r="W72">
        <f>HYPERLINK("https://klasma.github.io/Logging_0680/klagomålsmail/A 16310-2022 FSC-klagomål mail.docx", "A 16310-2022")</f>
        <v/>
      </c>
      <c r="X72">
        <f>HYPERLINK("https://klasma.github.io/Logging_0680/tillsyn/A 16310-2022 tillsynsbegäran.docx", "A 16310-2022")</f>
        <v/>
      </c>
      <c r="Y72">
        <f>HYPERLINK("https://klasma.github.io/Logging_0680/tillsynsmail/A 16310-2022 tillsynsbegäran mail.docx", "A 16310-2022")</f>
        <v/>
      </c>
      <c r="Z72">
        <f>HYPERLINK("https://klasma.github.io/Logging_0680/fåglar/A 16310-2022 prioriterade fågelarter.docx", "A 16310-2022")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45791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45791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45791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45791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45791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45791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45791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45791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45791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45791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45791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45791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45791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45791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45791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45791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45791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45791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45791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45791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45791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45791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45791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45791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45791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45791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45791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45791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45791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45791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45791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45791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45791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45791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45791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45791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45791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45791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45791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45791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45791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45791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45791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45791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45791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45791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45791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45791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45791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45791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45791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45791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45791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45791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45791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45791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45791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45791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45791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45791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45791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45791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45791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45791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45791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45791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45791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45791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45791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45791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45791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45791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45791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45791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45791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45791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45791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45791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45791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45791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45791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45791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45791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45791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45791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45791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45791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45791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45791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45791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45791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45791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45791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45791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45791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45791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45791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45791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45791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45791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45791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45791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45791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45791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45791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45791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45791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45791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45791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45791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45791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45791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45791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45791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45791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45791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45791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45791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45791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45791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45791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45791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45791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45791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45791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45791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45791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45791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45791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45791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45791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45791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45791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45791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45791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45791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45791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45791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45791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45791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45791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45791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45791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45791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45791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45791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45791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45791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45791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45791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45791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45791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45791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45791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45791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45791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45791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45791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45791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45791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45791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45791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45791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45791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45791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45791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45791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45791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45791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45791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45791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45791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45791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45791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45791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45791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45791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45791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45791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45791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45791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45791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45791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45791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45791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45791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45791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45791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45791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45791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45791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45791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45791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45791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45791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45791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45791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45791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45791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45791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45791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45791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45791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45791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45791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45791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45791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45791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45791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45791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45791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45791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45791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45791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45791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45791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45791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45791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45791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45791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45791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45791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45791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45791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45791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45791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45791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45791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45791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45791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45791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45791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45791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45791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45791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45791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45791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45791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45791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45791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45791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45791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45791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45791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45791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45791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45791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45791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45791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45791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45791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45791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45791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45791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45791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45791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45791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45791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45791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45791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45791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45791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45791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45791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45791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45791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45791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45791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45791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45791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45791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45791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45791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45791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45791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45791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45791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45791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45791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45791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45791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45791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45791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45791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45791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45791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45791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45791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45791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45791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45791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45791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45791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45791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45791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45791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45791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45791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45791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45791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45791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45791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45791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45791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45791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45791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45791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45791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45791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45791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45791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45791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45791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45791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45791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45791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45791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45791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45791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45791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45791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45791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45791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45791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45791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45791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45791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45791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45791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45791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45791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45791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45791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45791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45791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45791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45791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45791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45791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45791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45791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45791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45791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45791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45791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45791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45791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45791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45791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45791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45791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45791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45791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45791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45791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45791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45791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45791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45791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45791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45791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45791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45791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45791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45791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45791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45791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45791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45791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45791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45791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45791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45791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45791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45791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45791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45791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45791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45791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45791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45791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45791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45791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45791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45791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45791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45791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45791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45791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45791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45791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45791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45791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45791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45791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45791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45791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45791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45791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45791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45791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45791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45791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45791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45791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45791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45791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45791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45791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45791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45791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45791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45791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45791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45791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45791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45791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45791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45791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45791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45791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45791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45791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45791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45791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45791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45791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45791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45791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45791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45791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45791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45791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45791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45791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45791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45791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45791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45791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45791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45791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45791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45791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45791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45791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45791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45791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45791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45791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45791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45791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45791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45791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45791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45791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45791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45791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45791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45791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45791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45791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45791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45791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45791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45791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45791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45791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45791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45791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45791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45791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45791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45791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45791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45791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45791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45791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45791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45791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45791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45791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45791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45791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45791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45791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45791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45791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45791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45791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45791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45791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45791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45791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45791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45791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45791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45791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45791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45791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45791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45791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45791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45791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45791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45791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45791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45791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45791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45791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45791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45791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45791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45791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45791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45791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45791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45791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45791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45791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45791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45791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45791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45791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45791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45791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45791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45791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45791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45791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45791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45791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45791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45791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45791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45791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45791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45791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45791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45791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45791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45791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45791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45791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45791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45791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45791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45791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45791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45791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45791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45791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45791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45791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45791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45791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45791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45791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45791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45791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45791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45791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45791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45791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45791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45791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45791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45791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45791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45791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45791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45791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45791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45791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45791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45791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45791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45791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45791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45791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45791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45791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45791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45791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45791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45791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45791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45791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45791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45791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45791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45791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45791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45791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45791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45791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45791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45791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45791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45791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45791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45791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45791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45791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45791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45791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45791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45791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45791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45791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45791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45791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45791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45791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45791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45791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45791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45791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45791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45791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45791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45791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45791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45791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45791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45791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45791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45791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45791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45791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45791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45791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45791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45791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45791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45791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45791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45791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45791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45791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45791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45791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45791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45791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45791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45791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45791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45791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45791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45791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45791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45791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45791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45791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45791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45791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45791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45791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45791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45791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45791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45791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45791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45791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45791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45791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45791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45791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45791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45791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45791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45791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45791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45791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45791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45791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45791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45791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45791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45791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45791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45791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45791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45791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45791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45791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45791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45791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45791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45791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45791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45791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45791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45791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45791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45791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45791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45791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45791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45791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45791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45791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45791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45791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45791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45791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45791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45791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45791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45791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45791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45791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45791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45791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45791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45791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45791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45791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45791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45791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45791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45791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45791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45791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45791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45791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45791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45791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45791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45791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45791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45791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45791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45791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45791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45791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45791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45791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45791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45791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45791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45791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45791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45791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45791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45791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45791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45791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45791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45791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45791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45791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45791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45791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45791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45791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45791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45791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45791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45791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45791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45791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45791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45791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45791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45791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45791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45791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45791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45791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45791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45791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45791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45791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45791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45791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45791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45791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45791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45791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45791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45791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45791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45791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45791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45791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45791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45791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45791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45791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45791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45791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45791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45791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45791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45791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45791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45791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45791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45791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45791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45791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45791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45791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45791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45791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45791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45791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45791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45791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45791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45791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45791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45791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45791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45791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45791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45791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45791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45791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45791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45791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45791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45791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45791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45791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45791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45791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45791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45791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45791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45791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45791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45791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45791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45791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45791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45791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45791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45791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45791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45791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45791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45791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45791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45791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45791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45791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45791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45791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45791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45791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45791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45791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45791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45791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45791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45791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45791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45791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45791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45791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45791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45791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45791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45791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45791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45791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45791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45791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45791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45791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45791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45791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45791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45791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45791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45791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45791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45791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45791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45791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45791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45791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45791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45791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45791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45791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45791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45791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45791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45791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45791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45791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45791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45791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45791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45791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45791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45791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45791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45791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45791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45791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45791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45791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45791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45791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45791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45791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45791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45791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45791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45791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45791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45791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45791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45791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45791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45791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45791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45791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45791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45791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45791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45791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45791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45791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45791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45791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45791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45791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45791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45791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45791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45791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45791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45791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45791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45791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45791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45791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45791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45791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45791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45791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45791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45791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45791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45791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45791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45791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45791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45791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45791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45791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45791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45791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45791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45791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45791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45791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45791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45791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45791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45791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45791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45791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45791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45791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45791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45791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45791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45791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45791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45791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45791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45791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45791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45791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45791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45791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45791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45791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45791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45791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45791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45791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45791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45791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45791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45791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45791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45791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45791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45791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45791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45791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45791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45791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45791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45791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45791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45791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45791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45791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45791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45791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45791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45791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45791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45791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45791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45791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45791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45791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45791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45791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45791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45791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45791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45791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45791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45791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45791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45791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45791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45791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45791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45791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45791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45791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45791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45791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45791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45791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45791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45791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45791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45791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45791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45791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45791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45791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45791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45791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45791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45791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45791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45791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45791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45791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45791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45791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45791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45791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45791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45791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45791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45791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45791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45791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45791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45791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45791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45791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45791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45791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45791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45791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45791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45791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45791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45791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45791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45791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45791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45791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45791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45791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45791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45791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45791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45791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45791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45791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45791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45791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45791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45791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45791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45791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45791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45791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45791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45791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45791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45791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45791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45791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45791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45791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45791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45791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45791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45791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45791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45791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45791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45791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45791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45791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45791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45791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45791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45791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45791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45791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45791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45791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45791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45791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45791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45791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45791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45791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45791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45791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45791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45791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45791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45791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45791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45791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45791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45791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45791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45791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45791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45791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45791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45791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45791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45791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45791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45791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45791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45791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45791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45791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45791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45791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45791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45791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45791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45791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45791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45791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45791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45791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45791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45791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45791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45791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45791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45791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45791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45791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45791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45791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45791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45791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45791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45791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45791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45791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45791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45791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45791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45791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45791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45791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45791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45791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45791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45791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45791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45791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45791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45791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45791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45791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45791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45791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45791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45791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45791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45791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45791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45791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45791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45791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45791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45791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45791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45791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45791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45791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45791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45791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45791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45791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45791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45791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45791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45791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45791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45791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45791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45791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45791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45791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45791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45791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45791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45791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45791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45791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45791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45791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45791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45791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45791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45791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45791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45791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45791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45791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45791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45791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45791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45791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45791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45791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45791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45791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45791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45791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45791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45791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45791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45791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45791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45791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45791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45791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45791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45791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45791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45791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45791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45791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45791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45791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45791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45791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45791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45791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45791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45791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45791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45791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45791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45791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45791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45791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45791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45791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45791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45791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45791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45791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45791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45791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45791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45791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45791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45791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45791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45791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45791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45791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45791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45791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45791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45791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45791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45791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45791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45791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45791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45791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45791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45791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45791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45791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45791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45791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45791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45791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45791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45791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45791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45791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45791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45791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45791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45791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45791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45791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45791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45791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45791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45791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45791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45791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45791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45791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45791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45791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45791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45791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45791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45791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45791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45791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45791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45791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45791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45791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45791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45791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45791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45791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45791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45791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45791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45791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45791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45791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45791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45791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45791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45791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45791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45791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45791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45791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45791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45791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45791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45791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45791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45791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45791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45791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45791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45791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45791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45791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45791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45791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45791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45791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45791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45791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45791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45791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45791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45791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45791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45791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45791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45791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45791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45791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45791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45791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45791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45791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45791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45791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45791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45791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45791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45791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45791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45791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45791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45791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45791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45791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45791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45791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45791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45791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45791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45791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45791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45791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45791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45791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45791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45791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45791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45791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45791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45791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45791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45791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45791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45791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45791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45791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45791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45791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45791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45791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45791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45791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45791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45791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45791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45791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45791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45791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45791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45791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45791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45791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45791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45791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45791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45791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45791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45791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45791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45791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45791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45791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45791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45791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45791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45791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45791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45791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45791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45791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45791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45791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45791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45791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45791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45791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45791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45791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45791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45791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45791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45791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45791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45791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45791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45791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45791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45791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45791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45791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45791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45791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45791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45791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45791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45791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45791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45791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45791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45791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45791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45791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45791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45791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45791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45791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45791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45791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45791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45791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18858-2025</t>
        </is>
      </c>
      <c r="B1570" s="1" t="n">
        <v>45764</v>
      </c>
      <c r="C1570" s="1" t="n">
        <v>45791</v>
      </c>
      <c r="D1570" t="inlineStr">
        <is>
          <t>JÖNKÖPINGS LÄN</t>
        </is>
      </c>
      <c r="E1570" t="inlineStr">
        <is>
          <t>JÖNKÖPING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18969-2025</t>
        </is>
      </c>
      <c r="B1571" s="1" t="n">
        <v>45764</v>
      </c>
      <c r="C1571" s="1" t="n">
        <v>45791</v>
      </c>
      <c r="D1571" t="inlineStr">
        <is>
          <t>JÖNKÖPINGS LÄN</t>
        </is>
      </c>
      <c r="E1571" t="inlineStr">
        <is>
          <t>JÖNKÖPING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18770-2025</t>
        </is>
      </c>
      <c r="B1572" s="1" t="n">
        <v>45764</v>
      </c>
      <c r="C1572" s="1" t="n">
        <v>45791</v>
      </c>
      <c r="D1572" t="inlineStr">
        <is>
          <t>JÖNKÖPINGS LÄN</t>
        </is>
      </c>
      <c r="E1572" t="inlineStr">
        <is>
          <t>JÖNKÖPING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18774-2025</t>
        </is>
      </c>
      <c r="B1573" s="1" t="n">
        <v>45764</v>
      </c>
      <c r="C1573" s="1" t="n">
        <v>45791</v>
      </c>
      <c r="D1573" t="inlineStr">
        <is>
          <t>JÖNKÖPINGS LÄN</t>
        </is>
      </c>
      <c r="E1573" t="inlineStr">
        <is>
          <t>JÖNKÖPING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18771-2025</t>
        </is>
      </c>
      <c r="B1574" s="1" t="n">
        <v>45764</v>
      </c>
      <c r="C1574" s="1" t="n">
        <v>45791</v>
      </c>
      <c r="D1574" t="inlineStr">
        <is>
          <t>JÖNKÖPINGS LÄN</t>
        </is>
      </c>
      <c r="E1574" t="inlineStr">
        <is>
          <t>JÖNKÖPING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18972-2025</t>
        </is>
      </c>
      <c r="B1575" s="1" t="n">
        <v>45764</v>
      </c>
      <c r="C1575" s="1" t="n">
        <v>45791</v>
      </c>
      <c r="D1575" t="inlineStr">
        <is>
          <t>JÖNKÖPINGS LÄN</t>
        </is>
      </c>
      <c r="E1575" t="inlineStr">
        <is>
          <t>JÖNKÖPING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18838-2025</t>
        </is>
      </c>
      <c r="B1576" s="1" t="n">
        <v>45764</v>
      </c>
      <c r="C1576" s="1" t="n">
        <v>45791</v>
      </c>
      <c r="D1576" t="inlineStr">
        <is>
          <t>JÖNKÖPINGS LÄN</t>
        </is>
      </c>
      <c r="E1576" t="inlineStr">
        <is>
          <t>JÖNKÖPING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18851-2025</t>
        </is>
      </c>
      <c r="B1577" s="1" t="n">
        <v>45764</v>
      </c>
      <c r="C1577" s="1" t="n">
        <v>45791</v>
      </c>
      <c r="D1577" t="inlineStr">
        <is>
          <t>JÖNKÖPINGS LÄN</t>
        </is>
      </c>
      <c r="E1577" t="inlineStr">
        <is>
          <t>JÖNKÖPING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18856-2025</t>
        </is>
      </c>
      <c r="B1578" s="1" t="n">
        <v>45764</v>
      </c>
      <c r="C1578" s="1" t="n">
        <v>45791</v>
      </c>
      <c r="D1578" t="inlineStr">
        <is>
          <t>JÖNKÖPINGS LÄN</t>
        </is>
      </c>
      <c r="E1578" t="inlineStr">
        <is>
          <t>JÖNKÖPING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18836-2025</t>
        </is>
      </c>
      <c r="B1579" s="1" t="n">
        <v>45764</v>
      </c>
      <c r="C1579" s="1" t="n">
        <v>45791</v>
      </c>
      <c r="D1579" t="inlineStr">
        <is>
          <t>JÖNKÖPINGS LÄN</t>
        </is>
      </c>
      <c r="E1579" t="inlineStr">
        <is>
          <t>JÖNKÖPING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18846-2025</t>
        </is>
      </c>
      <c r="B1580" s="1" t="n">
        <v>45764</v>
      </c>
      <c r="C1580" s="1" t="n">
        <v>45791</v>
      </c>
      <c r="D1580" t="inlineStr">
        <is>
          <t>JÖNKÖPINGS LÄN</t>
        </is>
      </c>
      <c r="E1580" t="inlineStr">
        <is>
          <t>JÖNKÖPING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19211-2025</t>
        </is>
      </c>
      <c r="B1581" s="1" t="n">
        <v>45769</v>
      </c>
      <c r="C1581" s="1" t="n">
        <v>45791</v>
      </c>
      <c r="D1581" t="inlineStr">
        <is>
          <t>JÖNKÖPINGS LÄN</t>
        </is>
      </c>
      <c r="E1581" t="inlineStr">
        <is>
          <t>JÖNKÖPING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19347-2025</t>
        </is>
      </c>
      <c r="B1582" s="1" t="n">
        <v>45769</v>
      </c>
      <c r="C1582" s="1" t="n">
        <v>45791</v>
      </c>
      <c r="D1582" t="inlineStr">
        <is>
          <t>JÖNKÖPINGS LÄN</t>
        </is>
      </c>
      <c r="E1582" t="inlineStr">
        <is>
          <t>JÖNKÖPING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19348-2025</t>
        </is>
      </c>
      <c r="B1583" s="1" t="n">
        <v>45769</v>
      </c>
      <c r="C1583" s="1" t="n">
        <v>45791</v>
      </c>
      <c r="D1583" t="inlineStr">
        <is>
          <t>JÖNKÖPINGS LÄN</t>
        </is>
      </c>
      <c r="E1583" t="inlineStr">
        <is>
          <t>JÖNKÖPING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45791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45791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45791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45791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20314-2025</t>
        </is>
      </c>
      <c r="B1588" s="1" t="n">
        <v>45775</v>
      </c>
      <c r="C1588" s="1" t="n">
        <v>45791</v>
      </c>
      <c r="D1588" t="inlineStr">
        <is>
          <t>JÖNKÖPINGS LÄN</t>
        </is>
      </c>
      <c r="E1588" t="inlineStr">
        <is>
          <t>JÖNKÖPING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45791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45791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45791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21083-2025</t>
        </is>
      </c>
      <c r="B1592" s="1" t="n">
        <v>45777</v>
      </c>
      <c r="C1592" s="1" t="n">
        <v>45791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45791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45791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45791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45791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45791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22553-2025</t>
        </is>
      </c>
      <c r="B1598" s="1" t="n">
        <v>45788</v>
      </c>
      <c r="C1598" s="1" t="n">
        <v>45791</v>
      </c>
      <c r="D1598" t="inlineStr">
        <is>
          <t>JÖNKÖPINGS LÄN</t>
        </is>
      </c>
      <c r="E1598" t="inlineStr">
        <is>
          <t>JÖNKÖPING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45791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45791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22554-2025</t>
        </is>
      </c>
      <c r="B1601" s="1" t="n">
        <v>45788</v>
      </c>
      <c r="C1601" s="1" t="n">
        <v>45791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45791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23063-2025</t>
        </is>
      </c>
      <c r="B1603" s="1" t="n">
        <v>45790</v>
      </c>
      <c r="C1603" s="1" t="n">
        <v>45791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>
      <c r="A1604" t="inlineStr">
        <is>
          <t>A 23062-2025</t>
        </is>
      </c>
      <c r="B1604" s="1" t="n">
        <v>45790</v>
      </c>
      <c r="C1604" s="1" t="n">
        <v>45791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2025-05-14T17:37:05Z</dcterms:created>
  <dcterms:modified xmlns:dcterms="http://purl.org/dc/terms/" xmlns:xsi="http://www.w3.org/2001/XMLSchema-instance" xsi:type="dcterms:W3CDTF">2025-05-14T17:37:06Z</dcterms:modified>
</cp:coreProperties>
</file>