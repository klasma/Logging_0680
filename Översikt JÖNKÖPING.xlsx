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46288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46288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46288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46288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46288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46288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46288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46288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46288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46288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46288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46288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46288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46288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46288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46288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46288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46288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46288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46288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46288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46288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46288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46288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46288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46288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46288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46288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46288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46288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46288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46288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46288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46288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46288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46288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46288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46288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46288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46288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46288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46288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46288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46288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46288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46288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46288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46288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46288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46288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46288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0</v>
      </c>
      <c r="V63" s="2" t="inlineStr">
        <is>
          <t>Lakritsmusseron
Dropptaggsvamp</t>
        </is>
      </c>
      <c r="W63">
        <f>HYPERLINK("https://klasma.github.io/Logging_0680/artfynd/A 1235-2024 artfynd.xlsx", "A 1235-2024")</f>
        <v/>
      </c>
      <c r="X63">
        <f>HYPERLINK("https://klasma.github.io/Logging_0680/kartor/A 1235-2024 karta.png", "A 1235-2024")</f>
        <v/>
      </c>
      <c r="Y63">
        <f>HYPERLINK("https://klasma.github.io/Logging_0680/kartor_geotiff/A 1235-2024 georefererad karta.tif", "A 1235-2024")</f>
        <v/>
      </c>
      <c r="AA63">
        <f>HYPERLINK("https://klasma.github.io/Logging_0680/klagomål/A 1235-2024 FSC-klagomål.docx", "A 1235-2024")</f>
        <v/>
      </c>
      <c r="AB63">
        <f>HYPERLINK("https://klasma.github.io/Logging_0680/klagomålsmail/A 1235-2024 FSC-klagomål mail.docx", "A 1235-2024")</f>
        <v/>
      </c>
      <c r="AC63">
        <f>HYPERLINK("https://klasma.github.io/Logging_0680/tillsyn/A 1235-2024 tillsynsbegäran.docx", "A 1235-2024")</f>
        <v/>
      </c>
      <c r="AD63">
        <f>HYPERLINK("https://klasma.github.io/Logging_0680/tillsynsmail/A 1235-2024 tillsynsbegäran mail.docx", "A 1235-2024")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46288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46288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46288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46288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46288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38934-2026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46286</v>
      </c>
      <c r="E69" s="1" t="n">
        <v>46288</v>
      </c>
      <c r="F69" t="inlineStr">
        <is>
          <t>JÖNKÖPINGS LÄN</t>
        </is>
      </c>
      <c r="G69" t="inlineStr">
        <is>
          <t>JÖNKÖPING</t>
        </is>
      </c>
      <c r="I69" t="n">
        <v>3.9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6</v>
      </c>
      <c r="U69" t="n">
        <v>0</v>
      </c>
      <c r="V69" s="2" t="inlineStr">
        <is>
          <t>Knärot
Revlummer</t>
        </is>
      </c>
      <c r="W69">
        <f>HYPERLINK("https://klasma.github.io/Logging_0680/artfynd/A 38934-2026 artfynd.xlsx", "A 38934-2026")</f>
        <v/>
      </c>
      <c r="X69">
        <f>HYPERLINK("https://klasma.github.io/Logging_0680/kartor/A 38934-2026 karta.png", "A 38934-2026")</f>
        <v/>
      </c>
      <c r="Y69">
        <f>HYPERLINK("https://klasma.github.io/Logging_0680/kartor_geotiff/A 38934-2026 georefererad karta.tif", "A 38934-2026")</f>
        <v/>
      </c>
      <c r="Z69">
        <f>HYPERLINK("https://klasma.github.io/Logging_0680/knärot/A 38934-2026 karta knärot.png", "A 38934-2026")</f>
        <v/>
      </c>
      <c r="AA69">
        <f>HYPERLINK("https://klasma.github.io/Logging_0680/klagomål/A 38934-2026 FSC-klagomål.docx", "A 38934-2026")</f>
        <v/>
      </c>
      <c r="AB69">
        <f>HYPERLINK("https://klasma.github.io/Logging_0680/klagomålsmail/A 38934-2026 FSC-klagomål mail.docx", "A 38934-2026")</f>
        <v/>
      </c>
      <c r="AC69">
        <f>HYPERLINK("https://klasma.github.io/Logging_0680/tillsyn/A 38934-2026 tillsynsbegäran.docx", "A 38934-2026")</f>
        <v/>
      </c>
      <c r="AD69">
        <f>HYPERLINK("https://klasma.github.io/Logging_0680/tillsynsmail/A 38934-2026 tillsynsbegäran mail.docx", "A 38934-2026")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46288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46288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51183-2024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46288</v>
      </c>
      <c r="F72" t="inlineStr">
        <is>
          <t>JÖNKÖPINGS LÄN</t>
        </is>
      </c>
      <c r="G72" t="inlineStr">
        <is>
          <t>JÖNKÖPING</t>
        </is>
      </c>
      <c r="I72" t="n">
        <v>5.9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Sångsvan
Trana</t>
        </is>
      </c>
      <c r="W72">
        <f>HYPERLINK("https://klasma.github.io/Logging_0680/artfynd/A 51183-2024 artfynd.xlsx", "A 51183-2024")</f>
        <v/>
      </c>
      <c r="X72">
        <f>HYPERLINK("https://klasma.github.io/Logging_0680/kartor/A 51183-2024 karta.png", "A 51183-2024")</f>
        <v/>
      </c>
      <c r="Y72">
        <f>HYPERLINK("https://klasma.github.io/Logging_0680/kartor_geotiff/A 51183-2024 georefererad karta.tif", "A 51183-2024")</f>
        <v/>
      </c>
      <c r="AA72">
        <f>HYPERLINK("https://klasma.github.io/Logging_0680/klagomål/A 51183-2024 FSC-klagomål.docx", "A 51183-2024")</f>
        <v/>
      </c>
      <c r="AB72">
        <f>HYPERLINK("https://klasma.github.io/Logging_0680/klagomålsmail/A 51183-2024 FSC-klagomål mail.docx", "A 51183-2024")</f>
        <v/>
      </c>
      <c r="AC72">
        <f>HYPERLINK("https://klasma.github.io/Logging_0680/tillsyn/A 51183-2024 tillsynsbegäran.docx", "A 51183-2024")</f>
        <v/>
      </c>
      <c r="AD72">
        <f>HYPERLINK("https://klasma.github.io/Logging_0680/tillsynsmail/A 51183-2024 tillsynsbegäran mail.docx", "A 51183-2024")</f>
        <v/>
      </c>
      <c r="AE72">
        <f>HYPERLINK("https://klasma.github.io/Logging_0680/fåglar/A 51183-2024 prioriterade fågelarter.docx", "A 51183-2024")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46288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46288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46288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46288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46288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46288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46288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53025-2021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46288</v>
      </c>
      <c r="F80" t="inlineStr">
        <is>
          <t>JÖNKÖPINGS LÄN</t>
        </is>
      </c>
      <c r="G80" t="inlineStr">
        <is>
          <t>JÖNKÖPING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53025-2021 artfynd.xlsx", "A 53025-2021")</f>
        <v/>
      </c>
      <c r="X80">
        <f>HYPERLINK("https://klasma.github.io/Logging_0680/kartor/A 53025-2021 karta.png", "A 53025-2021")</f>
        <v/>
      </c>
      <c r="Y80">
        <f>HYPERLINK("https://klasma.github.io/Logging_0680/kartor_geotiff/A 53025-2021 georefererad karta.tif", "A 53025-2021")</f>
        <v/>
      </c>
      <c r="AA80">
        <f>HYPERLINK("https://klasma.github.io/Logging_0680/klagomål/A 53025-2021 FSC-klagomål.docx", "A 53025-2021")</f>
        <v/>
      </c>
      <c r="AB80">
        <f>HYPERLINK("https://klasma.github.io/Logging_0680/klagomålsmail/A 53025-2021 FSC-klagomål mail.docx", "A 53025-2021")</f>
        <v/>
      </c>
      <c r="AC80">
        <f>HYPERLINK("https://klasma.github.io/Logging_0680/tillsyn/A 53025-2021 tillsynsbegäran.docx", "A 53025-2021")</f>
        <v/>
      </c>
      <c r="AD80">
        <f>HYPERLINK("https://klasma.github.io/Logging_0680/tillsynsmail/A 53025-2021 tillsynsbegäran mail.docx", "A 53025-2021")</f>
        <v/>
      </c>
    </row>
    <row r="81" ht="15" customHeight="1">
      <c r="A81" t="inlineStr">
        <is>
          <t>A 2498-2022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46288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2498-2022 artfynd.xlsx", "A 2498-2022")</f>
        <v/>
      </c>
      <c r="X81">
        <f>HYPERLINK("https://klasma.github.io/Logging_0680/kartor/A 2498-2022 karta.png", "A 2498-2022")</f>
        <v/>
      </c>
      <c r="Y81">
        <f>HYPERLINK("https://klasma.github.io/Logging_0680/kartor_geotiff/A 2498-2022 georefererad karta.tif", "A 2498-2022")</f>
        <v/>
      </c>
      <c r="AA81">
        <f>HYPERLINK("https://klasma.github.io/Logging_0680/klagomål/A 2498-2022 FSC-klagomål.docx", "A 2498-2022")</f>
        <v/>
      </c>
      <c r="AB81">
        <f>HYPERLINK("https://klasma.github.io/Logging_0680/klagomålsmail/A 2498-2022 FSC-klagomål mail.docx", "A 2498-2022")</f>
        <v/>
      </c>
      <c r="AC81">
        <f>HYPERLINK("https://klasma.github.io/Logging_0680/tillsyn/A 2498-2022 tillsynsbegäran.docx", "A 2498-2022")</f>
        <v/>
      </c>
      <c r="AD81">
        <f>HYPERLINK("https://klasma.github.io/Logging_0680/tillsynsmail/A 2498-2022 tillsynsbegäran mail.docx", "A 2498-2022")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46288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28230-2024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46288</v>
      </c>
      <c r="F83" t="inlineStr">
        <is>
          <t>JÖNKÖPINGS LÄN</t>
        </is>
      </c>
      <c r="G83" t="inlineStr">
        <is>
          <t>JÖNKÖPING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HYPERLINK("https://klasma.github.io/Logging_0680/artfynd/A 28230-2024 artfynd.xlsx", "A 28230-2024")</f>
        <v/>
      </c>
      <c r="X83">
        <f>HYPERLINK("https://klasma.github.io/Logging_0680/kartor/A 28230-2024 karta.png", "A 28230-2024")</f>
        <v/>
      </c>
      <c r="Y83">
        <f>HYPERLINK("https://klasma.github.io/Logging_0680/kartor_geotiff/A 28230-2024 georefererad karta.tif", "A 28230-2024")</f>
        <v/>
      </c>
      <c r="AA83">
        <f>HYPERLINK("https://klasma.github.io/Logging_0680/klagomål/A 28230-2024 FSC-klagomål.docx", "A 28230-2024")</f>
        <v/>
      </c>
      <c r="AB83">
        <f>HYPERLINK("https://klasma.github.io/Logging_0680/klagomålsmail/A 28230-2024 FSC-klagomål mail.docx", "A 28230-2024")</f>
        <v/>
      </c>
      <c r="AC83">
        <f>HYPERLINK("https://klasma.github.io/Logging_0680/tillsyn/A 28230-2024 tillsynsbegäran.docx", "A 28230-2024")</f>
        <v/>
      </c>
      <c r="AD83">
        <f>HYPERLINK("https://klasma.github.io/Logging_0680/tillsynsmail/A 28230-2024 tillsynsbegäran mail.docx", "A 28230-2024")</f>
        <v/>
      </c>
    </row>
    <row r="84" ht="15" customHeight="1">
      <c r="A84" t="inlineStr">
        <is>
          <t>A 42038-2023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46288</v>
      </c>
      <c r="F84" t="inlineStr">
        <is>
          <t>JÖNKÖPINGS LÄN</t>
        </is>
      </c>
      <c r="G84" t="inlineStr">
        <is>
          <t>JÖNKÖPING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HYPERLINK("https://klasma.github.io/Logging_0680/artfynd/A 42038-2023 artfynd.xlsx", "A 42038-2023")</f>
        <v/>
      </c>
      <c r="X84">
        <f>HYPERLINK("https://klasma.github.io/Logging_0680/kartor/A 42038-2023 karta.png", "A 42038-2023")</f>
        <v/>
      </c>
      <c r="Y84">
        <f>HYPERLINK("https://klasma.github.io/Logging_0680/kartor_geotiff/A 42038-2023 georefererad karta.tif", "A 42038-2023")</f>
        <v/>
      </c>
      <c r="AA84">
        <f>HYPERLINK("https://klasma.github.io/Logging_0680/klagomål/A 42038-2023 FSC-klagomål.docx", "A 42038-2023")</f>
        <v/>
      </c>
      <c r="AB84">
        <f>HYPERLINK("https://klasma.github.io/Logging_0680/klagomålsmail/A 42038-2023 FSC-klagomål mail.docx", "A 42038-2023")</f>
        <v/>
      </c>
      <c r="AC84">
        <f>HYPERLINK("https://klasma.github.io/Logging_0680/tillsyn/A 42038-2023 tillsynsbegäran.docx", "A 42038-2023")</f>
        <v/>
      </c>
      <c r="AD84">
        <f>HYPERLINK("https://klasma.github.io/Logging_0680/tillsynsmail/A 42038-2023 tillsynsbegäran mail.docx", "A 42038-2023")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46288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46288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46288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62844-2023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46288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Ask</t>
        </is>
      </c>
      <c r="W88">
        <f>HYPERLINK("https://klasma.github.io/Logging_0680/artfynd/A 62844-2023 artfynd.xlsx", "A 62844-2023")</f>
        <v/>
      </c>
      <c r="X88">
        <f>HYPERLINK("https://klasma.github.io/Logging_0680/kartor/A 62844-2023 karta.png", "A 62844-2023")</f>
        <v/>
      </c>
      <c r="Y88">
        <f>HYPERLINK("https://klasma.github.io/Logging_0680/kartor_geotiff/A 62844-2023 georefererad karta.tif", "A 62844-2023")</f>
        <v/>
      </c>
      <c r="AA88">
        <f>HYPERLINK("https://klasma.github.io/Logging_0680/klagomål/A 62844-2023 FSC-klagomål.docx", "A 62844-2023")</f>
        <v/>
      </c>
      <c r="AB88">
        <f>HYPERLINK("https://klasma.github.io/Logging_0680/klagomålsmail/A 62844-2023 FSC-klagomål mail.docx", "A 62844-2023")</f>
        <v/>
      </c>
      <c r="AC88">
        <f>HYPERLINK("https://klasma.github.io/Logging_0680/tillsyn/A 62844-2023 tillsynsbegäran.docx", "A 62844-2023")</f>
        <v/>
      </c>
      <c r="AD88">
        <f>HYPERLINK("https://klasma.github.io/Logging_0680/tillsynsmail/A 62844-2023 tillsynsbegäran mail.docx", "A 62844-2023")</f>
        <v/>
      </c>
    </row>
    <row r="89" ht="15" customHeight="1">
      <c r="A89" t="inlineStr">
        <is>
          <t>A 48371-2023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45205</v>
      </c>
      <c r="E89" s="1" t="n">
        <v>46288</v>
      </c>
      <c r="F89" t="inlineStr">
        <is>
          <t>JÖNKÖPINGS LÄN</t>
        </is>
      </c>
      <c r="G89" t="inlineStr">
        <is>
          <t>JÖNKÖPING</t>
        </is>
      </c>
      <c r="I89" t="n">
        <v>4.9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Älg</t>
        </is>
      </c>
      <c r="W89">
        <f>HYPERLINK("https://klasma.github.io/Logging_0680/artfynd/A 48371-2023 artfynd.xlsx", "A 48371-2023")</f>
        <v/>
      </c>
      <c r="X89">
        <f>HYPERLINK("https://klasma.github.io/Logging_0680/kartor/A 48371-2023 karta.png", "A 48371-2023")</f>
        <v/>
      </c>
      <c r="Y89">
        <f>HYPERLINK("https://klasma.github.io/Logging_0680/kartor_geotiff/A 48371-2023 georefererad karta.tif", "A 48371-2023")</f>
        <v/>
      </c>
      <c r="AA89">
        <f>HYPERLINK("https://klasma.github.io/Logging_0680/klagomål/A 48371-2023 FSC-klagomål.docx", "A 48371-2023")</f>
        <v/>
      </c>
      <c r="AB89">
        <f>HYPERLINK("https://klasma.github.io/Logging_0680/klagomålsmail/A 48371-2023 FSC-klagomål mail.docx", "A 48371-2023")</f>
        <v/>
      </c>
      <c r="AC89">
        <f>HYPERLINK("https://klasma.github.io/Logging_0680/tillsyn/A 48371-2023 tillsynsbegäran.docx", "A 48371-2023")</f>
        <v/>
      </c>
      <c r="AD89">
        <f>HYPERLINK("https://klasma.github.io/Logging_0680/tillsynsmail/A 48371-2023 tillsynsbegäran mail.docx", "A 48371-2023")</f>
        <v/>
      </c>
    </row>
    <row r="90" ht="15" customHeight="1">
      <c r="A90" t="inlineStr">
        <is>
          <t>A 34597-2025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46288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7.3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HYPERLINK("https://klasma.github.io/Logging_0680/artfynd/A 34597-2025 artfynd.xlsx", "A 34597-2025")</f>
        <v/>
      </c>
      <c r="X90">
        <f>HYPERLINK("https://klasma.github.io/Logging_0680/kartor/A 34597-2025 karta.png", "A 34597-2025")</f>
        <v/>
      </c>
      <c r="Y90">
        <f>HYPERLINK("https://klasma.github.io/Logging_0680/kartor_geotiff/A 34597-2025 georefererad karta.tif", "A 34597-2025")</f>
        <v/>
      </c>
      <c r="Z90">
        <f>HYPERLINK("https://klasma.github.io/Logging_0680/knärot/A 34597-2025 karta knärot.png", "A 34597-2025")</f>
        <v/>
      </c>
      <c r="AA90">
        <f>HYPERLINK("https://klasma.github.io/Logging_0680/klagomål/A 34597-2025 FSC-klagomål.docx", "A 34597-2025")</f>
        <v/>
      </c>
      <c r="AB90">
        <f>HYPERLINK("https://klasma.github.io/Logging_0680/klagomålsmail/A 34597-2025 FSC-klagomål mail.docx", "A 34597-2025")</f>
        <v/>
      </c>
      <c r="AC90">
        <f>HYPERLINK("https://klasma.github.io/Logging_0680/tillsyn/A 34597-2025 tillsynsbegäran.docx", "A 34597-2025")</f>
        <v/>
      </c>
      <c r="AD90">
        <f>HYPERLINK("https://klasma.github.io/Logging_0680/tillsynsmail/A 34597-2025 tillsynsbegäran mail.docx", "A 34597-2025")</f>
        <v/>
      </c>
    </row>
    <row r="91" ht="15" customHeight="1">
      <c r="A91" t="inlineStr">
        <is>
          <t>A 12518-2025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46288</v>
      </c>
      <c r="F91" t="inlineStr">
        <is>
          <t>JÖNKÖPINGS LÄN</t>
        </is>
      </c>
      <c r="G91" t="inlineStr">
        <is>
          <t>JÖNKÖPING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Ask</t>
        </is>
      </c>
      <c r="W91">
        <f>HYPERLINK("https://klasma.github.io/Logging_0680/artfynd/A 12518-2025 artfynd.xlsx", "A 12518-2025")</f>
        <v/>
      </c>
      <c r="X91">
        <f>HYPERLINK("https://klasma.github.io/Logging_0680/kartor/A 12518-2025 karta.png", "A 12518-2025")</f>
        <v/>
      </c>
      <c r="Y91">
        <f>HYPERLINK("https://klasma.github.io/Logging_0680/kartor_geotiff/A 12518-2025 georefererad karta.tif", "A 12518-2025")</f>
        <v/>
      </c>
      <c r="AA91">
        <f>HYPERLINK("https://klasma.github.io/Logging_0680/klagomål/A 12518-2025 FSC-klagomål.docx", "A 12518-2025")</f>
        <v/>
      </c>
      <c r="AB91">
        <f>HYPERLINK("https://klasma.github.io/Logging_0680/klagomålsmail/A 12518-2025 FSC-klagomål mail.docx", "A 12518-2025")</f>
        <v/>
      </c>
      <c r="AC91">
        <f>HYPERLINK("https://klasma.github.io/Logging_0680/tillsyn/A 12518-2025 tillsynsbegäran.docx", "A 12518-2025")</f>
        <v/>
      </c>
      <c r="AD91">
        <f>HYPERLINK("https://klasma.github.io/Logging_0680/tillsynsmail/A 12518-2025 tillsynsbegäran mail.docx", "A 12518-2025")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46288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46288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6456-2024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46288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Slåttergubbe</t>
        </is>
      </c>
      <c r="W94">
        <f>HYPERLINK("https://klasma.github.io/Logging_0680/artfynd/A 6456-2024 artfynd.xlsx", "A 6456-2024")</f>
        <v/>
      </c>
      <c r="X94">
        <f>HYPERLINK("https://klasma.github.io/Logging_0680/kartor/A 6456-2024 karta.png", "A 6456-2024")</f>
        <v/>
      </c>
      <c r="Y94">
        <f>HYPERLINK("https://klasma.github.io/Logging_0680/kartor_geotiff/A 6456-2024 georefererad karta.tif", "A 6456-2024")</f>
        <v/>
      </c>
      <c r="AA94">
        <f>HYPERLINK("https://klasma.github.io/Logging_0680/klagomål/A 6456-2024 FSC-klagomål.docx", "A 6456-2024")</f>
        <v/>
      </c>
      <c r="AB94">
        <f>HYPERLINK("https://klasma.github.io/Logging_0680/klagomålsmail/A 6456-2024 FSC-klagomål mail.docx", "A 6456-2024")</f>
        <v/>
      </c>
      <c r="AC94">
        <f>HYPERLINK("https://klasma.github.io/Logging_0680/tillsyn/A 6456-2024 tillsynsbegäran.docx", "A 6456-2024")</f>
        <v/>
      </c>
      <c r="AD94">
        <f>HYPERLINK("https://klasma.github.io/Logging_0680/tillsynsmail/A 6456-2024 tillsynsbegäran mail.docx", "A 6456-2024")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46288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18770-2025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46288</v>
      </c>
      <c r="F96" t="inlineStr">
        <is>
          <t>JÖNKÖPINGS LÄN</t>
        </is>
      </c>
      <c r="G96" t="inlineStr">
        <is>
          <t>JÖNKÖPING</t>
        </is>
      </c>
      <c r="I96" t="n">
        <v>3.3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Gullpudra</t>
        </is>
      </c>
      <c r="W96">
        <f>HYPERLINK("https://klasma.github.io/Logging_0680/artfynd/A 18770-2025 artfynd.xlsx", "A 18770-2025")</f>
        <v/>
      </c>
      <c r="X96">
        <f>HYPERLINK("https://klasma.github.io/Logging_0680/kartor/A 18770-2025 karta.png", "A 18770-2025")</f>
        <v/>
      </c>
      <c r="Y96">
        <f>HYPERLINK("https://klasma.github.io/Logging_0680/kartor_geotiff/A 18770-2025 georefererad karta.tif", "A 18770-2025")</f>
        <v/>
      </c>
      <c r="AA96">
        <f>HYPERLINK("https://klasma.github.io/Logging_0680/klagomål/A 18770-2025 FSC-klagomål.docx", "A 18770-2025")</f>
        <v/>
      </c>
      <c r="AB96">
        <f>HYPERLINK("https://klasma.github.io/Logging_0680/klagomålsmail/A 18770-2025 FSC-klagomål mail.docx", "A 18770-2025")</f>
        <v/>
      </c>
      <c r="AC96">
        <f>HYPERLINK("https://klasma.github.io/Logging_0680/tillsyn/A 18770-2025 tillsynsbegäran.docx", "A 18770-2025")</f>
        <v/>
      </c>
      <c r="AD96">
        <f>HYPERLINK("https://klasma.github.io/Logging_0680/tillsynsmail/A 18770-2025 tillsynsbegäran mail.docx", "A 18770-2025")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46288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46288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46288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43624-2023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46288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Gullpudra</t>
        </is>
      </c>
      <c r="W100">
        <f>HYPERLINK("https://klasma.github.io/Logging_0680/artfynd/A 43624-2023 artfynd.xlsx", "A 43624-2023")</f>
        <v/>
      </c>
      <c r="X100">
        <f>HYPERLINK("https://klasma.github.io/Logging_0680/kartor/A 43624-2023 karta.png", "A 43624-2023")</f>
        <v/>
      </c>
      <c r="Y100">
        <f>HYPERLINK("https://klasma.github.io/Logging_0680/kartor_geotiff/A 43624-2023 georefererad karta.tif", "A 43624-2023")</f>
        <v/>
      </c>
      <c r="AA100">
        <f>HYPERLINK("https://klasma.github.io/Logging_0680/klagomål/A 43624-2023 FSC-klagomål.docx", "A 43624-2023")</f>
        <v/>
      </c>
      <c r="AB100">
        <f>HYPERLINK("https://klasma.github.io/Logging_0680/klagomålsmail/A 43624-2023 FSC-klagomål mail.docx", "A 43624-2023")</f>
        <v/>
      </c>
      <c r="AC100">
        <f>HYPERLINK("https://klasma.github.io/Logging_0680/tillsyn/A 43624-2023 tillsynsbegäran.docx", "A 43624-2023")</f>
        <v/>
      </c>
      <c r="AD100">
        <f>HYPERLINK("https://klasma.github.io/Logging_0680/tillsynsmail/A 43624-2023 tillsynsbegäran mail.docx", "A 43624-2023")</f>
        <v/>
      </c>
    </row>
    <row r="101" ht="15" customHeight="1">
      <c r="A101" t="inlineStr">
        <is>
          <t>A 74117-2021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46288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Nattskärra</t>
        </is>
      </c>
      <c r="W101">
        <f>HYPERLINK("https://klasma.github.io/Logging_0680/artfynd/A 74117-2021 artfynd.xlsx", "A 74117-2021")</f>
        <v/>
      </c>
      <c r="X101">
        <f>HYPERLINK("https://klasma.github.io/Logging_0680/kartor/A 74117-2021 karta.png", "A 74117-2021")</f>
        <v/>
      </c>
      <c r="Y101">
        <f>HYPERLINK("https://klasma.github.io/Logging_0680/kartor_geotiff/A 74117-2021 georefererad karta.tif", "A 74117-2021")</f>
        <v/>
      </c>
      <c r="AA101">
        <f>HYPERLINK("https://klasma.github.io/Logging_0680/klagomål/A 74117-2021 FSC-klagomål.docx", "A 74117-2021")</f>
        <v/>
      </c>
      <c r="AB101">
        <f>HYPERLINK("https://klasma.github.io/Logging_0680/klagomålsmail/A 74117-2021 FSC-klagomål mail.docx", "A 74117-2021")</f>
        <v/>
      </c>
      <c r="AC101">
        <f>HYPERLINK("https://klasma.github.io/Logging_0680/tillsyn/A 74117-2021 tillsynsbegäran.docx", "A 74117-2021")</f>
        <v/>
      </c>
      <c r="AD101">
        <f>HYPERLINK("https://klasma.github.io/Logging_0680/tillsynsmail/A 74117-2021 tillsynsbegäran mail.docx", "A 74117-2021")</f>
        <v/>
      </c>
      <c r="AE101">
        <f>HYPERLINK("https://klasma.github.io/Logging_0680/fåglar/A 74117-2021 prioriterade fågelarter.docx", "A 74117-2021")</f>
        <v/>
      </c>
    </row>
    <row r="102" ht="15" customHeight="1">
      <c r="A102" t="inlineStr">
        <is>
          <t>A 2037-2026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46288</v>
      </c>
      <c r="F102" t="inlineStr">
        <is>
          <t>JÖNKÖPINGS LÄN</t>
        </is>
      </c>
      <c r="G102" t="inlineStr">
        <is>
          <t>JÖNKÖPING</t>
        </is>
      </c>
      <c r="I102" t="n">
        <v>11.8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HYPERLINK("https://klasma.github.io/Logging_0680/artfynd/A 2037-2026 artfynd.xlsx", "A 2037-2026")</f>
        <v/>
      </c>
      <c r="X102">
        <f>HYPERLINK("https://klasma.github.io/Logging_0680/kartor/A 2037-2026 karta.png", "A 2037-2026")</f>
        <v/>
      </c>
      <c r="Y102">
        <f>HYPERLINK("https://klasma.github.io/Logging_0680/kartor_geotiff/A 2037-2026 georefererad karta.tif", "A 2037-2026")</f>
        <v/>
      </c>
      <c r="AA102">
        <f>HYPERLINK("https://klasma.github.io/Logging_0680/klagomål/A 2037-2026 FSC-klagomål.docx", "A 2037-2026")</f>
        <v/>
      </c>
      <c r="AB102">
        <f>HYPERLINK("https://klasma.github.io/Logging_0680/klagomålsmail/A 2037-2026 FSC-klagomål mail.docx", "A 2037-2026")</f>
        <v/>
      </c>
      <c r="AC102">
        <f>HYPERLINK("https://klasma.github.io/Logging_0680/tillsyn/A 2037-2026 tillsynsbegäran.docx", "A 2037-2026")</f>
        <v/>
      </c>
      <c r="AD102">
        <f>HYPERLINK("https://klasma.github.io/Logging_0680/tillsynsmail/A 2037-2026 tillsynsbegäran mail.docx", "A 2037-2026")</f>
        <v/>
      </c>
    </row>
    <row r="103" ht="15" customHeight="1">
      <c r="A103" t="inlineStr">
        <is>
          <t>A 4582-2026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46288</v>
      </c>
      <c r="F103" t="inlineStr">
        <is>
          <t>JÖNKÖPINGS LÄN</t>
        </is>
      </c>
      <c r="G103" t="inlineStr">
        <is>
          <t>JÖNKÖPING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Grovticka</t>
        </is>
      </c>
      <c r="W103">
        <f>HYPERLINK("https://klasma.github.io/Logging_0680/artfynd/A 4582-2026 artfynd.xlsx", "A 4582-2026")</f>
        <v/>
      </c>
      <c r="X103">
        <f>HYPERLINK("https://klasma.github.io/Logging_0680/kartor/A 4582-2026 karta.png", "A 4582-2026")</f>
        <v/>
      </c>
      <c r="Y103">
        <f>HYPERLINK("https://klasma.github.io/Logging_0680/kartor_geotiff/A 4582-2026 georefererad karta.tif", "A 4582-2026")</f>
        <v/>
      </c>
      <c r="AA103">
        <f>HYPERLINK("https://klasma.github.io/Logging_0680/klagomål/A 4582-2026 FSC-klagomål.docx", "A 4582-2026")</f>
        <v/>
      </c>
      <c r="AB103">
        <f>HYPERLINK("https://klasma.github.io/Logging_0680/klagomålsmail/A 4582-2026 FSC-klagomål mail.docx", "A 4582-2026")</f>
        <v/>
      </c>
      <c r="AC103">
        <f>HYPERLINK("https://klasma.github.io/Logging_0680/tillsyn/A 4582-2026 tillsynsbegäran.docx", "A 4582-2026")</f>
        <v/>
      </c>
      <c r="AD103">
        <f>HYPERLINK("https://klasma.github.io/Logging_0680/tillsynsmail/A 4582-2026 tillsynsbegäran mail.docx", "A 4582-2026")</f>
        <v/>
      </c>
    </row>
    <row r="104" ht="15" customHeight="1">
      <c r="A104" t="inlineStr">
        <is>
          <t>A 6168-2026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46288</v>
      </c>
      <c r="F104" t="inlineStr">
        <is>
          <t>JÖNKÖPINGS LÄN</t>
        </is>
      </c>
      <c r="G104" t="inlineStr">
        <is>
          <t>JÖNKÖPING</t>
        </is>
      </c>
      <c r="I104" t="n">
        <v>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Stor aspticka</t>
        </is>
      </c>
      <c r="W104">
        <f>HYPERLINK("https://klasma.github.io/Logging_0680/artfynd/A 6168-2026 artfynd.xlsx", "A 6168-2026")</f>
        <v/>
      </c>
      <c r="X104">
        <f>HYPERLINK("https://klasma.github.io/Logging_0680/kartor/A 6168-2026 karta.png", "A 6168-2026")</f>
        <v/>
      </c>
      <c r="Y104">
        <f>HYPERLINK("https://klasma.github.io/Logging_0680/kartor_geotiff/A 6168-2026 georefererad karta.tif", "A 6168-2026")</f>
        <v/>
      </c>
      <c r="AA104">
        <f>HYPERLINK("https://klasma.github.io/Logging_0680/klagomål/A 6168-2026 FSC-klagomål.docx", "A 6168-2026")</f>
        <v/>
      </c>
      <c r="AB104">
        <f>HYPERLINK("https://klasma.github.io/Logging_0680/klagomålsmail/A 6168-2026 FSC-klagomål mail.docx", "A 6168-2026")</f>
        <v/>
      </c>
      <c r="AC104">
        <f>HYPERLINK("https://klasma.github.io/Logging_0680/tillsyn/A 6168-2026 tillsynsbegäran.docx", "A 6168-2026")</f>
        <v/>
      </c>
      <c r="AD104">
        <f>HYPERLINK("https://klasma.github.io/Logging_0680/tillsynsmail/A 6168-2026 tillsynsbegäran mail.docx", "A 6168-2026")</f>
        <v/>
      </c>
    </row>
    <row r="105" ht="15" customHeight="1">
      <c r="A105" t="inlineStr">
        <is>
          <t>A 7511-2026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46288</v>
      </c>
      <c r="F105" t="inlineStr">
        <is>
          <t>JÖNKÖPINGS LÄN</t>
        </is>
      </c>
      <c r="G105" t="inlineStr">
        <is>
          <t>JÖNKÖPING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HYPERLINK("https://klasma.github.io/Logging_0680/artfynd/A 7511-2026 artfynd.xlsx", "A 7511-2026")</f>
        <v/>
      </c>
      <c r="X105">
        <f>HYPERLINK("https://klasma.github.io/Logging_0680/kartor/A 7511-2026 karta.png", "A 7511-2026")</f>
        <v/>
      </c>
      <c r="Y105">
        <f>HYPERLINK("https://klasma.github.io/Logging_0680/kartor_geotiff/A 7511-2026 georefererad karta.tif", "A 7511-2026")</f>
        <v/>
      </c>
      <c r="AA105">
        <f>HYPERLINK("https://klasma.github.io/Logging_0680/klagomål/A 7511-2026 FSC-klagomål.docx", "A 7511-2026")</f>
        <v/>
      </c>
      <c r="AB105">
        <f>HYPERLINK("https://klasma.github.io/Logging_0680/klagomålsmail/A 7511-2026 FSC-klagomål mail.docx", "A 7511-2026")</f>
        <v/>
      </c>
      <c r="AC105">
        <f>HYPERLINK("https://klasma.github.io/Logging_0680/tillsyn/A 7511-2026 tillsynsbegäran.docx", "A 7511-2026")</f>
        <v/>
      </c>
      <c r="AD105">
        <f>HYPERLINK("https://klasma.github.io/Logging_0680/tillsynsmail/A 7511-2026 tillsynsbegäran mail.docx", "A 7511-2026")</f>
        <v/>
      </c>
    </row>
    <row r="106" ht="15" customHeight="1">
      <c r="A106" t="inlineStr">
        <is>
          <t>A 5898-2023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46288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Utter</t>
        </is>
      </c>
      <c r="W106">
        <f>HYPERLINK("https://klasma.github.io/Logging_0680/artfynd/A 5898-2023 artfynd.xlsx", "A 5898-2023")</f>
        <v/>
      </c>
      <c r="X106">
        <f>HYPERLINK("https://klasma.github.io/Logging_0680/kartor/A 5898-2023 karta.png", "A 5898-2023")</f>
        <v/>
      </c>
      <c r="Y106">
        <f>HYPERLINK("https://klasma.github.io/Logging_0680/kartor_geotiff/A 5898-2023 georefererad karta.tif", "A 5898-2023")</f>
        <v/>
      </c>
      <c r="AA106">
        <f>HYPERLINK("https://klasma.github.io/Logging_0680/klagomål/A 5898-2023 FSC-klagomål.docx", "A 5898-2023")</f>
        <v/>
      </c>
      <c r="AB106">
        <f>HYPERLINK("https://klasma.github.io/Logging_0680/klagomålsmail/A 5898-2023 FSC-klagomål mail.docx", "A 5898-2023")</f>
        <v/>
      </c>
      <c r="AC106">
        <f>HYPERLINK("https://klasma.github.io/Logging_0680/tillsyn/A 5898-2023 tillsynsbegäran.docx", "A 5898-2023")</f>
        <v/>
      </c>
      <c r="AD106">
        <f>HYPERLINK("https://klasma.github.io/Logging_0680/tillsynsmail/A 5898-2023 tillsynsbegäran mail.docx", "A 5898-2023")</f>
        <v/>
      </c>
    </row>
    <row r="107" ht="15" customHeight="1">
      <c r="A107" t="inlineStr">
        <is>
          <t>A 15516-2026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46288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Revlummer</t>
        </is>
      </c>
      <c r="W107">
        <f>HYPERLINK("https://klasma.github.io/Logging_0680/artfynd/A 15516-2026 artfynd.xlsx", "A 15516-2026")</f>
        <v/>
      </c>
      <c r="X107">
        <f>HYPERLINK("https://klasma.github.io/Logging_0680/kartor/A 15516-2026 karta.png", "A 15516-2026")</f>
        <v/>
      </c>
      <c r="Y107">
        <f>HYPERLINK("https://klasma.github.io/Logging_0680/kartor_geotiff/A 15516-2026 georefererad karta.tif", "A 15516-2026")</f>
        <v/>
      </c>
      <c r="AA107">
        <f>HYPERLINK("https://klasma.github.io/Logging_0680/klagomål/A 15516-2026 FSC-klagomål.docx", "A 15516-2026")</f>
        <v/>
      </c>
      <c r="AB107">
        <f>HYPERLINK("https://klasma.github.io/Logging_0680/klagomålsmail/A 15516-2026 FSC-klagomål mail.docx", "A 15516-2026")</f>
        <v/>
      </c>
      <c r="AC107">
        <f>HYPERLINK("https://klasma.github.io/Logging_0680/tillsyn/A 15516-2026 tillsynsbegäran.docx", "A 15516-2026")</f>
        <v/>
      </c>
      <c r="AD107">
        <f>HYPERLINK("https://klasma.github.io/Logging_0680/tillsynsmail/A 15516-2026 tillsynsbegäran mail.docx", "A 15516-2026")</f>
        <v/>
      </c>
    </row>
    <row r="108" ht="15" customHeight="1">
      <c r="A108" t="inlineStr">
        <is>
          <t>A 29462-2026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46288</v>
      </c>
      <c r="F108" t="inlineStr">
        <is>
          <t>JÖNKÖPINGS LÄN</t>
        </is>
      </c>
      <c r="G108" t="inlineStr">
        <is>
          <t>JÖNKÖPING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29462-2026 artfynd.xlsx", "A 29462-2026")</f>
        <v/>
      </c>
      <c r="X108">
        <f>HYPERLINK("https://klasma.github.io/Logging_0680/kartor/A 29462-2026 karta.png", "A 29462-2026")</f>
        <v/>
      </c>
      <c r="Y108">
        <f>HYPERLINK("https://klasma.github.io/Logging_0680/kartor_geotiff/A 29462-2026 georefererad karta.tif", "A 29462-2026")</f>
        <v/>
      </c>
      <c r="Z108">
        <f>HYPERLINK("https://klasma.github.io/Logging_0680/knärot/A 29462-2026 karta knärot.png", "A 29462-2026")</f>
        <v/>
      </c>
      <c r="AA108">
        <f>HYPERLINK("https://klasma.github.io/Logging_0680/klagomål/A 29462-2026 FSC-klagomål.docx", "A 29462-2026")</f>
        <v/>
      </c>
      <c r="AB108">
        <f>HYPERLINK("https://klasma.github.io/Logging_0680/klagomålsmail/A 29462-2026 FSC-klagomål mail.docx", "A 29462-2026")</f>
        <v/>
      </c>
      <c r="AC108">
        <f>HYPERLINK("https://klasma.github.io/Logging_0680/tillsyn/A 29462-2026 tillsynsbegäran.docx", "A 29462-2026")</f>
        <v/>
      </c>
      <c r="AD108">
        <f>HYPERLINK("https://klasma.github.io/Logging_0680/tillsynsmail/A 29462-2026 tillsynsbegäran mail.docx", "A 29462-2026")</f>
        <v/>
      </c>
    </row>
    <row r="109" ht="15" customHeight="1">
      <c r="A109" t="inlineStr">
        <is>
          <t>A 16455-2025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46288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HYPERLINK("https://klasma.github.io/Logging_0680/artfynd/A 16455-2025 artfynd.xlsx", "A 16455-2025")</f>
        <v/>
      </c>
      <c r="X109">
        <f>HYPERLINK("https://klasma.github.io/Logging_0680/kartor/A 16455-2025 karta.png", "A 16455-2025")</f>
        <v/>
      </c>
      <c r="Y109">
        <f>HYPERLINK("https://klasma.github.io/Logging_0680/kartor_geotiff/A 16455-2025 georefererad karta.tif", "A 16455-2025")</f>
        <v/>
      </c>
      <c r="AA109">
        <f>HYPERLINK("https://klasma.github.io/Logging_0680/klagomål/A 16455-2025 FSC-klagomål.docx", "A 16455-2025")</f>
        <v/>
      </c>
      <c r="AB109">
        <f>HYPERLINK("https://klasma.github.io/Logging_0680/klagomålsmail/A 16455-2025 FSC-klagomål mail.docx", "A 16455-2025")</f>
        <v/>
      </c>
      <c r="AC109">
        <f>HYPERLINK("https://klasma.github.io/Logging_0680/tillsyn/A 16455-2025 tillsynsbegäran.docx", "A 16455-2025")</f>
        <v/>
      </c>
      <c r="AD109">
        <f>HYPERLINK("https://klasma.github.io/Logging_0680/tillsynsmail/A 16455-2025 tillsynsbegäran mail.docx", "A 16455-2025")</f>
        <v/>
      </c>
    </row>
    <row r="110" ht="15" customHeight="1">
      <c r="A110" t="inlineStr">
        <is>
          <t>A 11260-2023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46288</v>
      </c>
      <c r="F110" t="inlineStr">
        <is>
          <t>JÖNKÖPINGS LÄN</t>
        </is>
      </c>
      <c r="G110" t="inlineStr">
        <is>
          <t>JÖNKÖPING</t>
        </is>
      </c>
      <c r="I110" t="n">
        <v>2.4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Knärot</t>
        </is>
      </c>
      <c r="W110">
        <f>HYPERLINK("https://klasma.github.io/Logging_0680/artfynd/A 11260-2023 artfynd.xlsx", "A 11260-2023")</f>
        <v/>
      </c>
      <c r="X110">
        <f>HYPERLINK("https://klasma.github.io/Logging_0680/kartor/A 11260-2023 karta.png", "A 11260-2023")</f>
        <v/>
      </c>
      <c r="Y110">
        <f>HYPERLINK("https://klasma.github.io/Logging_0680/kartor_geotiff/A 11260-2023 georefererad karta.tif", "A 11260-2023")</f>
        <v/>
      </c>
      <c r="Z110">
        <f>HYPERLINK("https://klasma.github.io/Logging_0680/knärot/A 11260-2023 karta knärot.png", "A 11260-2023")</f>
        <v/>
      </c>
      <c r="AA110">
        <f>HYPERLINK("https://klasma.github.io/Logging_0680/klagomål/A 11260-2023 FSC-klagomål.docx", "A 11260-2023")</f>
        <v/>
      </c>
      <c r="AB110">
        <f>HYPERLINK("https://klasma.github.io/Logging_0680/klagomålsmail/A 11260-2023 FSC-klagomål mail.docx", "A 11260-2023")</f>
        <v/>
      </c>
      <c r="AC110">
        <f>HYPERLINK("https://klasma.github.io/Logging_0680/tillsyn/A 11260-2023 tillsynsbegäran.docx", "A 11260-2023")</f>
        <v/>
      </c>
      <c r="AD110">
        <f>HYPERLINK("https://klasma.github.io/Logging_0680/tillsynsmail/A 11260-2023 tillsynsbegäran mail.docx", "A 11260-2023")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46288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30868-2026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46288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30868-2026 artfynd.xlsx", "A 30868-2026")</f>
        <v/>
      </c>
      <c r="X112">
        <f>HYPERLINK("https://klasma.github.io/Logging_0680/kartor/A 30868-2026 karta.png", "A 30868-2026")</f>
        <v/>
      </c>
      <c r="Y112">
        <f>HYPERLINK("https://klasma.github.io/Logging_0680/kartor_geotiff/A 30868-2026 georefererad karta.tif", "A 30868-2026")</f>
        <v/>
      </c>
      <c r="AA112">
        <f>HYPERLINK("https://klasma.github.io/Logging_0680/klagomål/A 30868-2026 FSC-klagomål.docx", "A 30868-2026")</f>
        <v/>
      </c>
      <c r="AB112">
        <f>HYPERLINK("https://klasma.github.io/Logging_0680/klagomålsmail/A 30868-2026 FSC-klagomål mail.docx", "A 30868-2026")</f>
        <v/>
      </c>
      <c r="AC112">
        <f>HYPERLINK("https://klasma.github.io/Logging_0680/tillsyn/A 30868-2026 tillsynsbegäran.docx", "A 30868-2026")</f>
        <v/>
      </c>
      <c r="AD112">
        <f>HYPERLINK("https://klasma.github.io/Logging_0680/tillsynsmail/A 30868-2026 tillsynsbegäran mail.docx", "A 30868-2026")</f>
        <v/>
      </c>
    </row>
    <row r="113" ht="15" customHeight="1">
      <c r="A113" t="inlineStr">
        <is>
          <t>A 30718-2026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46211</v>
      </c>
      <c r="E113" s="1" t="n">
        <v>46288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11.4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Spindelblomster</t>
        </is>
      </c>
      <c r="W113">
        <f>HYPERLINK("https://klasma.github.io/Logging_0680/artfynd/A 30718-2026 artfynd.xlsx", "A 30718-2026")</f>
        <v/>
      </c>
      <c r="X113">
        <f>HYPERLINK("https://klasma.github.io/Logging_0680/kartor/A 30718-2026 karta.png", "A 30718-2026")</f>
        <v/>
      </c>
      <c r="Y113">
        <f>HYPERLINK("https://klasma.github.io/Logging_0680/kartor_geotiff/A 30718-2026 georefererad karta.tif", "A 30718-2026")</f>
        <v/>
      </c>
      <c r="AA113">
        <f>HYPERLINK("https://klasma.github.io/Logging_0680/klagomål/A 30718-2026 FSC-klagomål.docx", "A 30718-2026")</f>
        <v/>
      </c>
      <c r="AB113">
        <f>HYPERLINK("https://klasma.github.io/Logging_0680/klagomålsmail/A 30718-2026 FSC-klagomål mail.docx", "A 30718-2026")</f>
        <v/>
      </c>
      <c r="AC113">
        <f>HYPERLINK("https://klasma.github.io/Logging_0680/tillsyn/A 30718-2026 tillsynsbegäran.docx", "A 30718-2026")</f>
        <v/>
      </c>
      <c r="AD113">
        <f>HYPERLINK("https://klasma.github.io/Logging_0680/tillsynsmail/A 30718-2026 tillsynsbegäran mail.docx", "A 30718-2026")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46288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7092-2024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46288</v>
      </c>
      <c r="F115" t="inlineStr">
        <is>
          <t>JÖNKÖPINGS LÄN</t>
        </is>
      </c>
      <c r="G115" t="inlineStr">
        <is>
          <t>JÖNKÖPING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HYPERLINK("https://klasma.github.io/Logging_0680/artfynd/A 7092-2024 artfynd.xlsx", "A 7092-2024")</f>
        <v/>
      </c>
      <c r="X115">
        <f>HYPERLINK("https://klasma.github.io/Logging_0680/kartor/A 7092-2024 karta.png", "A 7092-2024")</f>
        <v/>
      </c>
      <c r="Y115">
        <f>HYPERLINK("https://klasma.github.io/Logging_0680/kartor_geotiff/A 7092-2024 georefererad karta.tif", "A 7092-2024")</f>
        <v/>
      </c>
      <c r="AA115">
        <f>HYPERLINK("https://klasma.github.io/Logging_0680/klagomål/A 7092-2024 FSC-klagomål.docx", "A 7092-2024")</f>
        <v/>
      </c>
      <c r="AB115">
        <f>HYPERLINK("https://klasma.github.io/Logging_0680/klagomålsmail/A 7092-2024 FSC-klagomål mail.docx", "A 7092-2024")</f>
        <v/>
      </c>
      <c r="AC115">
        <f>HYPERLINK("https://klasma.github.io/Logging_0680/tillsyn/A 7092-2024 tillsynsbegäran.docx", "A 7092-2024")</f>
        <v/>
      </c>
      <c r="AD115">
        <f>HYPERLINK("https://klasma.github.io/Logging_0680/tillsynsmail/A 7092-2024 tillsynsbegäran mail.docx", "A 7092-2024")</f>
        <v/>
      </c>
    </row>
    <row r="116" ht="15" customHeight="1">
      <c r="A116" t="inlineStr">
        <is>
          <t>A 58346-2022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46288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Övriga statliga verk och myndigheter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Gyllensopp</t>
        </is>
      </c>
      <c r="W116">
        <f>HYPERLINK("https://klasma.github.io/Logging_0680/artfynd/A 58346-2022 artfynd.xlsx", "A 58346-2022")</f>
        <v/>
      </c>
      <c r="X116">
        <f>HYPERLINK("https://klasma.github.io/Logging_0680/kartor/A 58346-2022 karta.png", "A 58346-2022")</f>
        <v/>
      </c>
      <c r="Y116">
        <f>HYPERLINK("https://klasma.github.io/Logging_0680/kartor_geotiff/A 58346-2022 georefererad karta.tif", "A 58346-2022")</f>
        <v/>
      </c>
      <c r="AA116">
        <f>HYPERLINK("https://klasma.github.io/Logging_0680/klagomål/A 58346-2022 FSC-klagomål.docx", "A 58346-2022")</f>
        <v/>
      </c>
      <c r="AB116">
        <f>HYPERLINK("https://klasma.github.io/Logging_0680/klagomålsmail/A 58346-2022 FSC-klagomål mail.docx", "A 58346-2022")</f>
        <v/>
      </c>
      <c r="AC116">
        <f>HYPERLINK("https://klasma.github.io/Logging_0680/tillsyn/A 58346-2022 tillsynsbegäran.docx", "A 58346-2022")</f>
        <v/>
      </c>
      <c r="AD116">
        <f>HYPERLINK("https://klasma.github.io/Logging_0680/tillsynsmail/A 58346-2022 tillsynsbegäran mail.docx", "A 58346-2022")</f>
        <v/>
      </c>
    </row>
    <row r="117" ht="15" customHeight="1">
      <c r="A117" t="inlineStr">
        <is>
          <t>A 40795-2024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46288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Kattfotslav</t>
        </is>
      </c>
      <c r="W117">
        <f>HYPERLINK("https://klasma.github.io/Logging_0680/artfynd/A 40795-2024 artfynd.xlsx", "A 40795-2024")</f>
        <v/>
      </c>
      <c r="X117">
        <f>HYPERLINK("https://klasma.github.io/Logging_0680/kartor/A 40795-2024 karta.png", "A 40795-2024")</f>
        <v/>
      </c>
      <c r="Y117">
        <f>HYPERLINK("https://klasma.github.io/Logging_0680/kartor_geotiff/A 40795-2024 georefererad karta.tif", "A 40795-2024")</f>
        <v/>
      </c>
      <c r="AA117">
        <f>HYPERLINK("https://klasma.github.io/Logging_0680/klagomål/A 40795-2024 FSC-klagomål.docx", "A 40795-2024")</f>
        <v/>
      </c>
      <c r="AB117">
        <f>HYPERLINK("https://klasma.github.io/Logging_0680/klagomålsmail/A 40795-2024 FSC-klagomål mail.docx", "A 40795-2024")</f>
        <v/>
      </c>
      <c r="AC117">
        <f>HYPERLINK("https://klasma.github.io/Logging_0680/tillsyn/A 40795-2024 tillsynsbegäran.docx", "A 40795-2024")</f>
        <v/>
      </c>
      <c r="AD117">
        <f>HYPERLINK("https://klasma.github.io/Logging_0680/tillsynsmail/A 40795-2024 tillsynsbegäran mail.docx", "A 40795-2024")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46288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46288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38900-2026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46286</v>
      </c>
      <c r="E120" s="1" t="n">
        <v>46288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38900-2026 artfynd.xlsx", "A 38900-2026")</f>
        <v/>
      </c>
      <c r="X120">
        <f>HYPERLINK("https://klasma.github.io/Logging_0680/kartor/A 38900-2026 karta.png", "A 38900-2026")</f>
        <v/>
      </c>
      <c r="Y120">
        <f>HYPERLINK("https://klasma.github.io/Logging_0680/kartor_geotiff/A 38900-2026 georefererad karta.tif", "A 38900-2026")</f>
        <v/>
      </c>
      <c r="AA120">
        <f>HYPERLINK("https://klasma.github.io/Logging_0680/klagomål/A 38900-2026 FSC-klagomål.docx", "A 38900-2026")</f>
        <v/>
      </c>
      <c r="AB120">
        <f>HYPERLINK("https://klasma.github.io/Logging_0680/klagomålsmail/A 38900-2026 FSC-klagomål mail.docx", "A 38900-2026")</f>
        <v/>
      </c>
      <c r="AC120">
        <f>HYPERLINK("https://klasma.github.io/Logging_0680/tillsyn/A 38900-2026 tillsynsbegäran.docx", "A 38900-2026")</f>
        <v/>
      </c>
      <c r="AD120">
        <f>HYPERLINK("https://klasma.github.io/Logging_0680/tillsynsmail/A 38900-2026 tillsynsbegäran mail.docx", "A 38900-2026")</f>
        <v/>
      </c>
    </row>
    <row r="121" ht="15" customHeight="1">
      <c r="A121" t="inlineStr">
        <is>
          <t>A 47040-2023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46288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HYPERLINK("https://klasma.github.io/Logging_0680/artfynd/A 47040-2023 artfynd.xlsx", "A 47040-2023")</f>
        <v/>
      </c>
      <c r="X121">
        <f>HYPERLINK("https://klasma.github.io/Logging_0680/kartor/A 47040-2023 karta.png", "A 47040-2023")</f>
        <v/>
      </c>
      <c r="Y121">
        <f>HYPERLINK("https://klasma.github.io/Logging_0680/kartor_geotiff/A 47040-2023 georefererad karta.tif", "A 47040-2023")</f>
        <v/>
      </c>
      <c r="AA121">
        <f>HYPERLINK("https://klasma.github.io/Logging_0680/klagomål/A 47040-2023 FSC-klagomål.docx", "A 47040-2023")</f>
        <v/>
      </c>
      <c r="AB121">
        <f>HYPERLINK("https://klasma.github.io/Logging_0680/klagomålsmail/A 47040-2023 FSC-klagomål mail.docx", "A 47040-2023")</f>
        <v/>
      </c>
      <c r="AC121">
        <f>HYPERLINK("https://klasma.github.io/Logging_0680/tillsyn/A 47040-2023 tillsynsbegäran.docx", "A 47040-2023")</f>
        <v/>
      </c>
      <c r="AD121">
        <f>HYPERLINK("https://klasma.github.io/Logging_0680/tillsynsmail/A 47040-2023 tillsynsbegäran mail.docx", "A 47040-2023")</f>
        <v/>
      </c>
    </row>
    <row r="122" ht="15" customHeight="1">
      <c r="A122" t="inlineStr">
        <is>
          <t>A 37885-2026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46279</v>
      </c>
      <c r="E122" s="1" t="n">
        <v>46288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Jungfrulin</t>
        </is>
      </c>
      <c r="W122">
        <f>HYPERLINK("https://klasma.github.io/Logging_0680/artfynd/A 37885-2026 artfynd.xlsx", "A 37885-2026")</f>
        <v/>
      </c>
      <c r="X122">
        <f>HYPERLINK("https://klasma.github.io/Logging_0680/kartor/A 37885-2026 karta.png", "A 37885-2026")</f>
        <v/>
      </c>
      <c r="Y122">
        <f>HYPERLINK("https://klasma.github.io/Logging_0680/kartor_geotiff/A 37885-2026 georefererad karta.tif", "A 37885-2026")</f>
        <v/>
      </c>
      <c r="AA122">
        <f>HYPERLINK("https://klasma.github.io/Logging_0680/klagomål/A 37885-2026 FSC-klagomål.docx", "A 37885-2026")</f>
        <v/>
      </c>
      <c r="AB122">
        <f>HYPERLINK("https://klasma.github.io/Logging_0680/klagomålsmail/A 37885-2026 FSC-klagomål mail.docx", "A 37885-2026")</f>
        <v/>
      </c>
      <c r="AC122">
        <f>HYPERLINK("https://klasma.github.io/Logging_0680/tillsyn/A 37885-2026 tillsynsbegäran.docx", "A 37885-2026")</f>
        <v/>
      </c>
      <c r="AD122">
        <f>HYPERLINK("https://klasma.github.io/Logging_0680/tillsynsmail/A 37885-2026 tillsynsbegäran mail.docx", "A 37885-2026")</f>
        <v/>
      </c>
    </row>
    <row r="123" ht="15" customHeight="1">
      <c r="A123" t="inlineStr">
        <is>
          <t>A 71504-2021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44540</v>
      </c>
      <c r="E123" s="1" t="n">
        <v>46288</v>
      </c>
      <c r="F123" t="inlineStr">
        <is>
          <t>JÖNKÖPINGS LÄN</t>
        </is>
      </c>
      <c r="G123" t="inlineStr">
        <is>
          <t>JÖNKÖPING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HYPERLINK("https://klasma.github.io/Logging_0680/artfynd/A 71504-2021 artfynd.xlsx", "A 71504-2021")</f>
        <v/>
      </c>
      <c r="X123">
        <f>HYPERLINK("https://klasma.github.io/Logging_0680/kartor/A 71504-2021 karta.png", "A 71504-2021")</f>
        <v/>
      </c>
      <c r="Y123">
        <f>HYPERLINK("https://klasma.github.io/Logging_0680/kartor_geotiff/A 71504-2021 georefererad karta.tif", "A 71504-2021")</f>
        <v/>
      </c>
      <c r="AA123">
        <f>HYPERLINK("https://klasma.github.io/Logging_0680/klagomål/A 71504-2021 FSC-klagomål.docx", "A 71504-2021")</f>
        <v/>
      </c>
      <c r="AB123">
        <f>HYPERLINK("https://klasma.github.io/Logging_0680/klagomålsmail/A 71504-2021 FSC-klagomål mail.docx", "A 71504-2021")</f>
        <v/>
      </c>
      <c r="AC123">
        <f>HYPERLINK("https://klasma.github.io/Logging_0680/tillsyn/A 71504-2021 tillsynsbegäran.docx", "A 71504-2021")</f>
        <v/>
      </c>
      <c r="AD123">
        <f>HYPERLINK("https://klasma.github.io/Logging_0680/tillsynsmail/A 71504-2021 tillsynsbegäran mail.docx", "A 71504-2021")</f>
        <v/>
      </c>
    </row>
    <row r="124" ht="15" customHeight="1">
      <c r="A124" t="inlineStr">
        <is>
          <t>A 14221-2025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46288</v>
      </c>
      <c r="F124" t="inlineStr">
        <is>
          <t>JÖNKÖPINGS LÄN</t>
        </is>
      </c>
      <c r="G124" t="inlineStr">
        <is>
          <t>JÖNKÖPING</t>
        </is>
      </c>
      <c r="I124" t="n">
        <v>8.699999999999999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Gaffelglim</t>
        </is>
      </c>
      <c r="W124">
        <f>HYPERLINK("https://klasma.github.io/Logging_0680/artfynd/A 14221-2025 artfynd.xlsx", "A 14221-2025")</f>
        <v/>
      </c>
      <c r="X124">
        <f>HYPERLINK("https://klasma.github.io/Logging_0680/kartor/A 14221-2025 karta.png", "A 14221-2025")</f>
        <v/>
      </c>
      <c r="Y124">
        <f>HYPERLINK("https://klasma.github.io/Logging_0680/kartor_geotiff/A 14221-2025 georefererad karta.tif", "A 14221-2025")</f>
        <v/>
      </c>
      <c r="AA124">
        <f>HYPERLINK("https://klasma.github.io/Logging_0680/klagomål/A 14221-2025 FSC-klagomål.docx", "A 14221-2025")</f>
        <v/>
      </c>
      <c r="AB124">
        <f>HYPERLINK("https://klasma.github.io/Logging_0680/klagomålsmail/A 14221-2025 FSC-klagomål mail.docx", "A 14221-2025")</f>
        <v/>
      </c>
      <c r="AC124">
        <f>HYPERLINK("https://klasma.github.io/Logging_0680/tillsyn/A 14221-2025 tillsynsbegäran.docx", "A 14221-2025")</f>
        <v/>
      </c>
      <c r="AD124">
        <f>HYPERLINK("https://klasma.github.io/Logging_0680/tillsynsmail/A 14221-2025 tillsynsbegäran mail.docx", "A 14221-2025")</f>
        <v/>
      </c>
    </row>
    <row r="125" ht="15" customHeight="1">
      <c r="A125" t="inlineStr">
        <is>
          <t>A 47492-2024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45587</v>
      </c>
      <c r="E125" s="1" t="n">
        <v>46288</v>
      </c>
      <c r="F125" t="inlineStr">
        <is>
          <t>JÖNKÖPINGS LÄN</t>
        </is>
      </c>
      <c r="G125" t="inlineStr">
        <is>
          <t>JÖNKÖPING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47492-2024 artfynd.xlsx", "A 47492-2024")</f>
        <v/>
      </c>
      <c r="X125">
        <f>HYPERLINK("https://klasma.github.io/Logging_0680/kartor/A 47492-2024 karta.png", "A 47492-2024")</f>
        <v/>
      </c>
      <c r="Y125">
        <f>HYPERLINK("https://klasma.github.io/Logging_0680/kartor_geotiff/A 47492-2024 georefererad karta.tif", "A 47492-2024")</f>
        <v/>
      </c>
      <c r="AA125">
        <f>HYPERLINK("https://klasma.github.io/Logging_0680/klagomål/A 47492-2024 FSC-klagomål.docx", "A 47492-2024")</f>
        <v/>
      </c>
      <c r="AB125">
        <f>HYPERLINK("https://klasma.github.io/Logging_0680/klagomålsmail/A 47492-2024 FSC-klagomål mail.docx", "A 47492-2024")</f>
        <v/>
      </c>
      <c r="AC125">
        <f>HYPERLINK("https://klasma.github.io/Logging_0680/tillsyn/A 47492-2024 tillsynsbegäran.docx", "A 47492-2024")</f>
        <v/>
      </c>
      <c r="AD125">
        <f>HYPERLINK("https://klasma.github.io/Logging_0680/tillsynsmail/A 47492-2024 tillsynsbegäran mail.docx", "A 47492-2024")</f>
        <v/>
      </c>
    </row>
    <row r="126" ht="15" customHeight="1">
      <c r="A126" t="inlineStr">
        <is>
          <t>A 33405-2025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46288</v>
      </c>
      <c r="F126" t="inlineStr">
        <is>
          <t>JÖNKÖPINGS LÄN</t>
        </is>
      </c>
      <c r="G126" t="inlineStr">
        <is>
          <t>JÖNKÖPING</t>
        </is>
      </c>
      <c r="I126" t="n">
        <v>3.9</v>
      </c>
      <c r="J126" t="n">
        <v>1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Läkeögontröst</t>
        </is>
      </c>
      <c r="W126">
        <f>HYPERLINK("https://klasma.github.io/Logging_0680/artfynd/A 33405-2025 artfynd.xlsx", "A 33405-2025")</f>
        <v/>
      </c>
      <c r="X126">
        <f>HYPERLINK("https://klasma.github.io/Logging_0680/kartor/A 33405-2025 karta.png", "A 33405-2025")</f>
        <v/>
      </c>
      <c r="Y126">
        <f>HYPERLINK("https://klasma.github.io/Logging_0680/kartor_geotiff/A 33405-2025 georefererad karta.tif", "A 33405-2025")</f>
        <v/>
      </c>
      <c r="AA126">
        <f>HYPERLINK("https://klasma.github.io/Logging_0680/klagomål/A 33405-2025 FSC-klagomål.docx", "A 33405-2025")</f>
        <v/>
      </c>
      <c r="AB126">
        <f>HYPERLINK("https://klasma.github.io/Logging_0680/klagomålsmail/A 33405-2025 FSC-klagomål mail.docx", "A 33405-2025")</f>
        <v/>
      </c>
      <c r="AC126">
        <f>HYPERLINK("https://klasma.github.io/Logging_0680/tillsyn/A 33405-2025 tillsynsbegäran.docx", "A 33405-2025")</f>
        <v/>
      </c>
      <c r="AD126">
        <f>HYPERLINK("https://klasma.github.io/Logging_0680/tillsynsmail/A 33405-2025 tillsynsbegäran mail.docx", "A 33405-2025")</f>
        <v/>
      </c>
    </row>
    <row r="127" ht="15" customHeight="1">
      <c r="A127" t="inlineStr">
        <is>
          <t>A 33849-2025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46288</v>
      </c>
      <c r="F127" t="inlineStr">
        <is>
          <t>JÖNKÖPINGS LÄN</t>
        </is>
      </c>
      <c r="G127" t="inlineStr">
        <is>
          <t>JÖNKÖPING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Jungfrulin</t>
        </is>
      </c>
      <c r="W127">
        <f>HYPERLINK("https://klasma.github.io/Logging_0680/artfynd/A 33849-2025 artfynd.xlsx", "A 33849-2025")</f>
        <v/>
      </c>
      <c r="X127">
        <f>HYPERLINK("https://klasma.github.io/Logging_0680/kartor/A 33849-2025 karta.png", "A 33849-2025")</f>
        <v/>
      </c>
      <c r="Y127">
        <f>HYPERLINK("https://klasma.github.io/Logging_0680/kartor_geotiff/A 33849-2025 georefererad karta.tif", "A 33849-2025")</f>
        <v/>
      </c>
      <c r="AA127">
        <f>HYPERLINK("https://klasma.github.io/Logging_0680/klagomål/A 33849-2025 FSC-klagomål.docx", "A 33849-2025")</f>
        <v/>
      </c>
      <c r="AB127">
        <f>HYPERLINK("https://klasma.github.io/Logging_0680/klagomålsmail/A 33849-2025 FSC-klagomål mail.docx", "A 33849-2025")</f>
        <v/>
      </c>
      <c r="AC127">
        <f>HYPERLINK("https://klasma.github.io/Logging_0680/tillsyn/A 33849-2025 tillsynsbegäran.docx", "A 33849-2025")</f>
        <v/>
      </c>
      <c r="AD127">
        <f>HYPERLINK("https://klasma.github.io/Logging_0680/tillsynsmail/A 33849-2025 tillsynsbegäran mail.docx", "A 33849-2025")</f>
        <v/>
      </c>
    </row>
    <row r="128" ht="15" customHeight="1">
      <c r="A128" t="inlineStr">
        <is>
          <t>A 54325-2024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46288</v>
      </c>
      <c r="F128" t="inlineStr">
        <is>
          <t>JÖNKÖPINGS LÄN</t>
        </is>
      </c>
      <c r="G128" t="inlineStr">
        <is>
          <t>JÖNKÖPING</t>
        </is>
      </c>
      <c r="I128" t="n">
        <v>8.699999999999999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HYPERLINK("https://klasma.github.io/Logging_0680/artfynd/A 54325-2024 artfynd.xlsx", "A 54325-2024")</f>
        <v/>
      </c>
      <c r="X128">
        <f>HYPERLINK("https://klasma.github.io/Logging_0680/kartor/A 54325-2024 karta.png", "A 54325-2024")</f>
        <v/>
      </c>
      <c r="Y128">
        <f>HYPERLINK("https://klasma.github.io/Logging_0680/kartor_geotiff/A 54325-2024 georefererad karta.tif", "A 54325-2024")</f>
        <v/>
      </c>
      <c r="AA128">
        <f>HYPERLINK("https://klasma.github.io/Logging_0680/klagomål/A 54325-2024 FSC-klagomål.docx", "A 54325-2024")</f>
        <v/>
      </c>
      <c r="AB128">
        <f>HYPERLINK("https://klasma.github.io/Logging_0680/klagomålsmail/A 54325-2024 FSC-klagomål mail.docx", "A 54325-2024")</f>
        <v/>
      </c>
      <c r="AC128">
        <f>HYPERLINK("https://klasma.github.io/Logging_0680/tillsyn/A 54325-2024 tillsynsbegäran.docx", "A 54325-2024")</f>
        <v/>
      </c>
      <c r="AD128">
        <f>HYPERLINK("https://klasma.github.io/Logging_0680/tillsynsmail/A 54325-2024 tillsynsbegäran mail.docx", "A 54325-2024")</f>
        <v/>
      </c>
      <c r="AE128">
        <f>HYPERLINK("https://klasma.github.io/Logging_0680/fåglar/A 54325-2024 prioriterade fågelarter.docx", "A 54325-2024")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46288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46288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46288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46288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46288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46288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46288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46288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46288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46288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46288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46288</v>
      </c>
      <c r="F140" t="inlineStr">
        <is>
          <t>JÖNKÖPINGS LÄN</t>
        </is>
      </c>
      <c r="G140" t="inlineStr">
        <is>
          <t>JÖNKÖPING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46288</v>
      </c>
      <c r="F141" t="inlineStr">
        <is>
          <t>JÖNKÖPINGS LÄN</t>
        </is>
      </c>
      <c r="G141" t="inlineStr">
        <is>
          <t>JÖNKÖPING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46288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46288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46288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46288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46288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46288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46288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46288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46288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46288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46288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46288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46288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46288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46288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46288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46288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46288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44466</v>
      </c>
      <c r="E160" s="1" t="n">
        <v>46288</v>
      </c>
      <c r="F160" t="inlineStr">
        <is>
          <t>JÖNKÖPINGS LÄN</t>
        </is>
      </c>
      <c r="G160" t="inlineStr">
        <is>
          <t>JÖNKÖPING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46288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46288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46288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44575</v>
      </c>
      <c r="E164" s="1" t="n">
        <v>46288</v>
      </c>
      <c r="F164" t="inlineStr">
        <is>
          <t>JÖNKÖPINGS LÄN</t>
        </is>
      </c>
      <c r="G164" t="inlineStr">
        <is>
          <t>JÖNKÖPING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46288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46288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46288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46288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44474</v>
      </c>
      <c r="E169" s="1" t="n">
        <v>46288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46288</v>
      </c>
      <c r="F170" t="inlineStr">
        <is>
          <t>JÖNKÖPINGS LÄN</t>
        </is>
      </c>
      <c r="G170" t="inlineStr">
        <is>
          <t>JÖNKÖPING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46288</v>
      </c>
      <c r="F171" t="inlineStr">
        <is>
          <t>JÖNKÖPINGS LÄN</t>
        </is>
      </c>
      <c r="G171" t="inlineStr">
        <is>
          <t>JÖNKÖPING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46288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52340-2021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44464</v>
      </c>
      <c r="E173" s="1" t="n">
        <v>46288</v>
      </c>
      <c r="F173" t="inlineStr">
        <is>
          <t>JÖNKÖPINGS LÄN</t>
        </is>
      </c>
      <c r="G173" t="inlineStr">
        <is>
          <t>JÖNKÖPING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46288</v>
      </c>
      <c r="F174" t="inlineStr">
        <is>
          <t>JÖNKÖPINGS LÄN</t>
        </is>
      </c>
      <c r="G174" t="inlineStr">
        <is>
          <t>JÖNKÖPING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46288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46288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46288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46288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46288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46288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46288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46288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46288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46288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46288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46288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46288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46288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46288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46288</v>
      </c>
      <c r="F190" t="inlineStr">
        <is>
          <t>JÖNKÖPINGS LÄN</t>
        </is>
      </c>
      <c r="G190" t="inlineStr">
        <is>
          <t>JÖNKÖPING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46288</v>
      </c>
      <c r="F191" t="inlineStr">
        <is>
          <t>JÖNKÖPINGS LÄN</t>
        </is>
      </c>
      <c r="G191" t="inlineStr">
        <is>
          <t>JÖNKÖPING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44464</v>
      </c>
      <c r="E192" s="1" t="n">
        <v>46288</v>
      </c>
      <c r="F192" t="inlineStr">
        <is>
          <t>JÖNKÖPINGS LÄN</t>
        </is>
      </c>
      <c r="G192" t="inlineStr">
        <is>
          <t>JÖNKÖPING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46288</v>
      </c>
      <c r="F193" t="inlineStr">
        <is>
          <t>JÖNKÖPINGS LÄN</t>
        </is>
      </c>
      <c r="G193" t="inlineStr">
        <is>
          <t>JÖNKÖPING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69558-2021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44532</v>
      </c>
      <c r="E194" s="1" t="n">
        <v>46288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44593</v>
      </c>
      <c r="E195" s="1" t="n">
        <v>46288</v>
      </c>
      <c r="F195" t="inlineStr">
        <is>
          <t>JÖNKÖPINGS LÄN</t>
        </is>
      </c>
      <c r="G195" t="inlineStr">
        <is>
          <t>JÖNKÖPING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46288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36861-2022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44805</v>
      </c>
      <c r="E197" s="1" t="n">
        <v>46288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46288</v>
      </c>
      <c r="F198" t="inlineStr">
        <is>
          <t>JÖNKÖPINGS LÄN</t>
        </is>
      </c>
      <c r="G198" t="inlineStr">
        <is>
          <t>JÖNKÖPING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20388-2024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45435</v>
      </c>
      <c r="E199" s="1" t="n">
        <v>46288</v>
      </c>
      <c r="F199" t="inlineStr">
        <is>
          <t>JÖNKÖPINGS LÄN</t>
        </is>
      </c>
      <c r="G199" t="inlineStr">
        <is>
          <t>JÖNKÖPING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46288</v>
      </c>
      <c r="F200" t="inlineStr">
        <is>
          <t>JÖNKÖPINGS LÄN</t>
        </is>
      </c>
      <c r="G200" t="inlineStr">
        <is>
          <t>JÖNKÖPING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21935-2022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44711</v>
      </c>
      <c r="E201" s="1" t="n">
        <v>46288</v>
      </c>
      <c r="F201" t="inlineStr">
        <is>
          <t>JÖNKÖPINGS LÄN</t>
        </is>
      </c>
      <c r="G201" t="inlineStr">
        <is>
          <t>JÖNKÖPING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46288</v>
      </c>
      <c r="F202" t="inlineStr">
        <is>
          <t>JÖNKÖPINGS LÄN</t>
        </is>
      </c>
      <c r="G202" t="inlineStr">
        <is>
          <t>JÖNKÖPING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46288</v>
      </c>
      <c r="F203" t="inlineStr">
        <is>
          <t>JÖNKÖPINGS LÄN</t>
        </is>
      </c>
      <c r="G203" t="inlineStr">
        <is>
          <t>JÖNKÖPING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46288</v>
      </c>
      <c r="F204" t="inlineStr">
        <is>
          <t>JÖNKÖPINGS LÄN</t>
        </is>
      </c>
      <c r="G204" t="inlineStr">
        <is>
          <t>JÖNKÖPING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46288</v>
      </c>
      <c r="F205" t="inlineStr">
        <is>
          <t>JÖNKÖPINGS LÄN</t>
        </is>
      </c>
      <c r="G205" t="inlineStr">
        <is>
          <t>JÖNKÖPING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45012</v>
      </c>
      <c r="E206" s="1" t="n">
        <v>46288</v>
      </c>
      <c r="F206" t="inlineStr">
        <is>
          <t>JÖNKÖPINGS LÄN</t>
        </is>
      </c>
      <c r="G206" t="inlineStr">
        <is>
          <t>JÖNKÖPING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45697</v>
      </c>
      <c r="E207" s="1" t="n">
        <v>46288</v>
      </c>
      <c r="F207" t="inlineStr">
        <is>
          <t>JÖNKÖPINGS LÄN</t>
        </is>
      </c>
      <c r="G207" t="inlineStr">
        <is>
          <t>JÖNKÖPING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47314-2022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44853</v>
      </c>
      <c r="E208" s="1" t="n">
        <v>46288</v>
      </c>
      <c r="F208" t="inlineStr">
        <is>
          <t>JÖNKÖPINGS LÄN</t>
        </is>
      </c>
      <c r="G208" t="inlineStr">
        <is>
          <t>JÖNKÖPING</t>
        </is>
      </c>
      <c r="H208" t="inlineStr">
        <is>
          <t>Kyrkan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46288</v>
      </c>
      <c r="F209" t="inlineStr">
        <is>
          <t>JÖNKÖPINGS LÄN</t>
        </is>
      </c>
      <c r="G209" t="inlineStr">
        <is>
          <t>JÖNKÖPING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45048</v>
      </c>
      <c r="E210" s="1" t="n">
        <v>46288</v>
      </c>
      <c r="F210" t="inlineStr">
        <is>
          <t>JÖNKÖPINGS LÄN</t>
        </is>
      </c>
      <c r="G210" t="inlineStr">
        <is>
          <t>JÖNKÖPING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46288</v>
      </c>
      <c r="F211" t="inlineStr">
        <is>
          <t>JÖNKÖPINGS LÄN</t>
        </is>
      </c>
      <c r="G211" t="inlineStr">
        <is>
          <t>JÖNKÖPING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46288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45605</v>
      </c>
      <c r="E213" s="1" t="n">
        <v>46288</v>
      </c>
      <c r="F213" t="inlineStr">
        <is>
          <t>JÖNKÖPINGS LÄN</t>
        </is>
      </c>
      <c r="G213" t="inlineStr">
        <is>
          <t>JÖNKÖPING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45152</v>
      </c>
      <c r="E214" s="1" t="n">
        <v>46288</v>
      </c>
      <c r="F214" t="inlineStr">
        <is>
          <t>JÖNKÖPINGS LÄN</t>
        </is>
      </c>
      <c r="G214" t="inlineStr">
        <is>
          <t>JÖNKÖPING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46288</v>
      </c>
      <c r="F215" t="inlineStr">
        <is>
          <t>JÖNKÖPINGS LÄN</t>
        </is>
      </c>
      <c r="G215" t="inlineStr">
        <is>
          <t>JÖNKÖPING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46288</v>
      </c>
      <c r="F216" t="inlineStr">
        <is>
          <t>JÖNKÖPINGS LÄN</t>
        </is>
      </c>
      <c r="G216" t="inlineStr">
        <is>
          <t>JÖNKÖPING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44628</v>
      </c>
      <c r="E217" s="1" t="n">
        <v>46288</v>
      </c>
      <c r="F217" t="inlineStr">
        <is>
          <t>JÖNKÖPINGS LÄN</t>
        </is>
      </c>
      <c r="G217" t="inlineStr">
        <is>
          <t>JÖNKÖPING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46288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46288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45307</v>
      </c>
      <c r="E220" s="1" t="n">
        <v>46288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46288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46288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46288</v>
      </c>
      <c r="F223" t="inlineStr">
        <is>
          <t>JÖNKÖPINGS LÄN</t>
        </is>
      </c>
      <c r="G223" t="inlineStr">
        <is>
          <t>JÖNKÖPING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46288</v>
      </c>
      <c r="F224" t="inlineStr">
        <is>
          <t>JÖNKÖPINGS LÄN</t>
        </is>
      </c>
      <c r="G224" t="inlineStr">
        <is>
          <t>JÖNKÖPING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44998</v>
      </c>
      <c r="E225" s="1" t="n">
        <v>46288</v>
      </c>
      <c r="F225" t="inlineStr">
        <is>
          <t>JÖNKÖPINGS LÄN</t>
        </is>
      </c>
      <c r="G225" t="inlineStr">
        <is>
          <t>JÖNKÖPING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46288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46288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46288</v>
      </c>
      <c r="F228" t="inlineStr">
        <is>
          <t>JÖNKÖPINGS LÄN</t>
        </is>
      </c>
      <c r="G228" t="inlineStr">
        <is>
          <t>JÖNKÖPING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45295</v>
      </c>
      <c r="E229" s="1" t="n">
        <v>46288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46288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46288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46288</v>
      </c>
      <c r="F232" t="inlineStr">
        <is>
          <t>JÖNKÖPINGS LÄN</t>
        </is>
      </c>
      <c r="G232" t="inlineStr">
        <is>
          <t>JÖNKÖPING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46288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46288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46288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Kyrkan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46288</v>
      </c>
      <c r="F236" t="inlineStr">
        <is>
          <t>JÖNKÖPINGS LÄN</t>
        </is>
      </c>
      <c r="G236" t="inlineStr">
        <is>
          <t>JÖNKÖPING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46288</v>
      </c>
      <c r="F237" t="inlineStr">
        <is>
          <t>JÖNKÖPINGS LÄN</t>
        </is>
      </c>
      <c r="G237" t="inlineStr">
        <is>
          <t>JÖNKÖPING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45184</v>
      </c>
      <c r="E238" s="1" t="n">
        <v>46288</v>
      </c>
      <c r="F238" t="inlineStr">
        <is>
          <t>JÖNKÖPINGS LÄN</t>
        </is>
      </c>
      <c r="G238" t="inlineStr">
        <is>
          <t>JÖNKÖPING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45116</v>
      </c>
      <c r="E239" s="1" t="n">
        <v>46288</v>
      </c>
      <c r="F239" t="inlineStr">
        <is>
          <t>JÖNKÖPINGS LÄN</t>
        </is>
      </c>
      <c r="G239" t="inlineStr">
        <is>
          <t>JÖNKÖPING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46288</v>
      </c>
      <c r="F240" t="inlineStr">
        <is>
          <t>JÖNKÖPINGS LÄN</t>
        </is>
      </c>
      <c r="G240" t="inlineStr">
        <is>
          <t>JÖNKÖPING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46288</v>
      </c>
      <c r="F241" t="inlineStr">
        <is>
          <t>JÖNKÖPINGS LÄN</t>
        </is>
      </c>
      <c r="G241" t="inlineStr">
        <is>
          <t>JÖNKÖPING</t>
        </is>
      </c>
      <c r="I241" t="n">
        <v>14.5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59269-2022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46288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Kommuner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46288</v>
      </c>
      <c r="F243" t="inlineStr">
        <is>
          <t>JÖNKÖPINGS LÄN</t>
        </is>
      </c>
      <c r="G243" t="inlineStr">
        <is>
          <t>JÖNKÖPING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46288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Kommuner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44861</v>
      </c>
      <c r="E245" s="1" t="n">
        <v>46288</v>
      </c>
      <c r="F245" t="inlineStr">
        <is>
          <t>JÖNKÖPINGS LÄN</t>
        </is>
      </c>
      <c r="G245" t="inlineStr">
        <is>
          <t>JÖNKÖPING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46288</v>
      </c>
      <c r="F246" t="inlineStr">
        <is>
          <t>JÖNKÖPINGS LÄN</t>
        </is>
      </c>
      <c r="G246" t="inlineStr">
        <is>
          <t>JÖNKÖPING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57095-2021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44482</v>
      </c>
      <c r="E247" s="1" t="n">
        <v>46288</v>
      </c>
      <c r="F247" t="inlineStr">
        <is>
          <t>JÖNKÖPINGS LÄN</t>
        </is>
      </c>
      <c r="G247" t="inlineStr">
        <is>
          <t>JÖNKÖPING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44662</v>
      </c>
      <c r="E248" s="1" t="n">
        <v>46288</v>
      </c>
      <c r="F248" t="inlineStr">
        <is>
          <t>JÖNKÖPINGS LÄN</t>
        </is>
      </c>
      <c r="G248" t="inlineStr">
        <is>
          <t>JÖNKÖPING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46288</v>
      </c>
      <c r="F249" t="inlineStr">
        <is>
          <t>JÖNKÖPINGS LÄN</t>
        </is>
      </c>
      <c r="G249" t="inlineStr">
        <is>
          <t>JÖNKÖPING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46288</v>
      </c>
      <c r="F250" t="inlineStr">
        <is>
          <t>JÖNKÖPINGS LÄN</t>
        </is>
      </c>
      <c r="G250" t="inlineStr">
        <is>
          <t>JÖNKÖPING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44882</v>
      </c>
      <c r="E251" s="1" t="n">
        <v>46288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46288</v>
      </c>
      <c r="F252" t="inlineStr">
        <is>
          <t>JÖNKÖPINGS LÄN</t>
        </is>
      </c>
      <c r="G252" t="inlineStr">
        <is>
          <t>JÖNKÖPING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46288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46288</v>
      </c>
      <c r="F254" t="inlineStr">
        <is>
          <t>JÖNKÖPINGS LÄN</t>
        </is>
      </c>
      <c r="G254" t="inlineStr">
        <is>
          <t>JÖNKÖPING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44571</v>
      </c>
      <c r="E255" s="1" t="n">
        <v>46288</v>
      </c>
      <c r="F255" t="inlineStr">
        <is>
          <t>JÖNKÖPINGS LÄN</t>
        </is>
      </c>
      <c r="G255" t="inlineStr">
        <is>
          <t>JÖNKÖPING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44592</v>
      </c>
      <c r="E256" s="1" t="n">
        <v>46288</v>
      </c>
      <c r="F256" t="inlineStr">
        <is>
          <t>JÖNKÖPINGS LÄN</t>
        </is>
      </c>
      <c r="G256" t="inlineStr">
        <is>
          <t>JÖNKÖPING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46288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46288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46288</v>
      </c>
      <c r="F259" t="inlineStr">
        <is>
          <t>JÖNKÖPINGS LÄN</t>
        </is>
      </c>
      <c r="G259" t="inlineStr">
        <is>
          <t>JÖNKÖPING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46288</v>
      </c>
      <c r="F260" t="inlineStr">
        <is>
          <t>JÖNKÖPINGS LÄN</t>
        </is>
      </c>
      <c r="G260" t="inlineStr">
        <is>
          <t>JÖNKÖPING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44622</v>
      </c>
      <c r="E261" s="1" t="n">
        <v>46288</v>
      </c>
      <c r="F261" t="inlineStr">
        <is>
          <t>JÖNKÖPINGS LÄN</t>
        </is>
      </c>
      <c r="G261" t="inlineStr">
        <is>
          <t>JÖNKÖPING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46288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Övriga statliga verk och myndigheter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46288</v>
      </c>
      <c r="F263" t="inlineStr">
        <is>
          <t>JÖNKÖPINGS LÄN</t>
        </is>
      </c>
      <c r="G263" t="inlineStr">
        <is>
          <t>JÖNKÖPING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50192-2024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45600</v>
      </c>
      <c r="E264" s="1" t="n">
        <v>46288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50193-2024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45600</v>
      </c>
      <c r="E265" s="1" t="n">
        <v>46288</v>
      </c>
      <c r="F265" t="inlineStr">
        <is>
          <t>JÖNKÖPINGS LÄN</t>
        </is>
      </c>
      <c r="G265" t="inlineStr">
        <is>
          <t>JÖNKÖPING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46288</v>
      </c>
      <c r="F266" t="inlineStr">
        <is>
          <t>JÖNKÖPINGS LÄN</t>
        </is>
      </c>
      <c r="G266" t="inlineStr">
        <is>
          <t>JÖNKÖPING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46288</v>
      </c>
      <c r="F267" t="inlineStr">
        <is>
          <t>JÖNKÖPINGS LÄN</t>
        </is>
      </c>
      <c r="G267" t="inlineStr">
        <is>
          <t>JÖNKÖPING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46288</v>
      </c>
      <c r="F268" t="inlineStr">
        <is>
          <t>JÖNKÖPINGS LÄN</t>
        </is>
      </c>
      <c r="G268" t="inlineStr">
        <is>
          <t>JÖNKÖPING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45468</v>
      </c>
      <c r="E269" s="1" t="n">
        <v>46288</v>
      </c>
      <c r="F269" t="inlineStr">
        <is>
          <t>JÖNKÖPINGS LÄN</t>
        </is>
      </c>
      <c r="G269" t="inlineStr">
        <is>
          <t>JÖNKÖPING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45682</v>
      </c>
      <c r="E270" s="1" t="n">
        <v>46288</v>
      </c>
      <c r="F270" t="inlineStr">
        <is>
          <t>JÖNKÖPINGS LÄN</t>
        </is>
      </c>
      <c r="G270" t="inlineStr">
        <is>
          <t>JÖNKÖPING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11236-2024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45371</v>
      </c>
      <c r="E271" s="1" t="n">
        <v>46288</v>
      </c>
      <c r="F271" t="inlineStr">
        <is>
          <t>JÖNKÖPINGS LÄN</t>
        </is>
      </c>
      <c r="G271" t="inlineStr">
        <is>
          <t>JÖNKÖPING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46288</v>
      </c>
      <c r="F272" t="inlineStr">
        <is>
          <t>JÖNKÖPINGS LÄN</t>
        </is>
      </c>
      <c r="G272" t="inlineStr">
        <is>
          <t>JÖNKÖPING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46288</v>
      </c>
      <c r="F273" t="inlineStr">
        <is>
          <t>JÖNKÖPINGS LÄN</t>
        </is>
      </c>
      <c r="G273" t="inlineStr">
        <is>
          <t>JÖNKÖPING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45976-2022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44846</v>
      </c>
      <c r="E274" s="1" t="n">
        <v>46288</v>
      </c>
      <c r="F274" t="inlineStr">
        <is>
          <t>JÖNKÖPINGS LÄN</t>
        </is>
      </c>
      <c r="G274" t="inlineStr">
        <is>
          <t>JÖNKÖPING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45351</v>
      </c>
      <c r="E275" s="1" t="n">
        <v>46288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44585</v>
      </c>
      <c r="E276" s="1" t="n">
        <v>46288</v>
      </c>
      <c r="F276" t="inlineStr">
        <is>
          <t>JÖNKÖPINGS LÄN</t>
        </is>
      </c>
      <c r="G276" t="inlineStr">
        <is>
          <t>JÖNKÖPING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45152</v>
      </c>
      <c r="E277" s="1" t="n">
        <v>46288</v>
      </c>
      <c r="F277" t="inlineStr">
        <is>
          <t>JÖNKÖPINGS LÄN</t>
        </is>
      </c>
      <c r="G277" t="inlineStr">
        <is>
          <t>JÖNKÖPING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46288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Kommuner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46288</v>
      </c>
      <c r="F279" t="inlineStr">
        <is>
          <t>JÖNKÖPINGS LÄN</t>
        </is>
      </c>
      <c r="G279" t="inlineStr">
        <is>
          <t>JÖNKÖPING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46288</v>
      </c>
      <c r="F280" t="inlineStr">
        <is>
          <t>JÖNKÖPINGS LÄN</t>
        </is>
      </c>
      <c r="G280" t="inlineStr">
        <is>
          <t>JÖNKÖPING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46288</v>
      </c>
      <c r="F281" t="inlineStr">
        <is>
          <t>JÖNKÖPINGS LÄN</t>
        </is>
      </c>
      <c r="G281" t="inlineStr">
        <is>
          <t>JÖNKÖPING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44507</v>
      </c>
      <c r="E282" s="1" t="n">
        <v>46288</v>
      </c>
      <c r="F282" t="inlineStr">
        <is>
          <t>JÖNKÖPINGS LÄN</t>
        </is>
      </c>
      <c r="G282" t="inlineStr">
        <is>
          <t>JÖNKÖPING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45788</v>
      </c>
      <c r="E283" s="1" t="n">
        <v>46288</v>
      </c>
      <c r="F283" t="inlineStr">
        <is>
          <t>JÖNKÖPINGS LÄN</t>
        </is>
      </c>
      <c r="G283" t="inlineStr">
        <is>
          <t>JÖNKÖPING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45870</v>
      </c>
      <c r="E284" s="1" t="n">
        <v>46288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45294</v>
      </c>
      <c r="E285" s="1" t="n">
        <v>46288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46288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46288</v>
      </c>
      <c r="F287" t="inlineStr">
        <is>
          <t>JÖNKÖPINGS LÄN</t>
        </is>
      </c>
      <c r="G287" t="inlineStr">
        <is>
          <t>JÖNKÖPING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46288</v>
      </c>
      <c r="F288" t="inlineStr">
        <is>
          <t>JÖNKÖPINGS LÄN</t>
        </is>
      </c>
      <c r="G288" t="inlineStr">
        <is>
          <t>JÖNKÖPING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46288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56062-2023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45240</v>
      </c>
      <c r="E290" s="1" t="n">
        <v>46288</v>
      </c>
      <c r="F290" t="inlineStr">
        <is>
          <t>JÖNKÖPINGS LÄN</t>
        </is>
      </c>
      <c r="G290" t="inlineStr">
        <is>
          <t>JÖNKÖPING</t>
        </is>
      </c>
      <c r="I290" t="n">
        <v>13.6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45079</v>
      </c>
      <c r="E291" s="1" t="n">
        <v>46288</v>
      </c>
      <c r="F291" t="inlineStr">
        <is>
          <t>JÖNKÖPINGS LÄN</t>
        </is>
      </c>
      <c r="G291" t="inlineStr">
        <is>
          <t>JÖNKÖPING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10720-2022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44626</v>
      </c>
      <c r="E292" s="1" t="n">
        <v>46288</v>
      </c>
      <c r="F292" t="inlineStr">
        <is>
          <t>JÖNKÖPINGS LÄN</t>
        </is>
      </c>
      <c r="G292" t="inlineStr">
        <is>
          <t>JÖNKÖPING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45880</v>
      </c>
      <c r="E293" s="1" t="n">
        <v>46288</v>
      </c>
      <c r="F293" t="inlineStr">
        <is>
          <t>JÖNKÖPINGS LÄN</t>
        </is>
      </c>
      <c r="G293" t="inlineStr">
        <is>
          <t>JÖNKÖPING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46288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46288</v>
      </c>
      <c r="F295" t="inlineStr">
        <is>
          <t>JÖNKÖPINGS LÄN</t>
        </is>
      </c>
      <c r="G295" t="inlineStr">
        <is>
          <t>JÖNKÖPING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46288</v>
      </c>
      <c r="F296" t="inlineStr">
        <is>
          <t>JÖNKÖPINGS LÄN</t>
        </is>
      </c>
      <c r="G296" t="inlineStr">
        <is>
          <t>JÖNKÖPING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46288</v>
      </c>
      <c r="F297" t="inlineStr">
        <is>
          <t>JÖNKÖPINGS LÄN</t>
        </is>
      </c>
      <c r="G297" t="inlineStr">
        <is>
          <t>JÖNKÖPING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46288</v>
      </c>
      <c r="F298" t="inlineStr">
        <is>
          <t>JÖNKÖPINGS LÄN</t>
        </is>
      </c>
      <c r="G298" t="inlineStr">
        <is>
          <t>JÖNKÖPING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46288</v>
      </c>
      <c r="F299" t="inlineStr">
        <is>
          <t>JÖNKÖPINGS LÄN</t>
        </is>
      </c>
      <c r="G299" t="inlineStr">
        <is>
          <t>JÖNKÖPING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46288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46288</v>
      </c>
      <c r="F301" t="inlineStr">
        <is>
          <t>JÖNKÖPINGS LÄN</t>
        </is>
      </c>
      <c r="G301" t="inlineStr">
        <is>
          <t>JÖNKÖPING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46288</v>
      </c>
      <c r="F302" t="inlineStr">
        <is>
          <t>JÖNKÖPINGS LÄN</t>
        </is>
      </c>
      <c r="G302" t="inlineStr">
        <is>
          <t>JÖNKÖPING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46288</v>
      </c>
      <c r="F303" t="inlineStr">
        <is>
          <t>JÖNKÖPINGS LÄN</t>
        </is>
      </c>
      <c r="G303" t="inlineStr">
        <is>
          <t>JÖNKÖPING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46288</v>
      </c>
      <c r="F304" t="inlineStr">
        <is>
          <t>JÖNKÖPINGS LÄN</t>
        </is>
      </c>
      <c r="G304" t="inlineStr">
        <is>
          <t>JÖNKÖPING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43668-2022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44837</v>
      </c>
      <c r="E305" s="1" t="n">
        <v>46288</v>
      </c>
      <c r="F305" t="inlineStr">
        <is>
          <t>JÖNKÖPINGS LÄN</t>
        </is>
      </c>
      <c r="G305" t="inlineStr">
        <is>
          <t>JÖNKÖPING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45834</v>
      </c>
      <c r="E306" s="1" t="n">
        <v>46288</v>
      </c>
      <c r="F306" t="inlineStr">
        <is>
          <t>JÖNKÖPINGS LÄN</t>
        </is>
      </c>
      <c r="G306" t="inlineStr">
        <is>
          <t>JÖNKÖPING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45892</v>
      </c>
      <c r="E307" s="1" t="n">
        <v>46288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46288</v>
      </c>
      <c r="F308" t="inlineStr">
        <is>
          <t>JÖNKÖPINGS LÄN</t>
        </is>
      </c>
      <c r="G308" t="inlineStr">
        <is>
          <t>JÖNKÖPING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46288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46288</v>
      </c>
      <c r="F310" t="inlineStr">
        <is>
          <t>JÖNKÖPINGS LÄN</t>
        </is>
      </c>
      <c r="G310" t="inlineStr">
        <is>
          <t>JÖNKÖPING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44614</v>
      </c>
      <c r="E311" s="1" t="n">
        <v>46288</v>
      </c>
      <c r="F311" t="inlineStr">
        <is>
          <t>JÖNKÖPINGS LÄN</t>
        </is>
      </c>
      <c r="G311" t="inlineStr">
        <is>
          <t>JÖNKÖPING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45021</v>
      </c>
      <c r="E312" s="1" t="n">
        <v>46288</v>
      </c>
      <c r="F312" t="inlineStr">
        <is>
          <t>JÖNKÖPINGS LÄN</t>
        </is>
      </c>
      <c r="G312" t="inlineStr">
        <is>
          <t>JÖNKÖPING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46288</v>
      </c>
      <c r="F313" t="inlineStr">
        <is>
          <t>JÖNKÖPINGS LÄN</t>
        </is>
      </c>
      <c r="G313" t="inlineStr">
        <is>
          <t>JÖNKÖPING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46288</v>
      </c>
      <c r="F314" t="inlineStr">
        <is>
          <t>JÖNKÖPINGS LÄN</t>
        </is>
      </c>
      <c r="G314" t="inlineStr">
        <is>
          <t>JÖNKÖPING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46288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Sveaskog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46288</v>
      </c>
      <c r="F316" t="inlineStr">
        <is>
          <t>JÖNKÖPINGS LÄN</t>
        </is>
      </c>
      <c r="G316" t="inlineStr">
        <is>
          <t>JÖNKÖPING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46288</v>
      </c>
      <c r="F317" t="inlineStr">
        <is>
          <t>JÖNKÖPINGS LÄN</t>
        </is>
      </c>
      <c r="G317" t="inlineStr">
        <is>
          <t>JÖNKÖPING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46288</v>
      </c>
      <c r="F318" t="inlineStr">
        <is>
          <t>JÖNKÖPINGS LÄN</t>
        </is>
      </c>
      <c r="G318" t="inlineStr">
        <is>
          <t>JÖNKÖPING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46288</v>
      </c>
      <c r="F319" t="inlineStr">
        <is>
          <t>JÖNKÖPINGS LÄN</t>
        </is>
      </c>
      <c r="G319" t="inlineStr">
        <is>
          <t>JÖNKÖPING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46288</v>
      </c>
      <c r="F320" t="inlineStr">
        <is>
          <t>JÖNKÖPINGS LÄN</t>
        </is>
      </c>
      <c r="G320" t="inlineStr">
        <is>
          <t>JÖNKÖPING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46288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Kyrkan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46288</v>
      </c>
      <c r="F322" t="inlineStr">
        <is>
          <t>JÖNKÖPINGS LÄN</t>
        </is>
      </c>
      <c r="G322" t="inlineStr">
        <is>
          <t>JÖNKÖPING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46288</v>
      </c>
      <c r="F323" t="inlineStr">
        <is>
          <t>JÖNKÖPINGS LÄN</t>
        </is>
      </c>
      <c r="G323" t="inlineStr">
        <is>
          <t>JÖNKÖPING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46288</v>
      </c>
      <c r="F324" t="inlineStr">
        <is>
          <t>JÖNKÖPINGS LÄN</t>
        </is>
      </c>
      <c r="G324" t="inlineStr">
        <is>
          <t>JÖNKÖPING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46288</v>
      </c>
      <c r="F325" t="inlineStr">
        <is>
          <t>JÖNKÖPINGS LÄN</t>
        </is>
      </c>
      <c r="G325" t="inlineStr">
        <is>
          <t>JÖNKÖPING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46288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46288</v>
      </c>
      <c r="F327" t="inlineStr">
        <is>
          <t>JÖNKÖPINGS LÄN</t>
        </is>
      </c>
      <c r="G327" t="inlineStr">
        <is>
          <t>JÖNKÖPING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46288</v>
      </c>
      <c r="F328" t="inlineStr">
        <is>
          <t>JÖNKÖPINGS LÄN</t>
        </is>
      </c>
      <c r="G328" t="inlineStr">
        <is>
          <t>JÖNKÖPING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46288</v>
      </c>
      <c r="F329" t="inlineStr">
        <is>
          <t>JÖNKÖPINGS LÄN</t>
        </is>
      </c>
      <c r="G329" t="inlineStr">
        <is>
          <t>JÖNKÖPING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46288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38901-2025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45887</v>
      </c>
      <c r="E331" s="1" t="n">
        <v>46288</v>
      </c>
      <c r="F331" t="inlineStr">
        <is>
          <t>JÖNKÖPINGS LÄN</t>
        </is>
      </c>
      <c r="G331" t="inlineStr">
        <is>
          <t>JÖNKÖPING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46288</v>
      </c>
      <c r="F332" t="inlineStr">
        <is>
          <t>JÖNKÖPINGS LÄN</t>
        </is>
      </c>
      <c r="G332" t="inlineStr">
        <is>
          <t>JÖNKÖPING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46288</v>
      </c>
      <c r="F333" t="inlineStr">
        <is>
          <t>JÖNKÖPINGS LÄN</t>
        </is>
      </c>
      <c r="G333" t="inlineStr">
        <is>
          <t>JÖNKÖPING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46288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46288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45693</v>
      </c>
      <c r="E336" s="1" t="n">
        <v>46288</v>
      </c>
      <c r="F336" t="inlineStr">
        <is>
          <t>JÖNKÖPINGS LÄN</t>
        </is>
      </c>
      <c r="G336" t="inlineStr">
        <is>
          <t>JÖNKÖPING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45947</v>
      </c>
      <c r="E337" s="1" t="n">
        <v>46288</v>
      </c>
      <c r="F337" t="inlineStr">
        <is>
          <t>JÖNKÖPINGS LÄN</t>
        </is>
      </c>
      <c r="G337" t="inlineStr">
        <is>
          <t>JÖNKÖPING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46288</v>
      </c>
      <c r="F338" t="inlineStr">
        <is>
          <t>JÖNKÖPINGS LÄN</t>
        </is>
      </c>
      <c r="G338" t="inlineStr">
        <is>
          <t>JÖNKÖPING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45764</v>
      </c>
      <c r="E339" s="1" t="n">
        <v>46288</v>
      </c>
      <c r="F339" t="inlineStr">
        <is>
          <t>JÖNKÖPINGS LÄN</t>
        </is>
      </c>
      <c r="G339" t="inlineStr">
        <is>
          <t>JÖNKÖPING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46288</v>
      </c>
      <c r="F340" t="inlineStr">
        <is>
          <t>JÖNKÖPINGS LÄN</t>
        </is>
      </c>
      <c r="G340" t="inlineStr">
        <is>
          <t>JÖNKÖPING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45008</v>
      </c>
      <c r="E341" s="1" t="n">
        <v>46288</v>
      </c>
      <c r="F341" t="inlineStr">
        <is>
          <t>JÖNKÖPINGS LÄN</t>
        </is>
      </c>
      <c r="G341" t="inlineStr">
        <is>
          <t>JÖNKÖPING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45105</v>
      </c>
      <c r="E342" s="1" t="n">
        <v>46288</v>
      </c>
      <c r="F342" t="inlineStr">
        <is>
          <t>JÖNKÖPINGS LÄN</t>
        </is>
      </c>
      <c r="G342" t="inlineStr">
        <is>
          <t>JÖNKÖPING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46288</v>
      </c>
      <c r="F343" t="inlineStr">
        <is>
          <t>JÖNKÖPINGS LÄN</t>
        </is>
      </c>
      <c r="G343" t="inlineStr">
        <is>
          <t>JÖNKÖPING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46288</v>
      </c>
      <c r="F344" t="inlineStr">
        <is>
          <t>JÖNKÖPINGS LÄN</t>
        </is>
      </c>
      <c r="G344" t="inlineStr">
        <is>
          <t>JÖNKÖPING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32840-2023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45124</v>
      </c>
      <c r="E345" s="1" t="n">
        <v>46288</v>
      </c>
      <c r="F345" t="inlineStr">
        <is>
          <t>JÖNKÖPINGS LÄN</t>
        </is>
      </c>
      <c r="G345" t="inlineStr">
        <is>
          <t>JÖNKÖPING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45759</v>
      </c>
      <c r="E346" s="1" t="n">
        <v>46288</v>
      </c>
      <c r="F346" t="inlineStr">
        <is>
          <t>JÖNKÖPINGS LÄN</t>
        </is>
      </c>
      <c r="G346" t="inlineStr">
        <is>
          <t>JÖNKÖPING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46288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46288</v>
      </c>
      <c r="F348" t="inlineStr">
        <is>
          <t>JÖNKÖPINGS LÄN</t>
        </is>
      </c>
      <c r="G348" t="inlineStr">
        <is>
          <t>JÖNKÖPING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44487</v>
      </c>
      <c r="E349" s="1" t="n">
        <v>46288</v>
      </c>
      <c r="F349" t="inlineStr">
        <is>
          <t>JÖNKÖPINGS LÄN</t>
        </is>
      </c>
      <c r="G349" t="inlineStr">
        <is>
          <t>JÖNKÖPING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45316</v>
      </c>
      <c r="E350" s="1" t="n">
        <v>46288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11497-2022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44631</v>
      </c>
      <c r="E351" s="1" t="n">
        <v>46288</v>
      </c>
      <c r="F351" t="inlineStr">
        <is>
          <t>JÖNKÖPINGS LÄN</t>
        </is>
      </c>
      <c r="G351" t="inlineStr">
        <is>
          <t>JÖNKÖPING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46288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46288</v>
      </c>
      <c r="F353" t="inlineStr">
        <is>
          <t>JÖNKÖPINGS LÄN</t>
        </is>
      </c>
      <c r="G353" t="inlineStr">
        <is>
          <t>JÖNKÖPING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44483</v>
      </c>
      <c r="E354" s="1" t="n">
        <v>46288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46288</v>
      </c>
      <c r="F355" t="inlineStr">
        <is>
          <t>JÖNKÖPINGS LÄN</t>
        </is>
      </c>
      <c r="G355" t="inlineStr">
        <is>
          <t>JÖNKÖPING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45679</v>
      </c>
      <c r="E356" s="1" t="n">
        <v>46288</v>
      </c>
      <c r="F356" t="inlineStr">
        <is>
          <t>JÖNKÖPINGS LÄN</t>
        </is>
      </c>
      <c r="G356" t="inlineStr">
        <is>
          <t>JÖNKÖPING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45934</v>
      </c>
      <c r="E357" s="1" t="n">
        <v>46288</v>
      </c>
      <c r="F357" t="inlineStr">
        <is>
          <t>JÖNKÖPINGS LÄN</t>
        </is>
      </c>
      <c r="G357" t="inlineStr">
        <is>
          <t>JÖNKÖPING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46288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45775</v>
      </c>
      <c r="E359" s="1" t="n">
        <v>46288</v>
      </c>
      <c r="F359" t="inlineStr">
        <is>
          <t>JÖNKÖPINGS LÄN</t>
        </is>
      </c>
      <c r="G359" t="inlineStr">
        <is>
          <t>JÖNKÖPING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62332-2022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44923</v>
      </c>
      <c r="E360" s="1" t="n">
        <v>46288</v>
      </c>
      <c r="F360" t="inlineStr">
        <is>
          <t>JÖNKÖPINGS LÄN</t>
        </is>
      </c>
      <c r="G360" t="inlineStr">
        <is>
          <t>JÖNKÖPING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46288</v>
      </c>
      <c r="F361" t="inlineStr">
        <is>
          <t>JÖNKÖPINGS LÄN</t>
        </is>
      </c>
      <c r="G361" t="inlineStr">
        <is>
          <t>JÖNKÖPING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45300</v>
      </c>
      <c r="E362" s="1" t="n">
        <v>46288</v>
      </c>
      <c r="F362" t="inlineStr">
        <is>
          <t>JÖNKÖPINGS LÄN</t>
        </is>
      </c>
      <c r="G362" t="inlineStr">
        <is>
          <t>JÖNKÖPING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46288</v>
      </c>
      <c r="F363" t="inlineStr">
        <is>
          <t>JÖNKÖPINGS LÄN</t>
        </is>
      </c>
      <c r="G363" t="inlineStr">
        <is>
          <t>JÖNKÖPING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45681</v>
      </c>
      <c r="E364" s="1" t="n">
        <v>46288</v>
      </c>
      <c r="F364" t="inlineStr">
        <is>
          <t>JÖNKÖPINGS LÄN</t>
        </is>
      </c>
      <c r="G364" t="inlineStr">
        <is>
          <t>JÖNKÖPING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44659</v>
      </c>
      <c r="E365" s="1" t="n">
        <v>46288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46288</v>
      </c>
      <c r="F366" t="inlineStr">
        <is>
          <t>JÖNKÖPINGS LÄN</t>
        </is>
      </c>
      <c r="G366" t="inlineStr">
        <is>
          <t>JÖNKÖPING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45470</v>
      </c>
      <c r="E367" s="1" t="n">
        <v>46288</v>
      </c>
      <c r="F367" t="inlineStr">
        <is>
          <t>JÖNKÖPINGS LÄN</t>
        </is>
      </c>
      <c r="G367" t="inlineStr">
        <is>
          <t>JÖNKÖPING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46288</v>
      </c>
      <c r="F368" t="inlineStr">
        <is>
          <t>JÖNKÖPINGS LÄN</t>
        </is>
      </c>
      <c r="G368" t="inlineStr">
        <is>
          <t>JÖNKÖPING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45455</v>
      </c>
      <c r="E369" s="1" t="n">
        <v>46288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56131-2022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44889</v>
      </c>
      <c r="E370" s="1" t="n">
        <v>46288</v>
      </c>
      <c r="F370" t="inlineStr">
        <is>
          <t>JÖNKÖPINGS LÄN</t>
        </is>
      </c>
      <c r="G370" t="inlineStr">
        <is>
          <t>JÖNKÖPING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48308-2022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44853</v>
      </c>
      <c r="E371" s="1" t="n">
        <v>46288</v>
      </c>
      <c r="F371" t="inlineStr">
        <is>
          <t>JÖNKÖPINGS LÄN</t>
        </is>
      </c>
      <c r="G371" t="inlineStr">
        <is>
          <t>JÖNKÖPING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45401</v>
      </c>
      <c r="E372" s="1" t="n">
        <v>46288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10563-2023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44988</v>
      </c>
      <c r="E373" s="1" t="n">
        <v>46288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45471</v>
      </c>
      <c r="E374" s="1" t="n">
        <v>46288</v>
      </c>
      <c r="F374" t="inlineStr">
        <is>
          <t>JÖNKÖPINGS LÄN</t>
        </is>
      </c>
      <c r="G374" t="inlineStr">
        <is>
          <t>JÖNKÖPING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46288</v>
      </c>
      <c r="F375" t="inlineStr">
        <is>
          <t>JÖNKÖPINGS LÄN</t>
        </is>
      </c>
      <c r="G375" t="inlineStr">
        <is>
          <t>JÖNKÖPING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46288</v>
      </c>
      <c r="F376" t="inlineStr">
        <is>
          <t>JÖNKÖPINGS LÄN</t>
        </is>
      </c>
      <c r="G376" t="inlineStr">
        <is>
          <t>JÖNKÖPING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46288</v>
      </c>
      <c r="F377" t="inlineStr">
        <is>
          <t>JÖNKÖPINGS LÄN</t>
        </is>
      </c>
      <c r="G377" t="inlineStr">
        <is>
          <t>JÖNKÖPING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46288</v>
      </c>
      <c r="F378" t="inlineStr">
        <is>
          <t>JÖNKÖPINGS LÄN</t>
        </is>
      </c>
      <c r="G378" t="inlineStr">
        <is>
          <t>JÖNKÖPING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45364</v>
      </c>
      <c r="E379" s="1" t="n">
        <v>46288</v>
      </c>
      <c r="F379" t="inlineStr">
        <is>
          <t>JÖNKÖPINGS LÄN</t>
        </is>
      </c>
      <c r="G379" t="inlineStr">
        <is>
          <t>JÖNKÖPING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46288</v>
      </c>
      <c r="F380" t="inlineStr">
        <is>
          <t>JÖNKÖPINGS LÄN</t>
        </is>
      </c>
      <c r="G380" t="inlineStr">
        <is>
          <t>JÖNKÖPING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8809-2024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45356</v>
      </c>
      <c r="E381" s="1" t="n">
        <v>46288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45181</v>
      </c>
      <c r="E382" s="1" t="n">
        <v>46288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46288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46288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45965</v>
      </c>
      <c r="E385" s="1" t="n">
        <v>46288</v>
      </c>
      <c r="F385" t="inlineStr">
        <is>
          <t>JÖNKÖPINGS LÄN</t>
        </is>
      </c>
      <c r="G385" t="inlineStr">
        <is>
          <t>JÖNKÖPING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46288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46288</v>
      </c>
      <c r="F387" t="inlineStr">
        <is>
          <t>JÖNKÖPINGS LÄN</t>
        </is>
      </c>
      <c r="G387" t="inlineStr">
        <is>
          <t>JÖNKÖPING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46288</v>
      </c>
      <c r="F388" t="inlineStr">
        <is>
          <t>JÖNKÖPINGS LÄN</t>
        </is>
      </c>
      <c r="G388" t="inlineStr">
        <is>
          <t>JÖNKÖPING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46288</v>
      </c>
      <c r="F389" t="inlineStr">
        <is>
          <t>JÖNKÖPINGS LÄN</t>
        </is>
      </c>
      <c r="G389" t="inlineStr">
        <is>
          <t>JÖNKÖPING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46288</v>
      </c>
      <c r="F390" t="inlineStr">
        <is>
          <t>JÖNKÖPINGS LÄN</t>
        </is>
      </c>
      <c r="G390" t="inlineStr">
        <is>
          <t>JÖNKÖPING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44965</v>
      </c>
      <c r="E391" s="1" t="n">
        <v>46288</v>
      </c>
      <c r="F391" t="inlineStr">
        <is>
          <t>JÖNKÖPINGS LÄN</t>
        </is>
      </c>
      <c r="G391" t="inlineStr">
        <is>
          <t>JÖNKÖPING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46288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46288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46288</v>
      </c>
      <c r="F394" t="inlineStr">
        <is>
          <t>JÖNKÖPINGS LÄN</t>
        </is>
      </c>
      <c r="G394" t="inlineStr">
        <is>
          <t>JÖNKÖPING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45749</v>
      </c>
      <c r="E395" s="1" t="n">
        <v>46288</v>
      </c>
      <c r="F395" t="inlineStr">
        <is>
          <t>JÖNKÖPINGS LÄN</t>
        </is>
      </c>
      <c r="G395" t="inlineStr">
        <is>
          <t>JÖNKÖPING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46288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55198-2025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45968</v>
      </c>
      <c r="E397" s="1" t="n">
        <v>46288</v>
      </c>
      <c r="F397" t="inlineStr">
        <is>
          <t>JÖNKÖPINGS LÄN</t>
        </is>
      </c>
      <c r="G397" t="inlineStr">
        <is>
          <t>JÖNKÖPING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46288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44648</v>
      </c>
      <c r="E399" s="1" t="n">
        <v>46288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46288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46288</v>
      </c>
      <c r="F401" t="inlineStr">
        <is>
          <t>JÖNKÖPINGS LÄN</t>
        </is>
      </c>
      <c r="G401" t="inlineStr">
        <is>
          <t>JÖNKÖPING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46288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46288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46288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46288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46288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46288</v>
      </c>
      <c r="F407" t="inlineStr">
        <is>
          <t>JÖNKÖPINGS LÄN</t>
        </is>
      </c>
      <c r="G407" t="inlineStr">
        <is>
          <t>JÖNKÖPING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46288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46288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46288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46288</v>
      </c>
      <c r="F411" t="inlineStr">
        <is>
          <t>JÖNKÖPINGS LÄN</t>
        </is>
      </c>
      <c r="G411" t="inlineStr">
        <is>
          <t>JÖNKÖPING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46288</v>
      </c>
      <c r="F412" t="inlineStr">
        <is>
          <t>JÖNKÖPINGS LÄN</t>
        </is>
      </c>
      <c r="G412" t="inlineStr">
        <is>
          <t>JÖNKÖPING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45406-2023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45194</v>
      </c>
      <c r="E413" s="1" t="n">
        <v>46288</v>
      </c>
      <c r="F413" t="inlineStr">
        <is>
          <t>JÖNKÖPINGS LÄN</t>
        </is>
      </c>
      <c r="G413" t="inlineStr">
        <is>
          <t>JÖNKÖPING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46288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46288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46288</v>
      </c>
      <c r="F416" t="inlineStr">
        <is>
          <t>JÖNKÖPINGS LÄN</t>
        </is>
      </c>
      <c r="G416" t="inlineStr">
        <is>
          <t>JÖNKÖPING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46288</v>
      </c>
      <c r="F417" t="inlineStr">
        <is>
          <t>JÖNKÖPINGS LÄN</t>
        </is>
      </c>
      <c r="G417" t="inlineStr">
        <is>
          <t>JÖNKÖPING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46288</v>
      </c>
      <c r="F418" t="inlineStr">
        <is>
          <t>JÖNKÖPINGS LÄN</t>
        </is>
      </c>
      <c r="G418" t="inlineStr">
        <is>
          <t>JÖNKÖPING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45587</v>
      </c>
      <c r="E419" s="1" t="n">
        <v>46288</v>
      </c>
      <c r="F419" t="inlineStr">
        <is>
          <t>JÖNKÖPINGS LÄN</t>
        </is>
      </c>
      <c r="G419" t="inlineStr">
        <is>
          <t>JÖNKÖPING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24422-2026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46168</v>
      </c>
      <c r="E420" s="1" t="n">
        <v>46288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46288</v>
      </c>
      <c r="F421" t="inlineStr">
        <is>
          <t>JÖNKÖPINGS LÄN</t>
        </is>
      </c>
      <c r="G421" t="inlineStr">
        <is>
          <t>JÖNKÖPING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45734</v>
      </c>
      <c r="E422" s="1" t="n">
        <v>46288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46288</v>
      </c>
      <c r="F423" t="inlineStr">
        <is>
          <t>JÖNKÖPINGS LÄN</t>
        </is>
      </c>
      <c r="G423" t="inlineStr">
        <is>
          <t>JÖNKÖPING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46288</v>
      </c>
      <c r="F424" t="inlineStr">
        <is>
          <t>JÖNKÖPINGS LÄN</t>
        </is>
      </c>
      <c r="G424" t="inlineStr">
        <is>
          <t>JÖNKÖPING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46288</v>
      </c>
      <c r="F425" t="inlineStr">
        <is>
          <t>JÖNKÖPINGS LÄN</t>
        </is>
      </c>
      <c r="G425" t="inlineStr">
        <is>
          <t>JÖNKÖPING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45392</v>
      </c>
      <c r="E426" s="1" t="n">
        <v>46288</v>
      </c>
      <c r="F426" t="inlineStr">
        <is>
          <t>JÖNKÖPINGS LÄN</t>
        </is>
      </c>
      <c r="G426" t="inlineStr">
        <is>
          <t>JÖNKÖPING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46288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46288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46288</v>
      </c>
      <c r="F429" t="inlineStr">
        <is>
          <t>JÖNKÖPINGS LÄN</t>
        </is>
      </c>
      <c r="G429" t="inlineStr">
        <is>
          <t>JÖNKÖPING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62909-2023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45271</v>
      </c>
      <c r="E430" s="1" t="n">
        <v>46288</v>
      </c>
      <c r="F430" t="inlineStr">
        <is>
          <t>JÖNKÖPINGS LÄN</t>
        </is>
      </c>
      <c r="G430" t="inlineStr">
        <is>
          <t>JÖNKÖPING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46288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44628</v>
      </c>
      <c r="E432" s="1" t="n">
        <v>46288</v>
      </c>
      <c r="F432" t="inlineStr">
        <is>
          <t>JÖNKÖPINGS LÄN</t>
        </is>
      </c>
      <c r="G432" t="inlineStr">
        <is>
          <t>JÖNKÖPING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46288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46288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45215</v>
      </c>
      <c r="E435" s="1" t="n">
        <v>46288</v>
      </c>
      <c r="F435" t="inlineStr">
        <is>
          <t>JÖNKÖPINGS LÄN</t>
        </is>
      </c>
      <c r="G435" t="inlineStr">
        <is>
          <t>JÖNKÖPING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44803</v>
      </c>
      <c r="E436" s="1" t="n">
        <v>46288</v>
      </c>
      <c r="F436" t="inlineStr">
        <is>
          <t>JÖNKÖPINGS LÄN</t>
        </is>
      </c>
      <c r="G436" t="inlineStr">
        <is>
          <t>JÖNKÖPING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45995</v>
      </c>
      <c r="E437" s="1" t="n">
        <v>46288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45673</v>
      </c>
      <c r="E438" s="1" t="n">
        <v>46288</v>
      </c>
      <c r="F438" t="inlineStr">
        <is>
          <t>JÖNKÖPINGS LÄN</t>
        </is>
      </c>
      <c r="G438" t="inlineStr">
        <is>
          <t>JÖNKÖPING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46288</v>
      </c>
      <c r="F439" t="inlineStr">
        <is>
          <t>JÖNKÖPINGS LÄN</t>
        </is>
      </c>
      <c r="G439" t="inlineStr">
        <is>
          <t>JÖNKÖPING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46288</v>
      </c>
      <c r="F440" t="inlineStr">
        <is>
          <t>JÖNKÖPINGS LÄN</t>
        </is>
      </c>
      <c r="G440" t="inlineStr">
        <is>
          <t>JÖNKÖPING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24554-2024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45460</v>
      </c>
      <c r="E441" s="1" t="n">
        <v>46288</v>
      </c>
      <c r="F441" t="inlineStr">
        <is>
          <t>JÖNKÖPINGS LÄN</t>
        </is>
      </c>
      <c r="G441" t="inlineStr">
        <is>
          <t>JÖNKÖPING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46288</v>
      </c>
      <c r="F442" t="inlineStr">
        <is>
          <t>JÖNKÖPINGS LÄN</t>
        </is>
      </c>
      <c r="G442" t="inlineStr">
        <is>
          <t>JÖNKÖPING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8347-2023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44977</v>
      </c>
      <c r="E443" s="1" t="n">
        <v>46288</v>
      </c>
      <c r="F443" t="inlineStr">
        <is>
          <t>JÖNKÖPINGS LÄN</t>
        </is>
      </c>
      <c r="G443" t="inlineStr">
        <is>
          <t>JÖNKÖPING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47009-2025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46288</v>
      </c>
      <c r="F444" t="inlineStr">
        <is>
          <t>JÖNKÖPINGS LÄN</t>
        </is>
      </c>
      <c r="G444" t="inlineStr">
        <is>
          <t>JÖNKÖPING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46288</v>
      </c>
      <c r="F445" t="inlineStr">
        <is>
          <t>JÖNKÖPINGS LÄN</t>
        </is>
      </c>
      <c r="G445" t="inlineStr">
        <is>
          <t>JÖNKÖPING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53256-2021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44468</v>
      </c>
      <c r="E446" s="1" t="n">
        <v>46288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46288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46288</v>
      </c>
      <c r="F448" t="inlineStr">
        <is>
          <t>JÖNKÖPINGS LÄN</t>
        </is>
      </c>
      <c r="G448" t="inlineStr">
        <is>
          <t>JÖNKÖPING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62876-2025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46008</v>
      </c>
      <c r="E449" s="1" t="n">
        <v>46288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46288</v>
      </c>
      <c r="F450" t="inlineStr">
        <is>
          <t>JÖNKÖPINGS LÄN</t>
        </is>
      </c>
      <c r="G450" t="inlineStr">
        <is>
          <t>JÖNKÖPING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46288</v>
      </c>
      <c r="F451" t="inlineStr">
        <is>
          <t>JÖNKÖPINGS LÄN</t>
        </is>
      </c>
      <c r="G451" t="inlineStr">
        <is>
          <t>JÖNKÖPING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46288</v>
      </c>
      <c r="F452" t="inlineStr">
        <is>
          <t>JÖNKÖPINGS LÄN</t>
        </is>
      </c>
      <c r="G452" t="inlineStr">
        <is>
          <t>JÖNKÖPING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45958</v>
      </c>
      <c r="E453" s="1" t="n">
        <v>46288</v>
      </c>
      <c r="F453" t="inlineStr">
        <is>
          <t>JÖNKÖPINGS LÄN</t>
        </is>
      </c>
      <c r="G453" t="inlineStr">
        <is>
          <t>JÖNKÖPING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63564-2025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46013</v>
      </c>
      <c r="E454" s="1" t="n">
        <v>46288</v>
      </c>
      <c r="F454" t="inlineStr">
        <is>
          <t>JÖNKÖPINGS LÄN</t>
        </is>
      </c>
      <c r="G454" t="inlineStr">
        <is>
          <t>JÖNKÖPING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46288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46288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46288</v>
      </c>
      <c r="F457" t="inlineStr">
        <is>
          <t>JÖNKÖPINGS LÄN</t>
        </is>
      </c>
      <c r="G457" t="inlineStr">
        <is>
          <t>JÖNKÖPING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46288</v>
      </c>
      <c r="F458" t="inlineStr">
        <is>
          <t>JÖNKÖPINGS LÄN</t>
        </is>
      </c>
      <c r="G458" t="inlineStr">
        <is>
          <t>JÖNKÖPING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46288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46288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46288</v>
      </c>
      <c r="F461" t="inlineStr">
        <is>
          <t>JÖNKÖPINGS LÄN</t>
        </is>
      </c>
      <c r="G461" t="inlineStr">
        <is>
          <t>JÖNKÖPING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46288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46288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46288</v>
      </c>
      <c r="F464" t="inlineStr">
        <is>
          <t>JÖNKÖPINGS LÄN</t>
        </is>
      </c>
      <c r="G464" t="inlineStr">
        <is>
          <t>JÖNKÖPING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45169</v>
      </c>
      <c r="E465" s="1" t="n">
        <v>46288</v>
      </c>
      <c r="F465" t="inlineStr">
        <is>
          <t>JÖNKÖPINGS LÄN</t>
        </is>
      </c>
      <c r="G465" t="inlineStr">
        <is>
          <t>JÖNKÖPING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40163-2023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46288</v>
      </c>
      <c r="F466" t="inlineStr">
        <is>
          <t>JÖNKÖPINGS LÄN</t>
        </is>
      </c>
      <c r="G466" t="inlineStr">
        <is>
          <t>JÖNKÖPING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44704</v>
      </c>
      <c r="E467" s="1" t="n">
        <v>46288</v>
      </c>
      <c r="F467" t="inlineStr">
        <is>
          <t>JÖNKÖPINGS LÄN</t>
        </is>
      </c>
      <c r="G467" t="inlineStr">
        <is>
          <t>JÖNKÖPING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45401</v>
      </c>
      <c r="E468" s="1" t="n">
        <v>46288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Kommuner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45414</v>
      </c>
      <c r="E469" s="1" t="n">
        <v>46288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45758</v>
      </c>
      <c r="E470" s="1" t="n">
        <v>46288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Kyrkan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46026</v>
      </c>
      <c r="E471" s="1" t="n">
        <v>46288</v>
      </c>
      <c r="F471" t="inlineStr">
        <is>
          <t>JÖNKÖPINGS LÄN</t>
        </is>
      </c>
      <c r="G471" t="inlineStr">
        <is>
          <t>JÖNKÖPING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46288</v>
      </c>
      <c r="F472" t="inlineStr">
        <is>
          <t>JÖNKÖPINGS LÄN</t>
        </is>
      </c>
      <c r="G472" t="inlineStr">
        <is>
          <t>JÖNKÖPING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46026</v>
      </c>
      <c r="E473" s="1" t="n">
        <v>46288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46288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46288</v>
      </c>
      <c r="F475" t="inlineStr">
        <is>
          <t>JÖNKÖPINGS LÄN</t>
        </is>
      </c>
      <c r="G475" t="inlineStr">
        <is>
          <t>JÖNKÖPING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46623-2023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45198</v>
      </c>
      <c r="E476" s="1" t="n">
        <v>46288</v>
      </c>
      <c r="F476" t="inlineStr">
        <is>
          <t>JÖNKÖPINGS LÄN</t>
        </is>
      </c>
      <c r="G476" t="inlineStr">
        <is>
          <t>JÖNKÖPING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45198</v>
      </c>
      <c r="E477" s="1" t="n">
        <v>46288</v>
      </c>
      <c r="F477" t="inlineStr">
        <is>
          <t>JÖNKÖPINGS LÄN</t>
        </is>
      </c>
      <c r="G477" t="inlineStr">
        <is>
          <t>JÖNKÖPING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46288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44886</v>
      </c>
      <c r="E479" s="1" t="n">
        <v>46288</v>
      </c>
      <c r="F479" t="inlineStr">
        <is>
          <t>JÖNKÖPINGS LÄN</t>
        </is>
      </c>
      <c r="G479" t="inlineStr">
        <is>
          <t>JÖNKÖPING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46288</v>
      </c>
      <c r="F480" t="inlineStr">
        <is>
          <t>JÖNKÖPINGS LÄN</t>
        </is>
      </c>
      <c r="G480" t="inlineStr">
        <is>
          <t>JÖNKÖPING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15190-2022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44658</v>
      </c>
      <c r="E481" s="1" t="n">
        <v>46288</v>
      </c>
      <c r="F481" t="inlineStr">
        <is>
          <t>JÖNKÖPINGS LÄN</t>
        </is>
      </c>
      <c r="G481" t="inlineStr">
        <is>
          <t>JÖNKÖPING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45303</v>
      </c>
      <c r="E482" s="1" t="n">
        <v>46288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46288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Kyrkan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46288</v>
      </c>
      <c r="F484" t="inlineStr">
        <is>
          <t>JÖNKÖPINGS LÄN</t>
        </is>
      </c>
      <c r="G484" t="inlineStr">
        <is>
          <t>JÖNKÖPING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45920-2024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45580</v>
      </c>
      <c r="E485" s="1" t="n">
        <v>46288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73003-2021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44550</v>
      </c>
      <c r="E486" s="1" t="n">
        <v>46288</v>
      </c>
      <c r="F486" t="inlineStr">
        <is>
          <t>JÖNKÖPINGS LÄN</t>
        </is>
      </c>
      <c r="G486" t="inlineStr">
        <is>
          <t>JÖNKÖPING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45455</v>
      </c>
      <c r="E487" s="1" t="n">
        <v>46288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45130</v>
      </c>
      <c r="E488" s="1" t="n">
        <v>46288</v>
      </c>
      <c r="F488" t="inlineStr">
        <is>
          <t>JÖNKÖPINGS LÄN</t>
        </is>
      </c>
      <c r="G488" t="inlineStr">
        <is>
          <t>JÖNKÖPING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45477</v>
      </c>
      <c r="E489" s="1" t="n">
        <v>46288</v>
      </c>
      <c r="F489" t="inlineStr">
        <is>
          <t>JÖNKÖPINGS LÄN</t>
        </is>
      </c>
      <c r="G489" t="inlineStr">
        <is>
          <t>JÖNKÖPING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45547</v>
      </c>
      <c r="E490" s="1" t="n">
        <v>46288</v>
      </c>
      <c r="F490" t="inlineStr">
        <is>
          <t>JÖNKÖPINGS LÄN</t>
        </is>
      </c>
      <c r="G490" t="inlineStr">
        <is>
          <t>JÖNKÖPING</t>
        </is>
      </c>
      <c r="H490" t="inlineStr">
        <is>
          <t>Sveaskog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46288</v>
      </c>
      <c r="F491" t="inlineStr">
        <is>
          <t>JÖNKÖPINGS LÄN</t>
        </is>
      </c>
      <c r="G491" t="inlineStr">
        <is>
          <t>JÖNKÖPING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45112</v>
      </c>
      <c r="E492" s="1" t="n">
        <v>46288</v>
      </c>
      <c r="F492" t="inlineStr">
        <is>
          <t>JÖNKÖPINGS LÄN</t>
        </is>
      </c>
      <c r="G492" t="inlineStr">
        <is>
          <t>JÖNKÖPING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46288</v>
      </c>
      <c r="F493" t="inlineStr">
        <is>
          <t>JÖNKÖPINGS LÄN</t>
        </is>
      </c>
      <c r="G493" t="inlineStr">
        <is>
          <t>JÖNKÖPING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46288</v>
      </c>
      <c r="F494" t="inlineStr">
        <is>
          <t>JÖNKÖPINGS LÄN</t>
        </is>
      </c>
      <c r="G494" t="inlineStr">
        <is>
          <t>JÖNKÖPING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45174</v>
      </c>
      <c r="E495" s="1" t="n">
        <v>46288</v>
      </c>
      <c r="F495" t="inlineStr">
        <is>
          <t>JÖNKÖPINGS LÄN</t>
        </is>
      </c>
      <c r="G495" t="inlineStr">
        <is>
          <t>JÖNKÖPING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45557</v>
      </c>
      <c r="E496" s="1" t="n">
        <v>46288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46288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44614</v>
      </c>
      <c r="E498" s="1" t="n">
        <v>46288</v>
      </c>
      <c r="F498" t="inlineStr">
        <is>
          <t>JÖNKÖPINGS LÄN</t>
        </is>
      </c>
      <c r="G498" t="inlineStr">
        <is>
          <t>JÖNKÖPING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46288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25079-2024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46288</v>
      </c>
      <c r="F500" t="inlineStr">
        <is>
          <t>JÖNKÖPINGS LÄN</t>
        </is>
      </c>
      <c r="G500" t="inlineStr">
        <is>
          <t>JÖNKÖPING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49392-2022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44861</v>
      </c>
      <c r="E501" s="1" t="n">
        <v>46288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46288</v>
      </c>
      <c r="F502" t="inlineStr">
        <is>
          <t>JÖNKÖPINGS LÄN</t>
        </is>
      </c>
      <c r="G502" t="inlineStr">
        <is>
          <t>JÖNKÖPING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27228-2026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46188</v>
      </c>
      <c r="E503" s="1" t="n">
        <v>46288</v>
      </c>
      <c r="F503" t="inlineStr">
        <is>
          <t>JÖNKÖPINGS LÄN</t>
        </is>
      </c>
      <c r="G503" t="inlineStr">
        <is>
          <t>JÖNKÖPING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46288</v>
      </c>
      <c r="F504" t="inlineStr">
        <is>
          <t>JÖNKÖPINGS LÄN</t>
        </is>
      </c>
      <c r="G504" t="inlineStr">
        <is>
          <t>JÖNKÖPING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3667-2026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46043</v>
      </c>
      <c r="E505" s="1" t="n">
        <v>46288</v>
      </c>
      <c r="F505" t="inlineStr">
        <is>
          <t>JÖNKÖPINGS LÄN</t>
        </is>
      </c>
      <c r="G505" t="inlineStr">
        <is>
          <t>JÖNKÖPING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7425-2026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46059</v>
      </c>
      <c r="E506" s="1" t="n">
        <v>46288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46288</v>
      </c>
      <c r="F507" t="inlineStr">
        <is>
          <t>JÖNKÖPINGS LÄN</t>
        </is>
      </c>
      <c r="G507" t="inlineStr">
        <is>
          <t>JÖNKÖPING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46044</v>
      </c>
      <c r="E508" s="1" t="n">
        <v>46288</v>
      </c>
      <c r="F508" t="inlineStr">
        <is>
          <t>JÖNKÖPINGS LÄN</t>
        </is>
      </c>
      <c r="G508" t="inlineStr">
        <is>
          <t>JÖNKÖPING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46288</v>
      </c>
      <c r="F509" t="inlineStr">
        <is>
          <t>JÖNKÖPINGS LÄN</t>
        </is>
      </c>
      <c r="G509" t="inlineStr">
        <is>
          <t>JÖNKÖPING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26378-2022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44735</v>
      </c>
      <c r="E510" s="1" t="n">
        <v>46288</v>
      </c>
      <c r="F510" t="inlineStr">
        <is>
          <t>JÖNKÖPINGS LÄN</t>
        </is>
      </c>
      <c r="G510" t="inlineStr">
        <is>
          <t>JÖNKÖPING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45324</v>
      </c>
      <c r="E511" s="1" t="n">
        <v>46288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Kyrkan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46288</v>
      </c>
      <c r="F512" t="inlineStr">
        <is>
          <t>JÖNKÖPINGS LÄN</t>
        </is>
      </c>
      <c r="G512" t="inlineStr">
        <is>
          <t>JÖNKÖPING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46288</v>
      </c>
      <c r="F513" t="inlineStr">
        <is>
          <t>JÖNKÖPINGS LÄN</t>
        </is>
      </c>
      <c r="G513" t="inlineStr">
        <is>
          <t>JÖNKÖPING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45270</v>
      </c>
      <c r="E514" s="1" t="n">
        <v>46288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46288</v>
      </c>
      <c r="F515" t="inlineStr">
        <is>
          <t>JÖNKÖPINGS LÄN</t>
        </is>
      </c>
      <c r="G515" t="inlineStr">
        <is>
          <t>JÖNKÖPING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46288</v>
      </c>
      <c r="F516" t="inlineStr">
        <is>
          <t>JÖNKÖPINGS LÄN</t>
        </is>
      </c>
      <c r="G516" t="inlineStr">
        <is>
          <t>JÖNKÖPING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46288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46288</v>
      </c>
      <c r="F518" t="inlineStr">
        <is>
          <t>JÖNKÖPINGS LÄN</t>
        </is>
      </c>
      <c r="G518" t="inlineStr">
        <is>
          <t>JÖNKÖPING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4805-2026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46048</v>
      </c>
      <c r="E519" s="1" t="n">
        <v>46288</v>
      </c>
      <c r="F519" t="inlineStr">
        <is>
          <t>JÖNKÖPINGS LÄN</t>
        </is>
      </c>
      <c r="G519" t="inlineStr">
        <is>
          <t>JÖNKÖPING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46288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Övriga Aktiebolag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42220-2023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45179</v>
      </c>
      <c r="E521" s="1" t="n">
        <v>46288</v>
      </c>
      <c r="F521" t="inlineStr">
        <is>
          <t>JÖNKÖPINGS LÄN</t>
        </is>
      </c>
      <c r="G521" t="inlineStr">
        <is>
          <t>JÖNKÖPING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63176-2021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44507</v>
      </c>
      <c r="E522" s="1" t="n">
        <v>46288</v>
      </c>
      <c r="F522" t="inlineStr">
        <is>
          <t>JÖNKÖPINGS LÄN</t>
        </is>
      </c>
      <c r="G522" t="inlineStr">
        <is>
          <t>JÖNKÖPING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5332-2026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46050</v>
      </c>
      <c r="E523" s="1" t="n">
        <v>46288</v>
      </c>
      <c r="F523" t="inlineStr">
        <is>
          <t>JÖNKÖPINGS LÄN</t>
        </is>
      </c>
      <c r="G523" t="inlineStr">
        <is>
          <t>JÖNKÖPING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46288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46288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46288</v>
      </c>
      <c r="F526" t="inlineStr">
        <is>
          <t>JÖNKÖPINGS LÄN</t>
        </is>
      </c>
      <c r="G526" t="inlineStr">
        <is>
          <t>JÖNKÖPING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46288</v>
      </c>
      <c r="F527" t="inlineStr">
        <is>
          <t>JÖNKÖPINGS LÄN</t>
        </is>
      </c>
      <c r="G527" t="inlineStr">
        <is>
          <t>JÖNKÖPING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54899-2024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46288</v>
      </c>
      <c r="F528" t="inlineStr">
        <is>
          <t>JÖNKÖPINGS LÄN</t>
        </is>
      </c>
      <c r="G528" t="inlineStr">
        <is>
          <t>JÖNKÖPING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29292-2026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46197</v>
      </c>
      <c r="E529" s="1" t="n">
        <v>46288</v>
      </c>
      <c r="F529" t="inlineStr">
        <is>
          <t>JÖNKÖPINGS LÄN</t>
        </is>
      </c>
      <c r="G529" t="inlineStr">
        <is>
          <t>JÖNKÖPING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63551-2023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45275</v>
      </c>
      <c r="E530" s="1" t="n">
        <v>46288</v>
      </c>
      <c r="F530" t="inlineStr">
        <is>
          <t>JÖNKÖPINGS LÄN</t>
        </is>
      </c>
      <c r="G530" t="inlineStr">
        <is>
          <t>JÖNKÖPING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7504-2026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46288</v>
      </c>
      <c r="F531" t="inlineStr">
        <is>
          <t>JÖNKÖPINGS LÄN</t>
        </is>
      </c>
      <c r="G531" t="inlineStr">
        <is>
          <t>JÖNKÖPING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46288</v>
      </c>
      <c r="F532" t="inlineStr">
        <is>
          <t>JÖNKÖPINGS LÄN</t>
        </is>
      </c>
      <c r="G532" t="inlineStr">
        <is>
          <t>JÖNKÖPING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46288</v>
      </c>
      <c r="F533" t="inlineStr">
        <is>
          <t>JÖNKÖPINGS LÄN</t>
        </is>
      </c>
      <c r="G533" t="inlineStr">
        <is>
          <t>JÖNKÖPING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46288</v>
      </c>
      <c r="F534" t="inlineStr">
        <is>
          <t>JÖNKÖPINGS LÄN</t>
        </is>
      </c>
      <c r="G534" t="inlineStr">
        <is>
          <t>JÖNKÖPING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46059</v>
      </c>
      <c r="E535" s="1" t="n">
        <v>46288</v>
      </c>
      <c r="F535" t="inlineStr">
        <is>
          <t>JÖNKÖPINGS LÄN</t>
        </is>
      </c>
      <c r="G535" t="inlineStr">
        <is>
          <t>JÖNKÖPING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46059</v>
      </c>
      <c r="E536" s="1" t="n">
        <v>46288</v>
      </c>
      <c r="F536" t="inlineStr">
        <is>
          <t>JÖNKÖPINGS LÄN</t>
        </is>
      </c>
      <c r="G536" t="inlineStr">
        <is>
          <t>JÖNKÖPING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46288</v>
      </c>
      <c r="F537" t="inlineStr">
        <is>
          <t>JÖNKÖPINGS LÄN</t>
        </is>
      </c>
      <c r="G537" t="inlineStr">
        <is>
          <t>JÖNKÖPING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46288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36944-2024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45538</v>
      </c>
      <c r="E539" s="1" t="n">
        <v>46288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7512-2026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46288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46288</v>
      </c>
      <c r="F541" t="inlineStr">
        <is>
          <t>JÖNKÖPINGS LÄN</t>
        </is>
      </c>
      <c r="G541" t="inlineStr">
        <is>
          <t>JÖNKÖPING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46288</v>
      </c>
      <c r="F542" t="inlineStr">
        <is>
          <t>JÖNKÖPINGS LÄN</t>
        </is>
      </c>
      <c r="G542" t="inlineStr">
        <is>
          <t>JÖNKÖPING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46288</v>
      </c>
      <c r="F543" t="inlineStr">
        <is>
          <t>JÖNKÖPINGS LÄN</t>
        </is>
      </c>
      <c r="G543" t="inlineStr">
        <is>
          <t>JÖNKÖPING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46288</v>
      </c>
      <c r="F544" t="inlineStr">
        <is>
          <t>JÖNKÖPINGS LÄN</t>
        </is>
      </c>
      <c r="G544" t="inlineStr">
        <is>
          <t>JÖNKÖPING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46288</v>
      </c>
      <c r="F545" t="inlineStr">
        <is>
          <t>JÖNKÖPINGS LÄN</t>
        </is>
      </c>
      <c r="G545" t="inlineStr">
        <is>
          <t>JÖNKÖPING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9067-2026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46069</v>
      </c>
      <c r="E546" s="1" t="n">
        <v>46288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9073-2026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46069</v>
      </c>
      <c r="E547" s="1" t="n">
        <v>46288</v>
      </c>
      <c r="F547" t="inlineStr">
        <is>
          <t>JÖNKÖPINGS LÄN</t>
        </is>
      </c>
      <c r="G547" t="inlineStr">
        <is>
          <t>JÖNKÖPING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45302</v>
      </c>
      <c r="E548" s="1" t="n">
        <v>46288</v>
      </c>
      <c r="F548" t="inlineStr">
        <is>
          <t>JÖNKÖPINGS LÄN</t>
        </is>
      </c>
      <c r="G548" t="inlineStr">
        <is>
          <t>JÖNKÖPING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9020-2026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46069</v>
      </c>
      <c r="E549" s="1" t="n">
        <v>46288</v>
      </c>
      <c r="F549" t="inlineStr">
        <is>
          <t>JÖNKÖPINGS LÄN</t>
        </is>
      </c>
      <c r="G549" t="inlineStr">
        <is>
          <t>JÖNKÖPING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909-2024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46288</v>
      </c>
      <c r="F550" t="inlineStr">
        <is>
          <t>JÖNKÖPINGS LÄN</t>
        </is>
      </c>
      <c r="G550" t="inlineStr">
        <is>
          <t>JÖNKÖPING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17019-2024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45412</v>
      </c>
      <c r="E551" s="1" t="n">
        <v>46288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Övriga Aktiebolag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46288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42818-2023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45182</v>
      </c>
      <c r="E553" s="1" t="n">
        <v>46288</v>
      </c>
      <c r="F553" t="inlineStr">
        <is>
          <t>JÖNKÖPINGS LÄN</t>
        </is>
      </c>
      <c r="G553" t="inlineStr">
        <is>
          <t>JÖNKÖPING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62263-2023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45267</v>
      </c>
      <c r="E554" s="1" t="n">
        <v>46288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46288</v>
      </c>
      <c r="F555" t="inlineStr">
        <is>
          <t>JÖNKÖPINGS LÄN</t>
        </is>
      </c>
      <c r="G555" t="inlineStr">
        <is>
          <t>JÖNKÖPING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46288</v>
      </c>
      <c r="F556" t="inlineStr">
        <is>
          <t>JÖNKÖPINGS LÄN</t>
        </is>
      </c>
      <c r="G556" t="inlineStr">
        <is>
          <t>JÖNKÖPING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46288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46288</v>
      </c>
      <c r="F558" t="inlineStr">
        <is>
          <t>JÖNKÖPINGS LÄN</t>
        </is>
      </c>
      <c r="G558" t="inlineStr">
        <is>
          <t>JÖNKÖPING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44943</v>
      </c>
      <c r="E559" s="1" t="n">
        <v>46288</v>
      </c>
      <c r="F559" t="inlineStr">
        <is>
          <t>JÖNKÖPINGS LÄN</t>
        </is>
      </c>
      <c r="G559" t="inlineStr">
        <is>
          <t>JÖNKÖPING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45615</v>
      </c>
      <c r="E560" s="1" t="n">
        <v>46288</v>
      </c>
      <c r="F560" t="inlineStr">
        <is>
          <t>JÖNKÖPINGS LÄN</t>
        </is>
      </c>
      <c r="G560" t="inlineStr">
        <is>
          <t>JÖNKÖPING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53938-2024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45615</v>
      </c>
      <c r="E561" s="1" t="n">
        <v>46288</v>
      </c>
      <c r="F561" t="inlineStr">
        <is>
          <t>JÖNKÖPINGS LÄN</t>
        </is>
      </c>
      <c r="G561" t="inlineStr">
        <is>
          <t>JÖNKÖPING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45523</v>
      </c>
      <c r="E562" s="1" t="n">
        <v>46288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9926-2026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46073</v>
      </c>
      <c r="E563" s="1" t="n">
        <v>46288</v>
      </c>
      <c r="F563" t="inlineStr">
        <is>
          <t>JÖNKÖPINGS LÄN</t>
        </is>
      </c>
      <c r="G563" t="inlineStr">
        <is>
          <t>JÖNKÖPING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46079</v>
      </c>
      <c r="E564" s="1" t="n">
        <v>46288</v>
      </c>
      <c r="F564" t="inlineStr">
        <is>
          <t>JÖNKÖPINGS LÄN</t>
        </is>
      </c>
      <c r="G564" t="inlineStr">
        <is>
          <t>JÖNKÖPING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64650-2023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45281</v>
      </c>
      <c r="E565" s="1" t="n">
        <v>46288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44944</v>
      </c>
      <c r="E566" s="1" t="n">
        <v>46288</v>
      </c>
      <c r="F566" t="inlineStr">
        <is>
          <t>JÖNKÖPINGS LÄN</t>
        </is>
      </c>
      <c r="G566" t="inlineStr">
        <is>
          <t>JÖNKÖPING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44614</v>
      </c>
      <c r="E567" s="1" t="n">
        <v>46288</v>
      </c>
      <c r="F567" t="inlineStr">
        <is>
          <t>JÖNKÖPINGS LÄN</t>
        </is>
      </c>
      <c r="G567" t="inlineStr">
        <is>
          <t>JÖNKÖPING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46288</v>
      </c>
      <c r="F568" t="inlineStr">
        <is>
          <t>JÖNKÖPINGS LÄN</t>
        </is>
      </c>
      <c r="G568" t="inlineStr">
        <is>
          <t>JÖNKÖPING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46201</v>
      </c>
      <c r="E569" s="1" t="n">
        <v>46288</v>
      </c>
      <c r="F569" t="inlineStr">
        <is>
          <t>JÖNKÖPINGS LÄN</t>
        </is>
      </c>
      <c r="G569" t="inlineStr">
        <is>
          <t>JÖNKÖPING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13632-2022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44648</v>
      </c>
      <c r="E570" s="1" t="n">
        <v>46288</v>
      </c>
      <c r="F570" t="inlineStr">
        <is>
          <t>JÖNKÖPINGS LÄN</t>
        </is>
      </c>
      <c r="G570" t="inlineStr">
        <is>
          <t>JÖNKÖPING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42047-2023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45177</v>
      </c>
      <c r="E571" s="1" t="n">
        <v>46288</v>
      </c>
      <c r="F571" t="inlineStr">
        <is>
          <t>JÖNKÖPINGS LÄN</t>
        </is>
      </c>
      <c r="G571" t="inlineStr">
        <is>
          <t>JÖNKÖPING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46201</v>
      </c>
      <c r="E572" s="1" t="n">
        <v>46288</v>
      </c>
      <c r="F572" t="inlineStr">
        <is>
          <t>JÖNKÖPINGS LÄN</t>
        </is>
      </c>
      <c r="G572" t="inlineStr">
        <is>
          <t>JÖNKÖPING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46201</v>
      </c>
      <c r="E573" s="1" t="n">
        <v>46288</v>
      </c>
      <c r="F573" t="inlineStr">
        <is>
          <t>JÖNKÖPINGS LÄN</t>
        </is>
      </c>
      <c r="G573" t="inlineStr">
        <is>
          <t>JÖNKÖPING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12256-2026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46288</v>
      </c>
      <c r="F574" t="inlineStr">
        <is>
          <t>JÖNKÖPINGS LÄN</t>
        </is>
      </c>
      <c r="G574" t="inlineStr">
        <is>
          <t>JÖNKÖPING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46288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Kyrkan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45588</v>
      </c>
      <c r="E576" s="1" t="n">
        <v>46288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44655</v>
      </c>
      <c r="E577" s="1" t="n">
        <v>46288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46288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46288</v>
      </c>
      <c r="F579" t="inlineStr">
        <is>
          <t>JÖNKÖPINGS LÄN</t>
        </is>
      </c>
      <c r="G579" t="inlineStr">
        <is>
          <t>JÖNKÖPING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46288</v>
      </c>
      <c r="F580" t="inlineStr">
        <is>
          <t>JÖNKÖPINGS LÄN</t>
        </is>
      </c>
      <c r="G580" t="inlineStr">
        <is>
          <t>JÖNKÖPING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46288</v>
      </c>
      <c r="F581" t="inlineStr">
        <is>
          <t>JÖNKÖPINGS LÄN</t>
        </is>
      </c>
      <c r="G581" t="inlineStr">
        <is>
          <t>JÖNKÖPING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44106-2022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44839</v>
      </c>
      <c r="E582" s="1" t="n">
        <v>46288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46288</v>
      </c>
      <c r="F583" t="inlineStr">
        <is>
          <t>JÖNKÖPINGS LÄN</t>
        </is>
      </c>
      <c r="G583" t="inlineStr">
        <is>
          <t>JÖNKÖPING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46288</v>
      </c>
      <c r="F584" t="inlineStr">
        <is>
          <t>JÖNKÖPINGS LÄN</t>
        </is>
      </c>
      <c r="G584" t="inlineStr">
        <is>
          <t>JÖNKÖPING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56599-2022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44893</v>
      </c>
      <c r="E585" s="1" t="n">
        <v>46288</v>
      </c>
      <c r="F585" t="inlineStr">
        <is>
          <t>JÖNKÖPINGS LÄN</t>
        </is>
      </c>
      <c r="G585" t="inlineStr">
        <is>
          <t>JÖNKÖPING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10018-2024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46288</v>
      </c>
      <c r="F586" t="inlineStr">
        <is>
          <t>JÖNKÖPINGS LÄN</t>
        </is>
      </c>
      <c r="G586" t="inlineStr">
        <is>
          <t>JÖNKÖPING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46288</v>
      </c>
      <c r="F587" t="inlineStr">
        <is>
          <t>JÖNKÖPINGS LÄN</t>
        </is>
      </c>
      <c r="G587" t="inlineStr">
        <is>
          <t>JÖNKÖPING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45314</v>
      </c>
      <c r="E588" s="1" t="n">
        <v>46288</v>
      </c>
      <c r="F588" t="inlineStr">
        <is>
          <t>JÖNKÖPINGS LÄN</t>
        </is>
      </c>
      <c r="G588" t="inlineStr">
        <is>
          <t>JÖNKÖPING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46246</v>
      </c>
      <c r="E589" s="1" t="n">
        <v>46288</v>
      </c>
      <c r="F589" t="inlineStr">
        <is>
          <t>JÖNKÖPINGS LÄN</t>
        </is>
      </c>
      <c r="G589" t="inlineStr">
        <is>
          <t>JÖNKÖPING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57719-2021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44484</v>
      </c>
      <c r="E590" s="1" t="n">
        <v>46288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52812-2023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45226</v>
      </c>
      <c r="E591" s="1" t="n">
        <v>46288</v>
      </c>
      <c r="F591" t="inlineStr">
        <is>
          <t>JÖNKÖPINGS LÄN</t>
        </is>
      </c>
      <c r="G591" t="inlineStr">
        <is>
          <t>JÖNKÖPING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44589</v>
      </c>
      <c r="E592" s="1" t="n">
        <v>46288</v>
      </c>
      <c r="F592" t="inlineStr">
        <is>
          <t>JÖNKÖPINGS LÄN</t>
        </is>
      </c>
      <c r="G592" t="inlineStr">
        <is>
          <t>JÖNKÖPING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44578</v>
      </c>
      <c r="E593" s="1" t="n">
        <v>46288</v>
      </c>
      <c r="F593" t="inlineStr">
        <is>
          <t>JÖNKÖPINGS LÄN</t>
        </is>
      </c>
      <c r="G593" t="inlineStr">
        <is>
          <t>JÖNKÖPING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33363-2026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46247</v>
      </c>
      <c r="E594" s="1" t="n">
        <v>46288</v>
      </c>
      <c r="F594" t="inlineStr">
        <is>
          <t>JÖNKÖPINGS LÄN</t>
        </is>
      </c>
      <c r="G594" t="inlineStr">
        <is>
          <t>JÖNKÖPING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47569-2024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45587</v>
      </c>
      <c r="E595" s="1" t="n">
        <v>46288</v>
      </c>
      <c r="F595" t="inlineStr">
        <is>
          <t>JÖNKÖPINGS LÄN</t>
        </is>
      </c>
      <c r="G595" t="inlineStr">
        <is>
          <t>JÖNKÖPING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36619-2022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44804</v>
      </c>
      <c r="E596" s="1" t="n">
        <v>46288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18729-2023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45043</v>
      </c>
      <c r="E597" s="1" t="n">
        <v>46288</v>
      </c>
      <c r="F597" t="inlineStr">
        <is>
          <t>JÖNKÖPINGS LÄN</t>
        </is>
      </c>
      <c r="G597" t="inlineStr">
        <is>
          <t>JÖNKÖPING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33309-2026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46246</v>
      </c>
      <c r="E598" s="1" t="n">
        <v>46288</v>
      </c>
      <c r="F598" t="inlineStr">
        <is>
          <t>JÖNKÖPINGS LÄN</t>
        </is>
      </c>
      <c r="G598" t="inlineStr">
        <is>
          <t>JÖNKÖPING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45113</v>
      </c>
      <c r="E599" s="1" t="n">
        <v>46288</v>
      </c>
      <c r="F599" t="inlineStr">
        <is>
          <t>JÖNKÖPINGS LÄN</t>
        </is>
      </c>
      <c r="G599" t="inlineStr">
        <is>
          <t>JÖNKÖPING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46288</v>
      </c>
      <c r="F600" t="inlineStr">
        <is>
          <t>JÖNKÖPINGS LÄN</t>
        </is>
      </c>
      <c r="G600" t="inlineStr">
        <is>
          <t>JÖNKÖPING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46288</v>
      </c>
      <c r="F601" t="inlineStr">
        <is>
          <t>JÖNKÖPINGS LÄN</t>
        </is>
      </c>
      <c r="G601" t="inlineStr">
        <is>
          <t>JÖNKÖPING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46119</v>
      </c>
      <c r="E602" s="1" t="n">
        <v>46288</v>
      </c>
      <c r="F602" t="inlineStr">
        <is>
          <t>JÖNKÖPINGS LÄN</t>
        </is>
      </c>
      <c r="G602" t="inlineStr">
        <is>
          <t>JÖNKÖPING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46120</v>
      </c>
      <c r="E603" s="1" t="n">
        <v>46288</v>
      </c>
      <c r="F603" t="inlineStr">
        <is>
          <t>JÖNKÖPINGS LÄN</t>
        </is>
      </c>
      <c r="G603" t="inlineStr">
        <is>
          <t>JÖNKÖPING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46120</v>
      </c>
      <c r="E604" s="1" t="n">
        <v>46288</v>
      </c>
      <c r="F604" t="inlineStr">
        <is>
          <t>JÖNKÖPINGS LÄN</t>
        </is>
      </c>
      <c r="G604" t="inlineStr">
        <is>
          <t>JÖNKÖPING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46120</v>
      </c>
      <c r="E605" s="1" t="n">
        <v>46288</v>
      </c>
      <c r="F605" t="inlineStr">
        <is>
          <t>JÖNKÖPINGS LÄN</t>
        </is>
      </c>
      <c r="G605" t="inlineStr">
        <is>
          <t>JÖNKÖPING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46288</v>
      </c>
      <c r="F606" t="inlineStr">
        <is>
          <t>JÖNKÖPINGS LÄN</t>
        </is>
      </c>
      <c r="G606" t="inlineStr">
        <is>
          <t>JÖNKÖPING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45701</v>
      </c>
      <c r="E607" s="1" t="n">
        <v>46288</v>
      </c>
      <c r="F607" t="inlineStr">
        <is>
          <t>JÖNKÖPINGS LÄN</t>
        </is>
      </c>
      <c r="G607" t="inlineStr">
        <is>
          <t>JÖNKÖPING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46288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46288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60822-2024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46288</v>
      </c>
      <c r="F610" t="inlineStr">
        <is>
          <t>JÖNKÖPINGS LÄN</t>
        </is>
      </c>
      <c r="G610" t="inlineStr">
        <is>
          <t>JÖNKÖPING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7865-2022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44608</v>
      </c>
      <c r="E611" s="1" t="n">
        <v>46288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26206-2022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44734</v>
      </c>
      <c r="E612" s="1" t="n">
        <v>46288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Kyrkan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26213-2022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44734</v>
      </c>
      <c r="E613" s="1" t="n">
        <v>46288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Kyrkan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59318-2022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44904</v>
      </c>
      <c r="E614" s="1" t="n">
        <v>46288</v>
      </c>
      <c r="F614" t="inlineStr">
        <is>
          <t>JÖNKÖPINGS LÄN</t>
        </is>
      </c>
      <c r="G614" t="inlineStr">
        <is>
          <t>JÖNKÖPING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46321-2023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45197</v>
      </c>
      <c r="E615" s="1" t="n">
        <v>46288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45321</v>
      </c>
      <c r="E616" s="1" t="n">
        <v>46288</v>
      </c>
      <c r="F616" t="inlineStr">
        <is>
          <t>JÖNKÖPINGS LÄN</t>
        </is>
      </c>
      <c r="G616" t="inlineStr">
        <is>
          <t>JÖNKÖPING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18574-2023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45043</v>
      </c>
      <c r="E617" s="1" t="n">
        <v>46288</v>
      </c>
      <c r="F617" t="inlineStr">
        <is>
          <t>JÖNKÖPINGS LÄN</t>
        </is>
      </c>
      <c r="G617" t="inlineStr">
        <is>
          <t>JÖNKÖPING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46288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38258-2024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45545</v>
      </c>
      <c r="E619" s="1" t="n">
        <v>46288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44711</v>
      </c>
      <c r="E620" s="1" t="n">
        <v>46288</v>
      </c>
      <c r="F620" t="inlineStr">
        <is>
          <t>JÖNKÖPINGS LÄN</t>
        </is>
      </c>
      <c r="G620" t="inlineStr">
        <is>
          <t>JÖNKÖPING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46288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28307-2024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46288</v>
      </c>
      <c r="F622" t="inlineStr">
        <is>
          <t>JÖNKÖPINGS LÄN</t>
        </is>
      </c>
      <c r="G622" t="inlineStr">
        <is>
          <t>JÖNKÖPING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45299</v>
      </c>
      <c r="E623" s="1" t="n">
        <v>46288</v>
      </c>
      <c r="F623" t="inlineStr">
        <is>
          <t>JÖNKÖPINGS LÄN</t>
        </is>
      </c>
      <c r="G623" t="inlineStr">
        <is>
          <t>JÖNKÖPING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46252</v>
      </c>
      <c r="E624" s="1" t="n">
        <v>46288</v>
      </c>
      <c r="F624" t="inlineStr">
        <is>
          <t>JÖNKÖPINGS LÄN</t>
        </is>
      </c>
      <c r="G624" t="inlineStr">
        <is>
          <t>JÖNKÖPING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44998</v>
      </c>
      <c r="E625" s="1" t="n">
        <v>46288</v>
      </c>
      <c r="F625" t="inlineStr">
        <is>
          <t>JÖNKÖPINGS LÄN</t>
        </is>
      </c>
      <c r="G625" t="inlineStr">
        <is>
          <t>JÖNKÖPING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45175</v>
      </c>
      <c r="E626" s="1" t="n">
        <v>46288</v>
      </c>
      <c r="F626" t="inlineStr">
        <is>
          <t>JÖNKÖPINGS LÄN</t>
        </is>
      </c>
      <c r="G626" t="inlineStr">
        <is>
          <t>JÖNKÖPING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45118</v>
      </c>
      <c r="E627" s="1" t="n">
        <v>46288</v>
      </c>
      <c r="F627" t="inlineStr">
        <is>
          <t>JÖNKÖPINGS LÄN</t>
        </is>
      </c>
      <c r="G627" t="inlineStr">
        <is>
          <t>JÖNKÖPING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4577-2022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44591</v>
      </c>
      <c r="E628" s="1" t="n">
        <v>46288</v>
      </c>
      <c r="F628" t="inlineStr">
        <is>
          <t>JÖNKÖPINGS LÄN</t>
        </is>
      </c>
      <c r="G628" t="inlineStr">
        <is>
          <t>JÖNKÖPING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45708</v>
      </c>
      <c r="E629" s="1" t="n">
        <v>46288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49343-2023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45211</v>
      </c>
      <c r="E630" s="1" t="n">
        <v>46288</v>
      </c>
      <c r="F630" t="inlineStr">
        <is>
          <t>JÖNKÖPINGS LÄN</t>
        </is>
      </c>
      <c r="G630" t="inlineStr">
        <is>
          <t>JÖNKÖPING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30585-2023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45112</v>
      </c>
      <c r="E631" s="1" t="n">
        <v>46288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46288</v>
      </c>
      <c r="F632" t="inlineStr">
        <is>
          <t>JÖNKÖPINGS LÄN</t>
        </is>
      </c>
      <c r="G632" t="inlineStr">
        <is>
          <t>JÖNKÖPING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46288</v>
      </c>
      <c r="F633" t="inlineStr">
        <is>
          <t>JÖNKÖPINGS LÄN</t>
        </is>
      </c>
      <c r="G633" t="inlineStr">
        <is>
          <t>JÖNKÖPING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46288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11801-2024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45375</v>
      </c>
      <c r="E635" s="1" t="n">
        <v>46288</v>
      </c>
      <c r="F635" t="inlineStr">
        <is>
          <t>JÖNKÖPINGS LÄN</t>
        </is>
      </c>
      <c r="G635" t="inlineStr">
        <is>
          <t>JÖNKÖPING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46211</v>
      </c>
      <c r="E636" s="1" t="n">
        <v>46288</v>
      </c>
      <c r="F636" t="inlineStr">
        <is>
          <t>JÖNKÖPINGS LÄN</t>
        </is>
      </c>
      <c r="G636" t="inlineStr">
        <is>
          <t>JÖNKÖPING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46211</v>
      </c>
      <c r="E637" s="1" t="n">
        <v>46288</v>
      </c>
      <c r="F637" t="inlineStr">
        <is>
          <t>JÖNKÖPINGS LÄN</t>
        </is>
      </c>
      <c r="G637" t="inlineStr">
        <is>
          <t>JÖNKÖPING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46288</v>
      </c>
      <c r="F638" t="inlineStr">
        <is>
          <t>JÖNKÖPINGS LÄN</t>
        </is>
      </c>
      <c r="G638" t="inlineStr">
        <is>
          <t>JÖNKÖPING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34622-2026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46255</v>
      </c>
      <c r="E639" s="1" t="n">
        <v>46288</v>
      </c>
      <c r="F639" t="inlineStr">
        <is>
          <t>JÖNKÖPINGS LÄN</t>
        </is>
      </c>
      <c r="G639" t="inlineStr">
        <is>
          <t>JÖNKÖPING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37498-2024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45541</v>
      </c>
      <c r="E640" s="1" t="n">
        <v>46288</v>
      </c>
      <c r="F640" t="inlineStr">
        <is>
          <t>JÖNKÖPINGS LÄN</t>
        </is>
      </c>
      <c r="G640" t="inlineStr">
        <is>
          <t>JÖNKÖPING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46288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48305-2022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44853</v>
      </c>
      <c r="E642" s="1" t="n">
        <v>46288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45492</v>
      </c>
      <c r="E643" s="1" t="n">
        <v>46288</v>
      </c>
      <c r="F643" t="inlineStr">
        <is>
          <t>JÖNKÖPINGS LÄN</t>
        </is>
      </c>
      <c r="G643" t="inlineStr">
        <is>
          <t>JÖNKÖPING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46288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46288</v>
      </c>
      <c r="F645" t="inlineStr">
        <is>
          <t>JÖNKÖPINGS LÄN</t>
        </is>
      </c>
      <c r="G645" t="inlineStr">
        <is>
          <t>JÖNKÖPING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46288</v>
      </c>
      <c r="F646" t="inlineStr">
        <is>
          <t>JÖNKÖPINGS LÄN</t>
        </is>
      </c>
      <c r="G646" t="inlineStr">
        <is>
          <t>JÖNKÖPING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46288</v>
      </c>
      <c r="F647" t="inlineStr">
        <is>
          <t>JÖNKÖPINGS LÄN</t>
        </is>
      </c>
      <c r="G647" t="inlineStr">
        <is>
          <t>JÖNKÖPING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46288</v>
      </c>
      <c r="F648" t="inlineStr">
        <is>
          <t>JÖNKÖPINGS LÄN</t>
        </is>
      </c>
      <c r="G648" t="inlineStr">
        <is>
          <t>JÖNKÖPING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46288</v>
      </c>
      <c r="F649" t="inlineStr">
        <is>
          <t>JÖNKÖPINGS LÄN</t>
        </is>
      </c>
      <c r="G649" t="inlineStr">
        <is>
          <t>JÖNKÖPING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30734-2026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46288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Sveaskog</t>
        </is>
      </c>
      <c r="I650" t="n">
        <v>14.5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42110-2024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45562</v>
      </c>
      <c r="E651" s="1" t="n">
        <v>46288</v>
      </c>
      <c r="F651" t="inlineStr">
        <is>
          <t>JÖNKÖPINGS LÄN</t>
        </is>
      </c>
      <c r="G651" t="inlineStr">
        <is>
          <t>JÖNKÖPING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45477</v>
      </c>
      <c r="E652" s="1" t="n">
        <v>46288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46288</v>
      </c>
      <c r="F653" t="inlineStr">
        <is>
          <t>JÖNKÖPINGS LÄN</t>
        </is>
      </c>
      <c r="G653" t="inlineStr">
        <is>
          <t>JÖNKÖPING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9462-2024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45359</v>
      </c>
      <c r="E654" s="1" t="n">
        <v>46288</v>
      </c>
      <c r="F654" t="inlineStr">
        <is>
          <t>JÖNKÖPINGS LÄN</t>
        </is>
      </c>
      <c r="G654" t="inlineStr">
        <is>
          <t>JÖNKÖPING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56441-2023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45243</v>
      </c>
      <c r="E655" s="1" t="n">
        <v>46288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Övriga Aktiebolag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50896-2025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45946</v>
      </c>
      <c r="E656" s="1" t="n">
        <v>46288</v>
      </c>
      <c r="F656" t="inlineStr">
        <is>
          <t>JÖNKÖPINGS LÄN</t>
        </is>
      </c>
      <c r="G656" t="inlineStr">
        <is>
          <t>JÖNKÖPING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44697-2023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45184</v>
      </c>
      <c r="E657" s="1" t="n">
        <v>46288</v>
      </c>
      <c r="F657" t="inlineStr">
        <is>
          <t>JÖNKÖPINGS LÄN</t>
        </is>
      </c>
      <c r="G657" t="inlineStr">
        <is>
          <t>JÖNKÖPING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46288</v>
      </c>
      <c r="F658" t="inlineStr">
        <is>
          <t>JÖNKÖPINGS LÄN</t>
        </is>
      </c>
      <c r="G658" t="inlineStr">
        <is>
          <t>JÖNKÖPING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44950</v>
      </c>
      <c r="E659" s="1" t="n">
        <v>46288</v>
      </c>
      <c r="F659" t="inlineStr">
        <is>
          <t>JÖNKÖPINGS LÄN</t>
        </is>
      </c>
      <c r="G659" t="inlineStr">
        <is>
          <t>JÖNKÖPING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46288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35451-2024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45531</v>
      </c>
      <c r="E661" s="1" t="n">
        <v>46288</v>
      </c>
      <c r="F661" t="inlineStr">
        <is>
          <t>JÖNKÖPINGS LÄN</t>
        </is>
      </c>
      <c r="G661" t="inlineStr">
        <is>
          <t>JÖNKÖPING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46288</v>
      </c>
      <c r="F662" t="inlineStr">
        <is>
          <t>JÖNKÖPINGS LÄN</t>
        </is>
      </c>
      <c r="G662" t="inlineStr">
        <is>
          <t>JÖNKÖPING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45462</v>
      </c>
      <c r="E663" s="1" t="n">
        <v>46288</v>
      </c>
      <c r="F663" t="inlineStr">
        <is>
          <t>JÖNKÖPINGS LÄN</t>
        </is>
      </c>
      <c r="G663" t="inlineStr">
        <is>
          <t>JÖNKÖPING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47070-2023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46288</v>
      </c>
      <c r="F664" t="inlineStr">
        <is>
          <t>JÖNKÖPINGS LÄN</t>
        </is>
      </c>
      <c r="G664" t="inlineStr">
        <is>
          <t>JÖNKÖPING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46971-2023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46288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23055-2022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44719</v>
      </c>
      <c r="E666" s="1" t="n">
        <v>46288</v>
      </c>
      <c r="F666" t="inlineStr">
        <is>
          <t>JÖNKÖPINGS LÄN</t>
        </is>
      </c>
      <c r="G666" t="inlineStr">
        <is>
          <t>JÖNKÖPING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46219</v>
      </c>
      <c r="E667" s="1" t="n">
        <v>46288</v>
      </c>
      <c r="F667" t="inlineStr">
        <is>
          <t>JÖNKÖPINGS LÄN</t>
        </is>
      </c>
      <c r="G667" t="inlineStr">
        <is>
          <t>JÖNKÖPING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45842</v>
      </c>
      <c r="E668" s="1" t="n">
        <v>46288</v>
      </c>
      <c r="F668" t="inlineStr">
        <is>
          <t>JÖNKÖPINGS LÄN</t>
        </is>
      </c>
      <c r="G668" t="inlineStr">
        <is>
          <t>JÖNKÖPING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45335</v>
      </c>
      <c r="E669" s="1" t="n">
        <v>46288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Kyrkan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26512-2023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46288</v>
      </c>
      <c r="F670" t="inlineStr">
        <is>
          <t>JÖNKÖPINGS LÄN</t>
        </is>
      </c>
      <c r="G670" t="inlineStr">
        <is>
          <t>JÖNKÖPING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31405-2026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46220</v>
      </c>
      <c r="E671" s="1" t="n">
        <v>46288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28334-2023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45099</v>
      </c>
      <c r="E672" s="1" t="n">
        <v>46288</v>
      </c>
      <c r="F672" t="inlineStr">
        <is>
          <t>JÖNKÖPINGS LÄN</t>
        </is>
      </c>
      <c r="G672" t="inlineStr">
        <is>
          <t>JÖNKÖPING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35599-2026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46262</v>
      </c>
      <c r="E673" s="1" t="n">
        <v>46288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44943</v>
      </c>
      <c r="E674" s="1" t="n">
        <v>46288</v>
      </c>
      <c r="F674" t="inlineStr">
        <is>
          <t>JÖNKÖPINGS LÄN</t>
        </is>
      </c>
      <c r="G674" t="inlineStr">
        <is>
          <t>JÖNKÖPING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46288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Kyrkan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9924-2023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44985</v>
      </c>
      <c r="E676" s="1" t="n">
        <v>46288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31368-2026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46219</v>
      </c>
      <c r="E677" s="1" t="n">
        <v>46288</v>
      </c>
      <c r="F677" t="inlineStr">
        <is>
          <t>JÖNKÖPINGS LÄN</t>
        </is>
      </c>
      <c r="G677" t="inlineStr">
        <is>
          <t>JÖNKÖPING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57180-2023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46288</v>
      </c>
      <c r="F678" t="inlineStr">
        <is>
          <t>JÖNKÖPINGS LÄN</t>
        </is>
      </c>
      <c r="G678" t="inlineStr">
        <is>
          <t>JÖNKÖPING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45107</v>
      </c>
      <c r="E679" s="1" t="n">
        <v>46288</v>
      </c>
      <c r="F679" t="inlineStr">
        <is>
          <t>JÖNKÖPINGS LÄN</t>
        </is>
      </c>
      <c r="G679" t="inlineStr">
        <is>
          <t>JÖNKÖPING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45314</v>
      </c>
      <c r="E680" s="1" t="n">
        <v>46288</v>
      </c>
      <c r="F680" t="inlineStr">
        <is>
          <t>JÖNKÖPINGS LÄN</t>
        </is>
      </c>
      <c r="G680" t="inlineStr">
        <is>
          <t>JÖNKÖPING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45295</v>
      </c>
      <c r="E681" s="1" t="n">
        <v>46288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35776-2026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46265</v>
      </c>
      <c r="E682" s="1" t="n">
        <v>46288</v>
      </c>
      <c r="F682" t="inlineStr">
        <is>
          <t>JÖNKÖPINGS LÄN</t>
        </is>
      </c>
      <c r="G682" t="inlineStr">
        <is>
          <t>JÖNKÖPING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36147-2024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45534</v>
      </c>
      <c r="E683" s="1" t="n">
        <v>46288</v>
      </c>
      <c r="F683" t="inlineStr">
        <is>
          <t>JÖNKÖPINGS LÄN</t>
        </is>
      </c>
      <c r="G683" t="inlineStr">
        <is>
          <t>JÖNKÖPING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54394-2024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45617</v>
      </c>
      <c r="E684" s="1" t="n">
        <v>46288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44564</v>
      </c>
      <c r="E685" s="1" t="n">
        <v>46288</v>
      </c>
      <c r="F685" t="inlineStr">
        <is>
          <t>JÖNKÖPINGS LÄN</t>
        </is>
      </c>
      <c r="G685" t="inlineStr">
        <is>
          <t>JÖNKÖPING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36216-2026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46267</v>
      </c>
      <c r="E686" s="1" t="n">
        <v>46288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12042-2024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45377</v>
      </c>
      <c r="E687" s="1" t="n">
        <v>46288</v>
      </c>
      <c r="F687" t="inlineStr">
        <is>
          <t>JÖNKÖPINGS LÄN</t>
        </is>
      </c>
      <c r="G687" t="inlineStr">
        <is>
          <t>JÖNKÖPING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51188-2023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45219</v>
      </c>
      <c r="E688" s="1" t="n">
        <v>46288</v>
      </c>
      <c r="F688" t="inlineStr">
        <is>
          <t>JÖNKÖPINGS LÄN</t>
        </is>
      </c>
      <c r="G688" t="inlineStr">
        <is>
          <t>JÖNKÖPING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45363</v>
      </c>
      <c r="E689" s="1" t="n">
        <v>46288</v>
      </c>
      <c r="F689" t="inlineStr">
        <is>
          <t>JÖNKÖPINGS LÄN</t>
        </is>
      </c>
      <c r="G689" t="inlineStr">
        <is>
          <t>JÖNKÖPING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56051-2023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45240</v>
      </c>
      <c r="E690" s="1" t="n">
        <v>46288</v>
      </c>
      <c r="F690" t="inlineStr">
        <is>
          <t>JÖNKÖPINGS LÄN</t>
        </is>
      </c>
      <c r="G690" t="inlineStr">
        <is>
          <t>JÖNKÖPING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44966</v>
      </c>
      <c r="E691" s="1" t="n">
        <v>46288</v>
      </c>
      <c r="F691" t="inlineStr">
        <is>
          <t>JÖNKÖPINGS LÄN</t>
        </is>
      </c>
      <c r="G691" t="inlineStr">
        <is>
          <t>JÖNKÖPING</t>
        </is>
      </c>
      <c r="H691" t="inlineStr">
        <is>
          <t>Kyrkan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36341-2026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46268</v>
      </c>
      <c r="E692" s="1" t="n">
        <v>46288</v>
      </c>
      <c r="F692" t="inlineStr">
        <is>
          <t>JÖNKÖPINGS LÄN</t>
        </is>
      </c>
      <c r="G692" t="inlineStr">
        <is>
          <t>JÖNKÖPING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45408-2023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45194</v>
      </c>
      <c r="E693" s="1" t="n">
        <v>46288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45412-2023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45194</v>
      </c>
      <c r="E694" s="1" t="n">
        <v>46288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46288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31771-2026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46230</v>
      </c>
      <c r="E696" s="1" t="n">
        <v>46288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31772-2026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46230</v>
      </c>
      <c r="E697" s="1" t="n">
        <v>46288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36793-2026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46272</v>
      </c>
      <c r="E698" s="1" t="n">
        <v>46288</v>
      </c>
      <c r="F698" t="inlineStr">
        <is>
          <t>JÖNKÖPINGS LÄN</t>
        </is>
      </c>
      <c r="G698" t="inlineStr">
        <is>
          <t>JÖNKÖPING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29880-2023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46288</v>
      </c>
      <c r="F699" t="inlineStr">
        <is>
          <t>JÖNKÖPINGS LÄN</t>
        </is>
      </c>
      <c r="G699" t="inlineStr">
        <is>
          <t>JÖNKÖPING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15134-2023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45015</v>
      </c>
      <c r="E700" s="1" t="n">
        <v>46288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59218-2022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46288</v>
      </c>
      <c r="F701" t="inlineStr">
        <is>
          <t>JÖNKÖPINGS LÄN</t>
        </is>
      </c>
      <c r="G701" t="inlineStr">
        <is>
          <t>JÖNKÖPING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19356-2023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46288</v>
      </c>
      <c r="F702" t="inlineStr">
        <is>
          <t>JÖNKÖPINGS LÄN</t>
        </is>
      </c>
      <c r="G702" t="inlineStr">
        <is>
          <t>JÖNKÖPING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45338</v>
      </c>
      <c r="E703" s="1" t="n">
        <v>46288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Kyrkan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36940-2026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46273</v>
      </c>
      <c r="E704" s="1" t="n">
        <v>46288</v>
      </c>
      <c r="F704" t="inlineStr">
        <is>
          <t>JÖNKÖPINGS LÄN</t>
        </is>
      </c>
      <c r="G704" t="inlineStr">
        <is>
          <t>JÖNKÖPING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46270</v>
      </c>
      <c r="E705" s="1" t="n">
        <v>46288</v>
      </c>
      <c r="F705" t="inlineStr">
        <is>
          <t>JÖNKÖPINGS LÄN</t>
        </is>
      </c>
      <c r="G705" t="inlineStr">
        <is>
          <t>JÖNKÖPING</t>
        </is>
      </c>
      <c r="I705" t="n">
        <v>7.8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46288</v>
      </c>
      <c r="F706" t="inlineStr">
        <is>
          <t>JÖNKÖPINGS LÄN</t>
        </is>
      </c>
      <c r="G706" t="inlineStr">
        <is>
          <t>JÖNKÖPING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36781-2026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46272</v>
      </c>
      <c r="E707" s="1" t="n">
        <v>46288</v>
      </c>
      <c r="F707" t="inlineStr">
        <is>
          <t>JÖNKÖPINGS LÄN</t>
        </is>
      </c>
      <c r="G707" t="inlineStr">
        <is>
          <t>JÖNKÖPING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36747-2026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46272</v>
      </c>
      <c r="E708" s="1" t="n">
        <v>46288</v>
      </c>
      <c r="F708" t="inlineStr">
        <is>
          <t>JÖNKÖPINGS LÄN</t>
        </is>
      </c>
      <c r="G708" t="inlineStr">
        <is>
          <t>JÖNKÖPING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36774-2026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46272</v>
      </c>
      <c r="E709" s="1" t="n">
        <v>46288</v>
      </c>
      <c r="F709" t="inlineStr">
        <is>
          <t>JÖNKÖPINGS LÄN</t>
        </is>
      </c>
      <c r="G709" t="inlineStr">
        <is>
          <t>JÖNKÖPING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56747-2022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44894</v>
      </c>
      <c r="E710" s="1" t="n">
        <v>46288</v>
      </c>
      <c r="F710" t="inlineStr">
        <is>
          <t>JÖNKÖPINGS LÄN</t>
        </is>
      </c>
      <c r="G710" t="inlineStr">
        <is>
          <t>JÖNKÖPING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46288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56569-2022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44893</v>
      </c>
      <c r="E712" s="1" t="n">
        <v>46288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7177-2022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44605</v>
      </c>
      <c r="E713" s="1" t="n">
        <v>46288</v>
      </c>
      <c r="F713" t="inlineStr">
        <is>
          <t>JÖNKÖPINGS LÄN</t>
        </is>
      </c>
      <c r="G713" t="inlineStr">
        <is>
          <t>JÖNKÖPING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46460-2023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45197</v>
      </c>
      <c r="E714" s="1" t="n">
        <v>46288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46288</v>
      </c>
      <c r="F715" t="inlineStr">
        <is>
          <t>JÖNKÖPINGS LÄN</t>
        </is>
      </c>
      <c r="G715" t="inlineStr">
        <is>
          <t>JÖNKÖPING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37316-2026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46274</v>
      </c>
      <c r="E716" s="1" t="n">
        <v>46288</v>
      </c>
      <c r="F716" t="inlineStr">
        <is>
          <t>JÖNKÖPINGS LÄN</t>
        </is>
      </c>
      <c r="G716" t="inlineStr">
        <is>
          <t>JÖNKÖPING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9897-2023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44985</v>
      </c>
      <c r="E717" s="1" t="n">
        <v>46288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19665-2023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45051</v>
      </c>
      <c r="E718" s="1" t="n">
        <v>46288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57715-2021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44484</v>
      </c>
      <c r="E719" s="1" t="n">
        <v>46288</v>
      </c>
      <c r="F719" t="inlineStr">
        <is>
          <t>JÖNKÖPINGS LÄN</t>
        </is>
      </c>
      <c r="G719" t="inlineStr">
        <is>
          <t>JÖNKÖPING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45706</v>
      </c>
      <c r="E720" s="1" t="n">
        <v>46288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45671</v>
      </c>
      <c r="E721" s="1" t="n">
        <v>46288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7401-2025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45705</v>
      </c>
      <c r="E722" s="1" t="n">
        <v>46288</v>
      </c>
      <c r="F722" t="inlineStr">
        <is>
          <t>JÖNKÖPINGS LÄN</t>
        </is>
      </c>
      <c r="G722" t="inlineStr">
        <is>
          <t>JÖNKÖPING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14228-2025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45740</v>
      </c>
      <c r="E723" s="1" t="n">
        <v>46288</v>
      </c>
      <c r="F723" t="inlineStr">
        <is>
          <t>JÖNKÖPINGS LÄN</t>
        </is>
      </c>
      <c r="G723" t="inlineStr">
        <is>
          <t>JÖNKÖPING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45693</v>
      </c>
      <c r="E724" s="1" t="n">
        <v>46288</v>
      </c>
      <c r="F724" t="inlineStr">
        <is>
          <t>JÖNKÖPINGS LÄN</t>
        </is>
      </c>
      <c r="G724" t="inlineStr">
        <is>
          <t>JÖNKÖPING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32074-2026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46233</v>
      </c>
      <c r="E725" s="1" t="n">
        <v>46288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45009</v>
      </c>
      <c r="E726" s="1" t="n">
        <v>46288</v>
      </c>
      <c r="F726" t="inlineStr">
        <is>
          <t>JÖNKÖPINGS LÄN</t>
        </is>
      </c>
      <c r="G726" t="inlineStr">
        <is>
          <t>JÖNKÖPING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32138-2026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46234</v>
      </c>
      <c r="E727" s="1" t="n">
        <v>46288</v>
      </c>
      <c r="F727" t="inlineStr">
        <is>
          <t>JÖNKÖPINGS LÄN</t>
        </is>
      </c>
      <c r="G727" t="inlineStr">
        <is>
          <t>JÖNKÖPING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37699-2026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46279</v>
      </c>
      <c r="E728" s="1" t="n">
        <v>46288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37700-2026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46279</v>
      </c>
      <c r="E729" s="1" t="n">
        <v>46288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33256-2023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45127</v>
      </c>
      <c r="E730" s="1" t="n">
        <v>46288</v>
      </c>
      <c r="F730" t="inlineStr">
        <is>
          <t>JÖNKÖPINGS LÄN</t>
        </is>
      </c>
      <c r="G730" t="inlineStr">
        <is>
          <t>JÖNKÖPING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32136-2026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46234</v>
      </c>
      <c r="E731" s="1" t="n">
        <v>46288</v>
      </c>
      <c r="F731" t="inlineStr">
        <is>
          <t>JÖNKÖPINGS LÄN</t>
        </is>
      </c>
      <c r="G731" t="inlineStr">
        <is>
          <t>JÖNKÖPING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32137-2026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46234</v>
      </c>
      <c r="E732" s="1" t="n">
        <v>46288</v>
      </c>
      <c r="F732" t="inlineStr">
        <is>
          <t>JÖNKÖPINGS LÄN</t>
        </is>
      </c>
      <c r="G732" t="inlineStr">
        <is>
          <t>JÖNKÖPING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32147-2026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46234</v>
      </c>
      <c r="E733" s="1" t="n">
        <v>46288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37883-2026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46279</v>
      </c>
      <c r="E734" s="1" t="n">
        <v>46288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17203-2022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44677</v>
      </c>
      <c r="E735" s="1" t="n">
        <v>46288</v>
      </c>
      <c r="F735" t="inlineStr">
        <is>
          <t>JÖNKÖPINGS LÄN</t>
        </is>
      </c>
      <c r="G735" t="inlineStr">
        <is>
          <t>JÖNKÖPING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46233</v>
      </c>
      <c r="E736" s="1" t="n">
        <v>46288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37555-2026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46276</v>
      </c>
      <c r="E737" s="1" t="n">
        <v>46288</v>
      </c>
      <c r="F737" t="inlineStr">
        <is>
          <t>JÖNKÖPINGS LÄN</t>
        </is>
      </c>
      <c r="G737" t="inlineStr">
        <is>
          <t>JÖNKÖPING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45756</v>
      </c>
      <c r="E738" s="1" t="n">
        <v>46288</v>
      </c>
      <c r="F738" t="inlineStr">
        <is>
          <t>JÖNKÖPINGS LÄN</t>
        </is>
      </c>
      <c r="G738" t="inlineStr">
        <is>
          <t>JÖNKÖPING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46276</v>
      </c>
      <c r="E739" s="1" t="n">
        <v>46288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4309-2024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45324</v>
      </c>
      <c r="E740" s="1" t="n">
        <v>46288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45324</v>
      </c>
      <c r="E741" s="1" t="n">
        <v>46288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Kyrkan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45671</v>
      </c>
      <c r="E742" s="1" t="n">
        <v>46288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17299-2024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45414</v>
      </c>
      <c r="E743" s="1" t="n">
        <v>46288</v>
      </c>
      <c r="F743" t="inlineStr">
        <is>
          <t>JÖNKÖPINGS LÄN</t>
        </is>
      </c>
      <c r="G743" t="inlineStr">
        <is>
          <t>JÖNKÖPING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18069-2025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46288</v>
      </c>
      <c r="F744" t="inlineStr">
        <is>
          <t>JÖNKÖPINGS LÄN</t>
        </is>
      </c>
      <c r="G744" t="inlineStr">
        <is>
          <t>JÖNKÖPING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32329-2026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46238</v>
      </c>
      <c r="E745" s="1" t="n">
        <v>46288</v>
      </c>
      <c r="F745" t="inlineStr">
        <is>
          <t>JÖNKÖPINGS LÄN</t>
        </is>
      </c>
      <c r="G745" t="inlineStr">
        <is>
          <t>JÖNKÖPING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27246-2022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44741</v>
      </c>
      <c r="E746" s="1" t="n">
        <v>46288</v>
      </c>
      <c r="F746" t="inlineStr">
        <is>
          <t>JÖNKÖPINGS LÄN</t>
        </is>
      </c>
      <c r="G746" t="inlineStr">
        <is>
          <t>JÖNKÖPING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52058-2023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45223</v>
      </c>
      <c r="E747" s="1" t="n">
        <v>46288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45541</v>
      </c>
      <c r="E748" s="1" t="n">
        <v>46288</v>
      </c>
      <c r="F748" t="inlineStr">
        <is>
          <t>JÖNKÖPINGS LÄN</t>
        </is>
      </c>
      <c r="G748" t="inlineStr">
        <is>
          <t>JÖNKÖPING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20384-2024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45435</v>
      </c>
      <c r="E749" s="1" t="n">
        <v>46288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Kyrkan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38337-2026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46282</v>
      </c>
      <c r="E750" s="1" t="n">
        <v>46288</v>
      </c>
      <c r="F750" t="inlineStr">
        <is>
          <t>JÖNKÖPINGS LÄN</t>
        </is>
      </c>
      <c r="G750" t="inlineStr">
        <is>
          <t>JÖNKÖPING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6970-2023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44967</v>
      </c>
      <c r="E751" s="1" t="n">
        <v>46288</v>
      </c>
      <c r="F751" t="inlineStr">
        <is>
          <t>JÖNKÖPINGS LÄN</t>
        </is>
      </c>
      <c r="G751" t="inlineStr">
        <is>
          <t>JÖNKÖPING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46288</v>
      </c>
      <c r="F752" t="inlineStr">
        <is>
          <t>JÖNKÖPINGS LÄN</t>
        </is>
      </c>
      <c r="G752" t="inlineStr">
        <is>
          <t>JÖNKÖPING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26208-2022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44734</v>
      </c>
      <c r="E753" s="1" t="n">
        <v>46288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Kyrkan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15315-2025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45747</v>
      </c>
      <c r="E754" s="1" t="n">
        <v>46288</v>
      </c>
      <c r="F754" t="inlineStr">
        <is>
          <t>JÖNKÖPINGS LÄN</t>
        </is>
      </c>
      <c r="G754" t="inlineStr">
        <is>
          <t>JÖNKÖPING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46267</v>
      </c>
      <c r="E755" s="1" t="n">
        <v>46288</v>
      </c>
      <c r="F755" t="inlineStr">
        <is>
          <t>JÖNKÖPINGS LÄN</t>
        </is>
      </c>
      <c r="G755" t="inlineStr">
        <is>
          <t>JÖNKÖPING</t>
        </is>
      </c>
      <c r="I755" t="n">
        <v>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35949-2024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46288</v>
      </c>
      <c r="F756" t="inlineStr">
        <is>
          <t>JÖNKÖPINGS LÄN</t>
        </is>
      </c>
      <c r="G756" t="inlineStr">
        <is>
          <t>JÖNKÖPING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7846-2025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45706</v>
      </c>
      <c r="E757" s="1" t="n">
        <v>46288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32543-2026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46239</v>
      </c>
      <c r="E758" s="1" t="n">
        <v>46288</v>
      </c>
      <c r="F758" t="inlineStr">
        <is>
          <t>JÖNKÖPINGS LÄN</t>
        </is>
      </c>
      <c r="G758" t="inlineStr">
        <is>
          <t>JÖNKÖPING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46281</v>
      </c>
      <c r="E759" s="1" t="n">
        <v>46288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37707-2026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46279</v>
      </c>
      <c r="E760" s="1" t="n">
        <v>46288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46288</v>
      </c>
      <c r="F761" t="inlineStr">
        <is>
          <t>JÖNKÖPINGS LÄN</t>
        </is>
      </c>
      <c r="G761" t="inlineStr">
        <is>
          <t>JÖNKÖPING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32851-2026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46288</v>
      </c>
      <c r="F762" t="inlineStr">
        <is>
          <t>JÖNKÖPINGS LÄN</t>
        </is>
      </c>
      <c r="G762" t="inlineStr">
        <is>
          <t>JÖNKÖPING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58437-2024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45635</v>
      </c>
      <c r="E763" s="1" t="n">
        <v>46288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38904-2026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46286</v>
      </c>
      <c r="E764" s="1" t="n">
        <v>46288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37510-2024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45541</v>
      </c>
      <c r="E765" s="1" t="n">
        <v>46288</v>
      </c>
      <c r="F765" t="inlineStr">
        <is>
          <t>JÖNKÖPINGS LÄN</t>
        </is>
      </c>
      <c r="G765" t="inlineStr">
        <is>
          <t>JÖNKÖPING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47067-2023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45201</v>
      </c>
      <c r="E766" s="1" t="n">
        <v>46288</v>
      </c>
      <c r="F766" t="inlineStr">
        <is>
          <t>JÖNKÖPINGS LÄN</t>
        </is>
      </c>
      <c r="G766" t="inlineStr">
        <is>
          <t>JÖNKÖPING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38861-2026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46286</v>
      </c>
      <c r="E767" s="1" t="n">
        <v>46288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6663-2024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45341</v>
      </c>
      <c r="E768" s="1" t="n">
        <v>46288</v>
      </c>
      <c r="F768" t="inlineStr">
        <is>
          <t>JÖNKÖPINGS LÄN</t>
        </is>
      </c>
      <c r="G768" t="inlineStr">
        <is>
          <t>JÖNKÖPING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44950</v>
      </c>
      <c r="E769" s="1" t="n">
        <v>46288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28337-2023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45099</v>
      </c>
      <c r="E770" s="1" t="n">
        <v>46288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45681</v>
      </c>
      <c r="E771" s="1" t="n">
        <v>46288</v>
      </c>
      <c r="F771" t="inlineStr">
        <is>
          <t>JÖNKÖPINGS LÄN</t>
        </is>
      </c>
      <c r="G771" t="inlineStr">
        <is>
          <t>JÖNKÖPING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9604-2025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45715</v>
      </c>
      <c r="E772" s="1" t="n">
        <v>46288</v>
      </c>
      <c r="F772" t="inlineStr">
        <is>
          <t>JÖNKÖPINGS LÄN</t>
        </is>
      </c>
      <c r="G772" t="inlineStr">
        <is>
          <t>JÖNKÖPING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38790-2026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46286</v>
      </c>
      <c r="E773" s="1" t="n">
        <v>46288</v>
      </c>
      <c r="F773" t="inlineStr">
        <is>
          <t>JÖNKÖPINGS LÄN</t>
        </is>
      </c>
      <c r="G773" t="inlineStr">
        <is>
          <t>JÖNKÖPING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10760-2022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44627</v>
      </c>
      <c r="E774" s="1" t="n">
        <v>46288</v>
      </c>
      <c r="F774" t="inlineStr">
        <is>
          <t>JÖNKÖPINGS LÄN</t>
        </is>
      </c>
      <c r="G774" t="inlineStr">
        <is>
          <t>JÖNKÖPING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20425-2023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45056</v>
      </c>
      <c r="E775" s="1" t="n">
        <v>46288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46286</v>
      </c>
      <c r="E776" s="1" t="n">
        <v>46288</v>
      </c>
      <c r="F776" t="inlineStr">
        <is>
          <t>JÖNKÖPINGS LÄN</t>
        </is>
      </c>
      <c r="G776" t="inlineStr">
        <is>
          <t>JÖNKÖPING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8554-2024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45355</v>
      </c>
      <c r="E777" s="1" t="n">
        <v>46288</v>
      </c>
      <c r="F777" t="inlineStr">
        <is>
          <t>JÖNKÖPINGS LÄN</t>
        </is>
      </c>
      <c r="G777" t="inlineStr">
        <is>
          <t>JÖNKÖPING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32866-2026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46288</v>
      </c>
      <c r="F778" t="inlineStr">
        <is>
          <t>JÖNKÖPINGS LÄN</t>
        </is>
      </c>
      <c r="G778" t="inlineStr">
        <is>
          <t>JÖNKÖPING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46288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46288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46288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46288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46288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46288</v>
      </c>
      <c r="F784" t="inlineStr">
        <is>
          <t>JÖNKÖPINGS LÄN</t>
        </is>
      </c>
      <c r="G784" t="inlineStr">
        <is>
          <t>JÖNKÖPING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38862-2026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46286</v>
      </c>
      <c r="E785" s="1" t="n">
        <v>46288</v>
      </c>
      <c r="F785" t="inlineStr">
        <is>
          <t>JÖNKÖPINGS LÄN</t>
        </is>
      </c>
      <c r="G785" t="inlineStr">
        <is>
          <t>JÖNKÖPING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46462-2023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45197</v>
      </c>
      <c r="E786" s="1" t="n">
        <v>46288</v>
      </c>
      <c r="F786" t="inlineStr">
        <is>
          <t>JÖNKÖPINGS LÄN</t>
        </is>
      </c>
      <c r="G786" t="inlineStr">
        <is>
          <t>JÖNKÖPING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38919-2024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45547</v>
      </c>
      <c r="E787" s="1" t="n">
        <v>46288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43573-2024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45569</v>
      </c>
      <c r="E788" s="1" t="n">
        <v>46288</v>
      </c>
      <c r="F788" t="inlineStr">
        <is>
          <t>JÖNKÖPINGS LÄN</t>
        </is>
      </c>
      <c r="G788" t="inlineStr">
        <is>
          <t>JÖNKÖPING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44897</v>
      </c>
      <c r="E789" s="1" t="n">
        <v>46288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46288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46288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46288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46288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46288</v>
      </c>
      <c r="F794" t="inlineStr">
        <is>
          <t>JÖNKÖPINGS LÄN</t>
        </is>
      </c>
      <c r="G794" t="inlineStr">
        <is>
          <t>JÖNKÖPING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21132-2024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45440</v>
      </c>
      <c r="E795" s="1" t="n">
        <v>46288</v>
      </c>
      <c r="F795" t="inlineStr">
        <is>
          <t>JÖNKÖPINGS LÄN</t>
        </is>
      </c>
      <c r="G795" t="inlineStr">
        <is>
          <t>JÖNKÖPING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50293-2023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46288</v>
      </c>
      <c r="F796" t="inlineStr">
        <is>
          <t>JÖNKÖPINGS LÄN</t>
        </is>
      </c>
      <c r="G796" t="inlineStr">
        <is>
          <t>JÖNKÖPING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45667</v>
      </c>
      <c r="E797" s="1" t="n">
        <v>46288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46288</v>
      </c>
      <c r="F798" t="inlineStr">
        <is>
          <t>JÖNKÖPINGS LÄN</t>
        </is>
      </c>
      <c r="G798" t="inlineStr">
        <is>
          <t>JÖNKÖPING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47190-2024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45586</v>
      </c>
      <c r="E799" s="1" t="n">
        <v>46288</v>
      </c>
      <c r="F799" t="inlineStr">
        <is>
          <t>JÖNKÖPINGS LÄN</t>
        </is>
      </c>
      <c r="G799" t="inlineStr">
        <is>
          <t>JÖNKÖPING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45541</v>
      </c>
      <c r="E800" s="1" t="n">
        <v>46288</v>
      </c>
      <c r="F800" t="inlineStr">
        <is>
          <t>JÖNKÖPINGS LÄN</t>
        </is>
      </c>
      <c r="G800" t="inlineStr">
        <is>
          <t>JÖNKÖPING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39280-2024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45551</v>
      </c>
      <c r="E801" s="1" t="n">
        <v>46288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46288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61523-2024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46288</v>
      </c>
      <c r="F803" t="inlineStr">
        <is>
          <t>JÖNKÖPINGS LÄN</t>
        </is>
      </c>
      <c r="G803" t="inlineStr">
        <is>
          <t>JÖNKÖPING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46288</v>
      </c>
      <c r="F804" t="inlineStr">
        <is>
          <t>JÖNKÖPINGS LÄN</t>
        </is>
      </c>
      <c r="G804" t="inlineStr">
        <is>
          <t>JÖNKÖPING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45570</v>
      </c>
      <c r="E805" s="1" t="n">
        <v>46288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11560-2025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46288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14225-2025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45740</v>
      </c>
      <c r="E807" s="1" t="n">
        <v>46288</v>
      </c>
      <c r="F807" t="inlineStr">
        <is>
          <t>JÖNKÖPINGS LÄN</t>
        </is>
      </c>
      <c r="G807" t="inlineStr">
        <is>
          <t>JÖNKÖPING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13144-2025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46288</v>
      </c>
      <c r="F808" t="inlineStr">
        <is>
          <t>JÖNKÖPINGS LÄN</t>
        </is>
      </c>
      <c r="G808" t="inlineStr">
        <is>
          <t>JÖNKÖPING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45734</v>
      </c>
      <c r="E809" s="1" t="n">
        <v>46288</v>
      </c>
      <c r="F809" t="inlineStr">
        <is>
          <t>JÖNKÖPINGS LÄN</t>
        </is>
      </c>
      <c r="G809" t="inlineStr">
        <is>
          <t>JÖNKÖPING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11255-2023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44992</v>
      </c>
      <c r="E810" s="1" t="n">
        <v>46288</v>
      </c>
      <c r="F810" t="inlineStr">
        <is>
          <t>JÖNKÖPINGS LÄN</t>
        </is>
      </c>
      <c r="G810" t="inlineStr">
        <is>
          <t>JÖNKÖPING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26279-2025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45805</v>
      </c>
      <c r="E811" s="1" t="n">
        <v>46288</v>
      </c>
      <c r="F811" t="inlineStr">
        <is>
          <t>JÖNKÖPINGS LÄN</t>
        </is>
      </c>
      <c r="G811" t="inlineStr">
        <is>
          <t>JÖNKÖPING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26358-2025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45806</v>
      </c>
      <c r="E812" s="1" t="n">
        <v>46288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49836-2024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45597</v>
      </c>
      <c r="E813" s="1" t="n">
        <v>46288</v>
      </c>
      <c r="F813" t="inlineStr">
        <is>
          <t>JÖNKÖPINGS LÄN</t>
        </is>
      </c>
      <c r="G813" t="inlineStr">
        <is>
          <t>JÖNKÖPING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27134-2025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45811</v>
      </c>
      <c r="E814" s="1" t="n">
        <v>46288</v>
      </c>
      <c r="F814" t="inlineStr">
        <is>
          <t>JÖNKÖPINGS LÄN</t>
        </is>
      </c>
      <c r="G814" t="inlineStr">
        <is>
          <t>JÖNKÖPING</t>
        </is>
      </c>
      <c r="I814" t="n">
        <v>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60557-2024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45643</v>
      </c>
      <c r="E815" s="1" t="n">
        <v>46288</v>
      </c>
      <c r="F815" t="inlineStr">
        <is>
          <t>JÖNKÖPINGS LÄN</t>
        </is>
      </c>
      <c r="G815" t="inlineStr">
        <is>
          <t>JÖNKÖPING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42053-2024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45561</v>
      </c>
      <c r="E816" s="1" t="n">
        <v>46288</v>
      </c>
      <c r="F816" t="inlineStr">
        <is>
          <t>JÖNKÖPINGS LÄN</t>
        </is>
      </c>
      <c r="G816" t="inlineStr">
        <is>
          <t>JÖNKÖPING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45819</v>
      </c>
      <c r="E817" s="1" t="n">
        <v>46288</v>
      </c>
      <c r="F817" t="inlineStr">
        <is>
          <t>JÖNKÖPINGS LÄN</t>
        </is>
      </c>
      <c r="G817" t="inlineStr">
        <is>
          <t>JÖNKÖPING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30217-2025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45826</v>
      </c>
      <c r="E818" s="1" t="n">
        <v>46288</v>
      </c>
      <c r="F818" t="inlineStr">
        <is>
          <t>JÖNKÖPINGS LÄN</t>
        </is>
      </c>
      <c r="G818" t="inlineStr">
        <is>
          <t>JÖNKÖPING</t>
        </is>
      </c>
      <c r="I818" t="n">
        <v>11.9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45756</v>
      </c>
      <c r="E819" s="1" t="n">
        <v>46288</v>
      </c>
      <c r="F819" t="inlineStr">
        <is>
          <t>JÖNKÖPINGS LÄN</t>
        </is>
      </c>
      <c r="G819" t="inlineStr">
        <is>
          <t>JÖNKÖPING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33846-2025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45842</v>
      </c>
      <c r="E820" s="1" t="n">
        <v>46288</v>
      </c>
      <c r="F820" t="inlineStr">
        <is>
          <t>JÖNKÖPINGS LÄN</t>
        </is>
      </c>
      <c r="G820" t="inlineStr">
        <is>
          <t>JÖNKÖPING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24329-2025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45797</v>
      </c>
      <c r="E821" s="1" t="n">
        <v>46288</v>
      </c>
      <c r="F821" t="inlineStr">
        <is>
          <t>JÖNKÖPINGS LÄN</t>
        </is>
      </c>
      <c r="G821" t="inlineStr">
        <is>
          <t>JÖNKÖPING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47401-2024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45587</v>
      </c>
      <c r="E822" s="1" t="n">
        <v>46288</v>
      </c>
      <c r="F822" t="inlineStr">
        <is>
          <t>JÖNKÖPINGS LÄN</t>
        </is>
      </c>
      <c r="G822" t="inlineStr">
        <is>
          <t>JÖNKÖPING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34600-2025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45846</v>
      </c>
      <c r="E823" s="1" t="n">
        <v>46288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Kyrkan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34605-2025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45846</v>
      </c>
      <c r="E824" s="1" t="n">
        <v>46288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Kyrkan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16500-2025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45751</v>
      </c>
      <c r="E825" s="1" t="n">
        <v>46288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57509-2024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45630</v>
      </c>
      <c r="E826" s="1" t="n">
        <v>46288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7033-2025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46288</v>
      </c>
      <c r="F827" t="inlineStr">
        <is>
          <t>JÖNKÖPINGS LÄN</t>
        </is>
      </c>
      <c r="G827" t="inlineStr">
        <is>
          <t>JÖNKÖPING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22541-2025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45788</v>
      </c>
      <c r="E828" s="1" t="n">
        <v>46288</v>
      </c>
      <c r="F828" t="inlineStr">
        <is>
          <t>JÖNKÖPINGS LÄN</t>
        </is>
      </c>
      <c r="G828" t="inlineStr">
        <is>
          <t>JÖNKÖPING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35820-2025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45861</v>
      </c>
      <c r="E829" s="1" t="n">
        <v>46288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177-2024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45313</v>
      </c>
      <c r="E830" s="1" t="n">
        <v>46288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Sveaskog</t>
        </is>
      </c>
      <c r="I830" t="n">
        <v>84.90000000000001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46288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46288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2480-2023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45131</v>
      </c>
      <c r="E833" s="1" t="n">
        <v>46288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Kyrkan</t>
        </is>
      </c>
      <c r="I833" t="n">
        <v>66.7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589-2022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44593</v>
      </c>
      <c r="E834" s="1" t="n">
        <v>46288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9015-2021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44510</v>
      </c>
      <c r="E835" s="1" t="n">
        <v>46288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274-2023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44956</v>
      </c>
      <c r="E836" s="1" t="n">
        <v>46288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Sveaskog</t>
        </is>
      </c>
      <c r="I836" t="n">
        <v>50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1347-2024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45407</v>
      </c>
      <c r="E837" s="1" t="n">
        <v>46288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Övriga Aktiebolag</t>
        </is>
      </c>
      <c r="I837" t="n">
        <v>40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324-2024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45327</v>
      </c>
      <c r="E838" s="1" t="n">
        <v>46288</v>
      </c>
      <c r="F838" t="inlineStr">
        <is>
          <t>JÖNKÖPINGS LÄN</t>
        </is>
      </c>
      <c r="G838" t="inlineStr">
        <is>
          <t>JÖNKÖPING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2909-2022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44711</v>
      </c>
      <c r="E839" s="1" t="n">
        <v>46288</v>
      </c>
      <c r="F839" t="inlineStr">
        <is>
          <t>JÖNKÖPINGS LÄN</t>
        </is>
      </c>
      <c r="G839" t="inlineStr">
        <is>
          <t>JÖNKÖPING</t>
        </is>
      </c>
      <c r="I839" t="n">
        <v>11.2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3979-2022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44753</v>
      </c>
      <c r="E840" s="1" t="n">
        <v>46288</v>
      </c>
      <c r="F840" t="inlineStr">
        <is>
          <t>JÖNKÖPINGS LÄN</t>
        </is>
      </c>
      <c r="G840" t="inlineStr">
        <is>
          <t>JÖNKÖPING</t>
        </is>
      </c>
      <c r="I840" t="n">
        <v>55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893-2023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44998</v>
      </c>
      <c r="E841" s="1" t="n">
        <v>46288</v>
      </c>
      <c r="F841" t="inlineStr">
        <is>
          <t>JÖNKÖPINGS LÄN</t>
        </is>
      </c>
      <c r="G841" t="inlineStr">
        <is>
          <t>JÖNKÖPING</t>
        </is>
      </c>
      <c r="I841" t="n">
        <v>129.2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1566-2025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45794</v>
      </c>
      <c r="E842" s="1" t="n">
        <v>46288</v>
      </c>
      <c r="F842" t="inlineStr">
        <is>
          <t>JÖNKÖPINGS LÄN</t>
        </is>
      </c>
      <c r="G842" t="inlineStr">
        <is>
          <t>JÖNKÖPING</t>
        </is>
      </c>
      <c r="I842" t="n">
        <v>24.3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1618-2025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46288</v>
      </c>
      <c r="F843" t="inlineStr">
        <is>
          <t>JÖNKÖPINGS LÄN</t>
        </is>
      </c>
      <c r="G843" t="inlineStr">
        <is>
          <t>JÖNKÖPING</t>
        </is>
      </c>
      <c r="I843" t="n">
        <v>20.6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581-2025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46288</v>
      </c>
      <c r="F844" t="inlineStr">
        <is>
          <t>JÖNKÖPINGS LÄN</t>
        </is>
      </c>
      <c r="G844" t="inlineStr">
        <is>
          <t>JÖNKÖPING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  <c r="Z844">
        <f>HYPERLINK("https://klasma.github.io/Logging_0680/knärot/S 581-2025 karta knärot.png", "S 581-2025")</f>
        <v/>
      </c>
      <c r="AA844">
        <f>HYPERLINK("https://klasma.github.io/Logging_0680/klagomål/S 581-2025 FSC-klagomål.docx", "S 581-2025")</f>
        <v/>
      </c>
      <c r="AB844">
        <f>HYPERLINK("https://klasma.github.io/Logging_0680/klagomålsmail/S 581-2025 FSC-klagomål mail.docx", "S 581-2025")</f>
        <v/>
      </c>
      <c r="AC844">
        <f>HYPERLINK("https://klasma.github.io/Logging_0680/tillsyn/S 581-2025 tillsynsbegäran.docx", "S 581-2025")</f>
        <v/>
      </c>
      <c r="AD844">
        <f>HYPERLINK("https://klasma.github.io/Logging_0680/tillsynsmail/S 581-2025 tillsynsbegäran mail.docx", "S 581-2025")</f>
        <v/>
      </c>
    </row>
    <row r="845" ht="15" customHeight="1">
      <c r="A845" t="inlineStr">
        <is>
          <t>S 1610-2025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46288</v>
      </c>
      <c r="F845" t="inlineStr">
        <is>
          <t>JÖNKÖPINGS LÄN</t>
        </is>
      </c>
      <c r="G845" t="inlineStr">
        <is>
          <t>JÖNKÖPING</t>
        </is>
      </c>
      <c r="I845" t="n">
        <v>65.3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577-2025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46288</v>
      </c>
      <c r="F846" t="inlineStr">
        <is>
          <t>JÖNKÖPINGS LÄN</t>
        </is>
      </c>
      <c r="G846" t="inlineStr">
        <is>
          <t>JÖNKÖPING</t>
        </is>
      </c>
      <c r="I846" t="n">
        <v>39.5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1803-2025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45817</v>
      </c>
      <c r="E847" s="1" t="n">
        <v>46288</v>
      </c>
      <c r="F847" t="inlineStr">
        <is>
          <t>JÖNKÖPINGS LÄN</t>
        </is>
      </c>
      <c r="G847" t="inlineStr">
        <is>
          <t>JÖNKÖPING</t>
        </is>
      </c>
      <c r="H847" t="inlineStr">
        <is>
          <t>Kommuner</t>
        </is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2245-2025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45870</v>
      </c>
      <c r="E848" s="1" t="n">
        <v>46288</v>
      </c>
      <c r="F848" t="inlineStr">
        <is>
          <t>JÖNKÖPINGS LÄN</t>
        </is>
      </c>
      <c r="G848" t="inlineStr">
        <is>
          <t>JÖNKÖPING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3374-2025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45994</v>
      </c>
      <c r="E849" s="1" t="n">
        <v>46288</v>
      </c>
      <c r="F849" t="inlineStr">
        <is>
          <t>JÖNKÖPINGS LÄN</t>
        </is>
      </c>
      <c r="G849" t="inlineStr">
        <is>
          <t>JÖNKÖPING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>
      <c r="A850" t="inlineStr">
        <is>
          <t>S 180-2026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46047</v>
      </c>
      <c r="E850" s="1" t="n">
        <v>46288</v>
      </c>
      <c r="F850" t="inlineStr">
        <is>
          <t>JÖNKÖPINGS LÄN</t>
        </is>
      </c>
      <c r="G850" t="inlineStr">
        <is>
          <t>JÖNKÖPING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2026-09-23T01:54:47Z</dcterms:created>
  <dcterms:modified xmlns:dcterms="http://purl.org/dc/terms/" xmlns:xsi="http://www.w3.org/2001/XMLSchema-instance" xsi:type="dcterms:W3CDTF">2026-09-23T01:54:47Z</dcterms:modified>
</cp:coreProperties>
</file>