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45749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45749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59690-2019</t>
        </is>
      </c>
      <c r="B18" s="1" t="n">
        <v>43776</v>
      </c>
      <c r="C18" s="1" t="n">
        <v>45749</v>
      </c>
      <c r="D18" t="inlineStr">
        <is>
          <t>JÖNKÖPINGS LÄN</t>
        </is>
      </c>
      <c r="E18" t="inlineStr">
        <is>
          <t>JÖNKÖPING</t>
        </is>
      </c>
      <c r="G18" t="n">
        <v>1.6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59690-2019 artfynd.xlsx", "A 59690-2019")</f>
        <v/>
      </c>
      <c r="T18">
        <f>HYPERLINK("https://klasma.github.io/Logging_0680/kartor/A 59690-2019 karta.png", "A 59690-2019")</f>
        <v/>
      </c>
      <c r="V18">
        <f>HYPERLINK("https://klasma.github.io/Logging_0680/klagomål/A 59690-2019 FSC-klagomål.docx", "A 59690-2019")</f>
        <v/>
      </c>
      <c r="W18">
        <f>HYPERLINK("https://klasma.github.io/Logging_0680/klagomålsmail/A 59690-2019 FSC-klagomål mail.docx", "A 59690-2019")</f>
        <v/>
      </c>
      <c r="X18">
        <f>HYPERLINK("https://klasma.github.io/Logging_0680/tillsyn/A 59690-2019 tillsynsbegäran.docx", "A 59690-2019")</f>
        <v/>
      </c>
      <c r="Y18">
        <f>HYPERLINK("https://klasma.github.io/Logging_0680/tillsynsmail/A 59690-2019 tillsynsbegäran mail.docx", "A 59690-2019")</f>
        <v/>
      </c>
    </row>
    <row r="19" ht="15" customHeight="1">
      <c r="A19" t="inlineStr">
        <is>
          <t>A 33853-2020</t>
        </is>
      </c>
      <c r="B19" s="1" t="n">
        <v>44027</v>
      </c>
      <c r="C19" s="1" t="n">
        <v>45749</v>
      </c>
      <c r="D19" t="inlineStr">
        <is>
          <t>JÖNKÖPINGS LÄN</t>
        </is>
      </c>
      <c r="E19" t="inlineStr">
        <is>
          <t>JÖNKÖPING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Vårärt
Blåsippa</t>
        </is>
      </c>
      <c r="S19">
        <f>HYPERLINK("https://klasma.github.io/Logging_0680/artfynd/A 33853-2020 artfynd.xlsx", "A 33853-2020")</f>
        <v/>
      </c>
      <c r="T19">
        <f>HYPERLINK("https://klasma.github.io/Logging_0680/kartor/A 33853-2020 karta.png", "A 33853-2020")</f>
        <v/>
      </c>
      <c r="V19">
        <f>HYPERLINK("https://klasma.github.io/Logging_0680/klagomål/A 33853-2020 FSC-klagomål.docx", "A 33853-2020")</f>
        <v/>
      </c>
      <c r="W19">
        <f>HYPERLINK("https://klasma.github.io/Logging_0680/klagomålsmail/A 33853-2020 FSC-klagomål mail.docx", "A 33853-2020")</f>
        <v/>
      </c>
      <c r="X19">
        <f>HYPERLINK("https://klasma.github.io/Logging_0680/tillsyn/A 33853-2020 tillsynsbegäran.docx", "A 33853-2020")</f>
        <v/>
      </c>
      <c r="Y19">
        <f>HYPERLINK("https://klasma.github.io/Logging_0680/tillsynsmail/A 33853-2020 tillsynsbegäran mail.docx", "A 33853-2020")</f>
        <v/>
      </c>
    </row>
    <row r="20" ht="15" customHeight="1">
      <c r="A20" t="inlineStr">
        <is>
          <t>A 64890-2021</t>
        </is>
      </c>
      <c r="B20" s="1" t="n">
        <v>44512</v>
      </c>
      <c r="C20" s="1" t="n">
        <v>45749</v>
      </c>
      <c r="D20" t="inlineStr">
        <is>
          <t>JÖNKÖPINGS LÄN</t>
        </is>
      </c>
      <c r="E20" t="inlineStr">
        <is>
          <t>JÖNKÖPING</t>
        </is>
      </c>
      <c r="F20" t="inlineStr">
        <is>
          <t>Sveaskog</t>
        </is>
      </c>
      <c r="G20" t="n">
        <v>2.9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Backtimjan
Mattlummer
Revlummer</t>
        </is>
      </c>
      <c r="S20">
        <f>HYPERLINK("https://klasma.github.io/Logging_0680/artfynd/A 64890-2021 artfynd.xlsx", "A 64890-2021")</f>
        <v/>
      </c>
      <c r="T20">
        <f>HYPERLINK("https://klasma.github.io/Logging_0680/kartor/A 64890-2021 karta.png", "A 64890-2021")</f>
        <v/>
      </c>
      <c r="V20">
        <f>HYPERLINK("https://klasma.github.io/Logging_0680/klagomål/A 64890-2021 FSC-klagomål.docx", "A 64890-2021")</f>
        <v/>
      </c>
      <c r="W20">
        <f>HYPERLINK("https://klasma.github.io/Logging_0680/klagomålsmail/A 64890-2021 FSC-klagomål mail.docx", "A 64890-2021")</f>
        <v/>
      </c>
      <c r="X20">
        <f>HYPERLINK("https://klasma.github.io/Logging_0680/tillsyn/A 64890-2021 tillsynsbegäran.docx", "A 64890-2021")</f>
        <v/>
      </c>
      <c r="Y20">
        <f>HYPERLINK("https://klasma.github.io/Logging_0680/tillsynsmail/A 64890-2021 tillsynsbegäran mail.docx", "A 64890-2021")</f>
        <v/>
      </c>
    </row>
    <row r="21" ht="15" customHeight="1">
      <c r="A21" t="inlineStr">
        <is>
          <t>A 68822-2021</t>
        </is>
      </c>
      <c r="B21" s="1" t="n">
        <v>44530</v>
      </c>
      <c r="C21" s="1" t="n">
        <v>45749</v>
      </c>
      <c r="D21" t="inlineStr">
        <is>
          <t>JÖNKÖPINGS LÄN</t>
        </is>
      </c>
      <c r="E21" t="inlineStr">
        <is>
          <t>JÖNKÖPING</t>
        </is>
      </c>
      <c r="G21" t="n">
        <v>0.9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Korallrot
Blåsippa</t>
        </is>
      </c>
      <c r="S21">
        <f>HYPERLINK("https://klasma.github.io/Logging_0680/artfynd/A 68822-2021 artfynd.xlsx", "A 68822-2021")</f>
        <v/>
      </c>
      <c r="T21">
        <f>HYPERLINK("https://klasma.github.io/Logging_0680/kartor/A 68822-2021 karta.png", "A 68822-2021")</f>
        <v/>
      </c>
      <c r="V21">
        <f>HYPERLINK("https://klasma.github.io/Logging_0680/klagomål/A 68822-2021 FSC-klagomål.docx", "A 68822-2021")</f>
        <v/>
      </c>
      <c r="W21">
        <f>HYPERLINK("https://klasma.github.io/Logging_0680/klagomålsmail/A 68822-2021 FSC-klagomål mail.docx", "A 68822-2021")</f>
        <v/>
      </c>
      <c r="X21">
        <f>HYPERLINK("https://klasma.github.io/Logging_0680/tillsyn/A 68822-2021 tillsynsbegäran.docx", "A 68822-2021")</f>
        <v/>
      </c>
      <c r="Y21">
        <f>HYPERLINK("https://klasma.github.io/Logging_0680/tillsynsmail/A 68822-2021 tillsynsbegäran mail.docx", "A 68822-2021")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45749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45749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8977-2023</t>
        </is>
      </c>
      <c r="B24" s="1" t="n">
        <v>44974</v>
      </c>
      <c r="C24" s="1" t="n">
        <v>45749</v>
      </c>
      <c r="D24" t="inlineStr">
        <is>
          <t>JÖNKÖPINGS LÄN</t>
        </is>
      </c>
      <c r="E24" t="inlineStr">
        <is>
          <t>JÖNKÖPING</t>
        </is>
      </c>
      <c r="G24" t="n">
        <v>7.9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Falsk djävulssopp
Knärot
Granbarkgnagare</t>
        </is>
      </c>
      <c r="S24">
        <f>HYPERLINK("https://klasma.github.io/Logging_0680/artfynd/A 8977-2023 artfynd.xlsx", "A 8977-2023")</f>
        <v/>
      </c>
      <c r="T24">
        <f>HYPERLINK("https://klasma.github.io/Logging_0680/kartor/A 8977-2023 karta.png", "A 8977-2023")</f>
        <v/>
      </c>
      <c r="U24">
        <f>HYPERLINK("https://klasma.github.io/Logging_0680/knärot/A 8977-2023 karta knärot.png", "A 8977-2023")</f>
        <v/>
      </c>
      <c r="V24">
        <f>HYPERLINK("https://klasma.github.io/Logging_0680/klagomål/A 8977-2023 FSC-klagomål.docx", "A 8977-2023")</f>
        <v/>
      </c>
      <c r="W24">
        <f>HYPERLINK("https://klasma.github.io/Logging_0680/klagomålsmail/A 8977-2023 FSC-klagomål mail.docx", "A 8977-2023")</f>
        <v/>
      </c>
      <c r="X24">
        <f>HYPERLINK("https://klasma.github.io/Logging_0680/tillsyn/A 8977-2023 tillsynsbegäran.docx", "A 8977-2023")</f>
        <v/>
      </c>
      <c r="Y24">
        <f>HYPERLINK("https://klasma.github.io/Logging_0680/tillsynsmail/A 8977-2023 tillsynsbegäran mail.docx", "A 8977-2023")</f>
        <v/>
      </c>
    </row>
    <row r="25" ht="15" customHeight="1">
      <c r="A25" t="inlineStr">
        <is>
          <t>A 26393-2024</t>
        </is>
      </c>
      <c r="B25" s="1" t="n">
        <v>45469</v>
      </c>
      <c r="C25" s="1" t="n">
        <v>45749</v>
      </c>
      <c r="D25" t="inlineStr">
        <is>
          <t>JÖNKÖPINGS LÄN</t>
        </is>
      </c>
      <c r="E25" t="inlineStr">
        <is>
          <t>JÖNKÖPING</t>
        </is>
      </c>
      <c r="G25" t="n">
        <v>6.2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Bronshjon
Thomsons trägnagare</t>
        </is>
      </c>
      <c r="S25">
        <f>HYPERLINK("https://klasma.github.io/Logging_0680/artfynd/A 26393-2024 artfynd.xlsx", "A 26393-2024")</f>
        <v/>
      </c>
      <c r="T25">
        <f>HYPERLINK("https://klasma.github.io/Logging_0680/kartor/A 26393-2024 karta.png", "A 26393-2024")</f>
        <v/>
      </c>
      <c r="U25">
        <f>HYPERLINK("https://klasma.github.io/Logging_0680/knärot/A 26393-2024 karta knärot.png", "A 26393-2024")</f>
        <v/>
      </c>
      <c r="V25">
        <f>HYPERLINK("https://klasma.github.io/Logging_0680/klagomål/A 26393-2024 FSC-klagomål.docx", "A 26393-2024")</f>
        <v/>
      </c>
      <c r="W25">
        <f>HYPERLINK("https://klasma.github.io/Logging_0680/klagomålsmail/A 26393-2024 FSC-klagomål mail.docx", "A 26393-2024")</f>
        <v/>
      </c>
      <c r="X25">
        <f>HYPERLINK("https://klasma.github.io/Logging_0680/tillsyn/A 26393-2024 tillsynsbegäran.docx", "A 26393-2024")</f>
        <v/>
      </c>
      <c r="Y25">
        <f>HYPERLINK("https://klasma.github.io/Logging_0680/tillsynsmail/A 26393-2024 tillsynsbegäran mail.docx", "A 26393-2024")</f>
        <v/>
      </c>
    </row>
    <row r="26" ht="15" customHeight="1">
      <c r="A26" t="inlineStr">
        <is>
          <t>A 42355-2024</t>
        </is>
      </c>
      <c r="B26" s="1" t="n">
        <v>45562</v>
      </c>
      <c r="C26" s="1" t="n">
        <v>45749</v>
      </c>
      <c r="D26" t="inlineStr">
        <is>
          <t>JÖNKÖPINGS LÄN</t>
        </is>
      </c>
      <c r="E26" t="inlineStr">
        <is>
          <t>JÖNKÖPING</t>
        </is>
      </c>
      <c r="G26" t="n">
        <v>7.7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Vårstarr
Gullviva</t>
        </is>
      </c>
      <c r="S26">
        <f>HYPERLINK("https://klasma.github.io/Logging_0680/artfynd/A 42355-2024 artfynd.xlsx", "A 42355-2024")</f>
        <v/>
      </c>
      <c r="T26">
        <f>HYPERLINK("https://klasma.github.io/Logging_0680/kartor/A 42355-2024 karta.png", "A 42355-2024")</f>
        <v/>
      </c>
      <c r="V26">
        <f>HYPERLINK("https://klasma.github.io/Logging_0680/klagomål/A 42355-2024 FSC-klagomål.docx", "A 42355-2024")</f>
        <v/>
      </c>
      <c r="W26">
        <f>HYPERLINK("https://klasma.github.io/Logging_0680/klagomålsmail/A 42355-2024 FSC-klagomål mail.docx", "A 42355-2024")</f>
        <v/>
      </c>
      <c r="X26">
        <f>HYPERLINK("https://klasma.github.io/Logging_0680/tillsyn/A 42355-2024 tillsynsbegäran.docx", "A 42355-2024")</f>
        <v/>
      </c>
      <c r="Y26">
        <f>HYPERLINK("https://klasma.github.io/Logging_0680/tillsynsmail/A 42355-2024 tillsynsbegäran mail.docx", "A 42355-2024")</f>
        <v/>
      </c>
    </row>
    <row r="27" ht="15" customHeight="1">
      <c r="A27" t="inlineStr">
        <is>
          <t>A 51176-2024</t>
        </is>
      </c>
      <c r="B27" s="1" t="n">
        <v>45603</v>
      </c>
      <c r="C27" s="1" t="n">
        <v>45749</v>
      </c>
      <c r="D27" t="inlineStr">
        <is>
          <t>JÖNKÖPINGS LÄN</t>
        </is>
      </c>
      <c r="E27" t="inlineStr">
        <is>
          <t>JÖNKÖPING</t>
        </is>
      </c>
      <c r="G27" t="n">
        <v>1.6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Underviol
Grönvit nattviol</t>
        </is>
      </c>
      <c r="S27">
        <f>HYPERLINK("https://klasma.github.io/Logging_0680/artfynd/A 51176-2024 artfynd.xlsx", "A 51176-2024")</f>
        <v/>
      </c>
      <c r="T27">
        <f>HYPERLINK("https://klasma.github.io/Logging_0680/kartor/A 51176-2024 karta.png", "A 51176-2024")</f>
        <v/>
      </c>
      <c r="V27">
        <f>HYPERLINK("https://klasma.github.io/Logging_0680/klagomål/A 51176-2024 FSC-klagomål.docx", "A 51176-2024")</f>
        <v/>
      </c>
      <c r="W27">
        <f>HYPERLINK("https://klasma.github.io/Logging_0680/klagomålsmail/A 51176-2024 FSC-klagomål mail.docx", "A 51176-2024")</f>
        <v/>
      </c>
      <c r="X27">
        <f>HYPERLINK("https://klasma.github.io/Logging_0680/tillsyn/A 51176-2024 tillsynsbegäran.docx", "A 51176-2024")</f>
        <v/>
      </c>
      <c r="Y27">
        <f>HYPERLINK("https://klasma.github.io/Logging_0680/tillsynsmail/A 51176-2024 tillsynsbegäran mail.docx", "A 51176-2024")</f>
        <v/>
      </c>
    </row>
    <row r="28" ht="15" customHeight="1">
      <c r="A28" t="inlineStr">
        <is>
          <t>A 51492-2024</t>
        </is>
      </c>
      <c r="B28" s="1" t="n">
        <v>45604</v>
      </c>
      <c r="C28" s="1" t="n">
        <v>45749</v>
      </c>
      <c r="D28" t="inlineStr">
        <is>
          <t>JÖNKÖPINGS LÄN</t>
        </is>
      </c>
      <c r="E28" t="inlineStr">
        <is>
          <t>JÖNKÖPING</t>
        </is>
      </c>
      <c r="G28" t="n">
        <v>3.1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Rostfläck
Vanlig padda
Grönvit nattviol</t>
        </is>
      </c>
      <c r="S28">
        <f>HYPERLINK("https://klasma.github.io/Logging_0680/artfynd/A 51492-2024 artfynd.xlsx", "A 51492-2024")</f>
        <v/>
      </c>
      <c r="T28">
        <f>HYPERLINK("https://klasma.github.io/Logging_0680/kartor/A 51492-2024 karta.png", "A 51492-2024")</f>
        <v/>
      </c>
      <c r="V28">
        <f>HYPERLINK("https://klasma.github.io/Logging_0680/klagomål/A 51492-2024 FSC-klagomål.docx", "A 51492-2024")</f>
        <v/>
      </c>
      <c r="W28">
        <f>HYPERLINK("https://klasma.github.io/Logging_0680/klagomålsmail/A 51492-2024 FSC-klagomål mail.docx", "A 51492-2024")</f>
        <v/>
      </c>
      <c r="X28">
        <f>HYPERLINK("https://klasma.github.io/Logging_0680/tillsyn/A 51492-2024 tillsynsbegäran.docx", "A 51492-2024")</f>
        <v/>
      </c>
      <c r="Y28">
        <f>HYPERLINK("https://klasma.github.io/Logging_0680/tillsynsmail/A 51492-2024 tillsynsbegäran mail.docx", "A 51492-2024")</f>
        <v/>
      </c>
    </row>
    <row r="29" ht="15" customHeight="1">
      <c r="A29" t="inlineStr">
        <is>
          <t>A 26553-2019</t>
        </is>
      </c>
      <c r="B29" s="1" t="n">
        <v>43612</v>
      </c>
      <c r="C29" s="1" t="n">
        <v>45749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26553-2019 artfynd.xlsx", "A 26553-2019")</f>
        <v/>
      </c>
      <c r="T29">
        <f>HYPERLINK("https://klasma.github.io/Logging_0680/kartor/A 26553-2019 karta.png", "A 26553-2019")</f>
        <v/>
      </c>
      <c r="U29">
        <f>HYPERLINK("https://klasma.github.io/Logging_0680/knärot/A 26553-2019 karta knärot.png", "A 26553-2019")</f>
        <v/>
      </c>
      <c r="V29">
        <f>HYPERLINK("https://klasma.github.io/Logging_0680/klagomål/A 26553-2019 FSC-klagomål.docx", "A 26553-2019")</f>
        <v/>
      </c>
      <c r="W29">
        <f>HYPERLINK("https://klasma.github.io/Logging_0680/klagomålsmail/A 26553-2019 FSC-klagomål mail.docx", "A 26553-2019")</f>
        <v/>
      </c>
      <c r="X29">
        <f>HYPERLINK("https://klasma.github.io/Logging_0680/tillsyn/A 26553-2019 tillsynsbegäran.docx", "A 26553-2019")</f>
        <v/>
      </c>
      <c r="Y29">
        <f>HYPERLINK("https://klasma.github.io/Logging_0680/tillsynsmail/A 26553-2019 tillsynsbegäran mail.docx", "A 26553-2019")</f>
        <v/>
      </c>
    </row>
    <row r="30" ht="15" customHeight="1">
      <c r="A30" t="inlineStr">
        <is>
          <t>A 36871-2019</t>
        </is>
      </c>
      <c r="B30" s="1" t="n">
        <v>43675</v>
      </c>
      <c r="C30" s="1" t="n">
        <v>45749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36871-2019 artfynd.xlsx", "A 36871-2019")</f>
        <v/>
      </c>
      <c r="T30">
        <f>HYPERLINK("https://klasma.github.io/Logging_0680/kartor/A 36871-2019 karta.png", "A 36871-2019")</f>
        <v/>
      </c>
      <c r="U30">
        <f>HYPERLINK("https://klasma.github.io/Logging_0680/knärot/A 36871-2019 karta knärot.png", "A 36871-2019")</f>
        <v/>
      </c>
      <c r="V30">
        <f>HYPERLINK("https://klasma.github.io/Logging_0680/klagomål/A 36871-2019 FSC-klagomål.docx", "A 36871-2019")</f>
        <v/>
      </c>
      <c r="W30">
        <f>HYPERLINK("https://klasma.github.io/Logging_0680/klagomålsmail/A 36871-2019 FSC-klagomål mail.docx", "A 36871-2019")</f>
        <v/>
      </c>
      <c r="X30">
        <f>HYPERLINK("https://klasma.github.io/Logging_0680/tillsyn/A 36871-2019 tillsynsbegäran.docx", "A 36871-2019")</f>
        <v/>
      </c>
      <c r="Y30">
        <f>HYPERLINK("https://klasma.github.io/Logging_0680/tillsynsmail/A 36871-2019 tillsynsbegäran mail.docx", "A 36871-2019")</f>
        <v/>
      </c>
    </row>
    <row r="31" ht="15" customHeight="1">
      <c r="A31" t="inlineStr">
        <is>
          <t>A 66666-2019</t>
        </is>
      </c>
      <c r="B31" s="1" t="n">
        <v>43809</v>
      </c>
      <c r="C31" s="1" t="n">
        <v>45749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Spindelblomster
Grönvit nattviol</t>
        </is>
      </c>
      <c r="S31">
        <f>HYPERLINK("https://klasma.github.io/Logging_0680/artfynd/A 66666-2019 artfynd.xlsx", "A 66666-2019")</f>
        <v/>
      </c>
      <c r="T31">
        <f>HYPERLINK("https://klasma.github.io/Logging_0680/kartor/A 66666-2019 karta.png", "A 66666-2019")</f>
        <v/>
      </c>
      <c r="V31">
        <f>HYPERLINK("https://klasma.github.io/Logging_0680/klagomål/A 66666-2019 FSC-klagomål.docx", "A 66666-2019")</f>
        <v/>
      </c>
      <c r="W31">
        <f>HYPERLINK("https://klasma.github.io/Logging_0680/klagomålsmail/A 66666-2019 FSC-klagomål mail.docx", "A 66666-2019")</f>
        <v/>
      </c>
      <c r="X31">
        <f>HYPERLINK("https://klasma.github.io/Logging_0680/tillsyn/A 66666-2019 tillsynsbegäran.docx", "A 66666-2019")</f>
        <v/>
      </c>
      <c r="Y31">
        <f>HYPERLINK("https://klasma.github.io/Logging_0680/tillsynsmail/A 66666-2019 tillsynsbegäran mail.docx", "A 66666-2019")</f>
        <v/>
      </c>
    </row>
    <row r="32" ht="15" customHeight="1">
      <c r="A32" t="inlineStr">
        <is>
          <t>A 16652-2020</t>
        </is>
      </c>
      <c r="B32" s="1" t="n">
        <v>43920</v>
      </c>
      <c r="C32" s="1" t="n">
        <v>45749</v>
      </c>
      <c r="D32" t="inlineStr">
        <is>
          <t>JÖNKÖPINGS LÄN</t>
        </is>
      </c>
      <c r="E32" t="inlineStr">
        <is>
          <t>JÖNKÖPING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Blylav
Lunglav</t>
        </is>
      </c>
      <c r="S32">
        <f>HYPERLINK("https://klasma.github.io/Logging_0680/artfynd/A 16652-2020 artfynd.xlsx", "A 16652-2020")</f>
        <v/>
      </c>
      <c r="T32">
        <f>HYPERLINK("https://klasma.github.io/Logging_0680/kartor/A 16652-2020 karta.png", "A 16652-2020")</f>
        <v/>
      </c>
      <c r="V32">
        <f>HYPERLINK("https://klasma.github.io/Logging_0680/klagomål/A 16652-2020 FSC-klagomål.docx", "A 16652-2020")</f>
        <v/>
      </c>
      <c r="W32">
        <f>HYPERLINK("https://klasma.github.io/Logging_0680/klagomålsmail/A 16652-2020 FSC-klagomål mail.docx", "A 16652-2020")</f>
        <v/>
      </c>
      <c r="X32">
        <f>HYPERLINK("https://klasma.github.io/Logging_0680/tillsyn/A 16652-2020 tillsynsbegäran.docx", "A 16652-2020")</f>
        <v/>
      </c>
      <c r="Y32">
        <f>HYPERLINK("https://klasma.github.io/Logging_0680/tillsynsmail/A 16652-2020 tillsynsbegäran mail.docx", "A 16652-2020")</f>
        <v/>
      </c>
    </row>
    <row r="33" ht="15" customHeight="1">
      <c r="A33" t="inlineStr">
        <is>
          <t>A 46397-2020</t>
        </is>
      </c>
      <c r="B33" s="1" t="n">
        <v>44094</v>
      </c>
      <c r="C33" s="1" t="n">
        <v>45749</v>
      </c>
      <c r="D33" t="inlineStr">
        <is>
          <t>JÖNKÖPINGS LÄN</t>
        </is>
      </c>
      <c r="E33" t="inlineStr">
        <is>
          <t>JÖNKÖPING</t>
        </is>
      </c>
      <c r="G33" t="n">
        <v>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Spindelbock</t>
        </is>
      </c>
      <c r="S33">
        <f>HYPERLINK("https://klasma.github.io/Logging_0680/artfynd/A 46397-2020 artfynd.xlsx", "A 46397-2020")</f>
        <v/>
      </c>
      <c r="T33">
        <f>HYPERLINK("https://klasma.github.io/Logging_0680/kartor/A 46397-2020 karta.png", "A 46397-2020")</f>
        <v/>
      </c>
      <c r="V33">
        <f>HYPERLINK("https://klasma.github.io/Logging_0680/klagomål/A 46397-2020 FSC-klagomål.docx", "A 46397-2020")</f>
        <v/>
      </c>
      <c r="W33">
        <f>HYPERLINK("https://klasma.github.io/Logging_0680/klagomålsmail/A 46397-2020 FSC-klagomål mail.docx", "A 46397-2020")</f>
        <v/>
      </c>
      <c r="X33">
        <f>HYPERLINK("https://klasma.github.io/Logging_0680/tillsyn/A 46397-2020 tillsynsbegäran.docx", "A 46397-2020")</f>
        <v/>
      </c>
      <c r="Y33">
        <f>HYPERLINK("https://klasma.github.io/Logging_0680/tillsynsmail/A 46397-2020 tillsynsbegäran mail.docx", "A 46397-2020")</f>
        <v/>
      </c>
    </row>
    <row r="34" ht="15" customHeight="1">
      <c r="A34" t="inlineStr">
        <is>
          <t>A 59687-2020</t>
        </is>
      </c>
      <c r="B34" s="1" t="n">
        <v>44151</v>
      </c>
      <c r="C34" s="1" t="n">
        <v>45749</v>
      </c>
      <c r="D34" t="inlineStr">
        <is>
          <t>JÖNKÖPINGS LÄN</t>
        </is>
      </c>
      <c r="E34" t="inlineStr">
        <is>
          <t>JÖNKÖPING</t>
        </is>
      </c>
      <c r="G34" t="n">
        <v>4.6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Spindelblomster</t>
        </is>
      </c>
      <c r="S34">
        <f>HYPERLINK("https://klasma.github.io/Logging_0680/artfynd/A 59687-2020 artfynd.xlsx", "A 59687-2020")</f>
        <v/>
      </c>
      <c r="T34">
        <f>HYPERLINK("https://klasma.github.io/Logging_0680/kartor/A 59687-2020 karta.png", "A 59687-2020")</f>
        <v/>
      </c>
      <c r="V34">
        <f>HYPERLINK("https://klasma.github.io/Logging_0680/klagomål/A 59687-2020 FSC-klagomål.docx", "A 59687-2020")</f>
        <v/>
      </c>
      <c r="W34">
        <f>HYPERLINK("https://klasma.github.io/Logging_0680/klagomålsmail/A 59687-2020 FSC-klagomål mail.docx", "A 59687-2020")</f>
        <v/>
      </c>
      <c r="X34">
        <f>HYPERLINK("https://klasma.github.io/Logging_0680/tillsyn/A 59687-2020 tillsynsbegäran.docx", "A 59687-2020")</f>
        <v/>
      </c>
      <c r="Y34">
        <f>HYPERLINK("https://klasma.github.io/Logging_0680/tillsynsmail/A 59687-2020 tillsynsbegäran mail.docx", "A 59687-2020")</f>
        <v/>
      </c>
    </row>
    <row r="35" ht="15" customHeight="1">
      <c r="A35" t="inlineStr">
        <is>
          <t>A 42369-2022</t>
        </is>
      </c>
      <c r="B35" s="1" t="n">
        <v>44831</v>
      </c>
      <c r="C35" s="1" t="n">
        <v>45749</v>
      </c>
      <c r="D35" t="inlineStr">
        <is>
          <t>JÖNKÖPINGS LÄN</t>
        </is>
      </c>
      <c r="E35" t="inlineStr">
        <is>
          <t>JÖNKÖPING</t>
        </is>
      </c>
      <c r="G35" t="n">
        <v>6.8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Västlig hakmossa</t>
        </is>
      </c>
      <c r="S35">
        <f>HYPERLINK("https://klasma.github.io/Logging_0680/artfynd/A 42369-2022 artfynd.xlsx", "A 42369-2022")</f>
        <v/>
      </c>
      <c r="T35">
        <f>HYPERLINK("https://klasma.github.io/Logging_0680/kartor/A 42369-2022 karta.png", "A 42369-2022")</f>
        <v/>
      </c>
      <c r="V35">
        <f>HYPERLINK("https://klasma.github.io/Logging_0680/klagomål/A 42369-2022 FSC-klagomål.docx", "A 42369-2022")</f>
        <v/>
      </c>
      <c r="W35">
        <f>HYPERLINK("https://klasma.github.io/Logging_0680/klagomålsmail/A 42369-2022 FSC-klagomål mail.docx", "A 42369-2022")</f>
        <v/>
      </c>
      <c r="X35">
        <f>HYPERLINK("https://klasma.github.io/Logging_0680/tillsyn/A 42369-2022 tillsynsbegäran.docx", "A 42369-2022")</f>
        <v/>
      </c>
      <c r="Y35">
        <f>HYPERLINK("https://klasma.github.io/Logging_0680/tillsynsmail/A 42369-2022 tillsynsbegäran mail.docx", "A 42369-2022")</f>
        <v/>
      </c>
    </row>
    <row r="36" ht="15" customHeight="1">
      <c r="A36" t="inlineStr">
        <is>
          <t>A 10991-2023</t>
        </is>
      </c>
      <c r="B36" s="1" t="n">
        <v>44991</v>
      </c>
      <c r="C36" s="1" t="n">
        <v>45749</v>
      </c>
      <c r="D36" t="inlineStr">
        <is>
          <t>JÖNKÖPINGS LÄN</t>
        </is>
      </c>
      <c r="E36" t="inlineStr">
        <is>
          <t>JÖNKÖPING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Kornig nållav</t>
        </is>
      </c>
      <c r="S36">
        <f>HYPERLINK("https://klasma.github.io/Logging_0680/artfynd/A 10991-2023 artfynd.xlsx", "A 10991-2023")</f>
        <v/>
      </c>
      <c r="T36">
        <f>HYPERLINK("https://klasma.github.io/Logging_0680/kartor/A 10991-2023 karta.png", "A 10991-2023")</f>
        <v/>
      </c>
      <c r="V36">
        <f>HYPERLINK("https://klasma.github.io/Logging_0680/klagomål/A 10991-2023 FSC-klagomål.docx", "A 10991-2023")</f>
        <v/>
      </c>
      <c r="W36">
        <f>HYPERLINK("https://klasma.github.io/Logging_0680/klagomålsmail/A 10991-2023 FSC-klagomål mail.docx", "A 10991-2023")</f>
        <v/>
      </c>
      <c r="X36">
        <f>HYPERLINK("https://klasma.github.io/Logging_0680/tillsyn/A 10991-2023 tillsynsbegäran.docx", "A 10991-2023")</f>
        <v/>
      </c>
      <c r="Y36">
        <f>HYPERLINK("https://klasma.github.io/Logging_0680/tillsynsmail/A 10991-2023 tillsynsbegäran mail.docx", "A 10991-2023")</f>
        <v/>
      </c>
    </row>
    <row r="37" ht="15" customHeight="1">
      <c r="A37" t="inlineStr">
        <is>
          <t>A 20756-2023</t>
        </is>
      </c>
      <c r="B37" s="1" t="n">
        <v>45058</v>
      </c>
      <c r="C37" s="1" t="n">
        <v>45749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Naverlönn
Åkerkål</t>
        </is>
      </c>
      <c r="S37">
        <f>HYPERLINK("https://klasma.github.io/Logging_0680/artfynd/A 20756-2023 artfynd.xlsx", "A 20756-2023")</f>
        <v/>
      </c>
      <c r="T37">
        <f>HYPERLINK("https://klasma.github.io/Logging_0680/kartor/A 20756-2023 karta.png", "A 20756-2023")</f>
        <v/>
      </c>
      <c r="V37">
        <f>HYPERLINK("https://klasma.github.io/Logging_0680/klagomål/A 20756-2023 FSC-klagomål.docx", "A 20756-2023")</f>
        <v/>
      </c>
      <c r="W37">
        <f>HYPERLINK("https://klasma.github.io/Logging_0680/klagomålsmail/A 20756-2023 FSC-klagomål mail.docx", "A 20756-2023")</f>
        <v/>
      </c>
      <c r="X37">
        <f>HYPERLINK("https://klasma.github.io/Logging_0680/tillsyn/A 20756-2023 tillsynsbegäran.docx", "A 20756-2023")</f>
        <v/>
      </c>
      <c r="Y37">
        <f>HYPERLINK("https://klasma.github.io/Logging_0680/tillsynsmail/A 20756-2023 tillsynsbegäran mail.docx", "A 20756-2023")</f>
        <v/>
      </c>
    </row>
    <row r="38" ht="15" customHeight="1">
      <c r="A38" t="inlineStr">
        <is>
          <t>A 40296-2023</t>
        </is>
      </c>
      <c r="B38" s="1" t="n">
        <v>45169</v>
      </c>
      <c r="C38" s="1" t="n">
        <v>45749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Blomkålssvamp</t>
        </is>
      </c>
      <c r="S38">
        <f>HYPERLINK("https://klasma.github.io/Logging_0680/artfynd/A 40296-2023 artfynd.xlsx", "A 40296-2023")</f>
        <v/>
      </c>
      <c r="T38">
        <f>HYPERLINK("https://klasma.github.io/Logging_0680/kartor/A 40296-2023 karta.png", "A 40296-2023")</f>
        <v/>
      </c>
      <c r="U38">
        <f>HYPERLINK("https://klasma.github.io/Logging_0680/knärot/A 40296-2023 karta knärot.png", "A 40296-2023")</f>
        <v/>
      </c>
      <c r="V38">
        <f>HYPERLINK("https://klasma.github.io/Logging_0680/klagomål/A 40296-2023 FSC-klagomål.docx", "A 40296-2023")</f>
        <v/>
      </c>
      <c r="W38">
        <f>HYPERLINK("https://klasma.github.io/Logging_0680/klagomålsmail/A 40296-2023 FSC-klagomål mail.docx", "A 40296-2023")</f>
        <v/>
      </c>
      <c r="X38">
        <f>HYPERLINK("https://klasma.github.io/Logging_0680/tillsyn/A 40296-2023 tillsynsbegäran.docx", "A 40296-2023")</f>
        <v/>
      </c>
      <c r="Y38">
        <f>HYPERLINK("https://klasma.github.io/Logging_0680/tillsynsmail/A 40296-2023 tillsynsbegäran mail.docx", "A 40296-2023")</f>
        <v/>
      </c>
    </row>
    <row r="39" ht="15" customHeight="1">
      <c r="A39" t="inlineStr">
        <is>
          <t>A 1235-2024</t>
        </is>
      </c>
      <c r="B39" s="1" t="n">
        <v>45302</v>
      </c>
      <c r="C39" s="1" t="n">
        <v>45749</v>
      </c>
      <c r="D39" t="inlineStr">
        <is>
          <t>JÖNKÖPINGS LÄN</t>
        </is>
      </c>
      <c r="E39" t="inlineStr">
        <is>
          <t>JÖNKÖPING</t>
        </is>
      </c>
      <c r="G39" t="n">
        <v>2.8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Lakritsmusseron
Dropptaggsvamp</t>
        </is>
      </c>
      <c r="S39">
        <f>HYPERLINK("https://klasma.github.io/Logging_0680/artfynd/A 1235-2024 artfynd.xlsx", "A 1235-2024")</f>
        <v/>
      </c>
      <c r="T39">
        <f>HYPERLINK("https://klasma.github.io/Logging_0680/kartor/A 1235-2024 karta.png", "A 1235-2024")</f>
        <v/>
      </c>
      <c r="V39">
        <f>HYPERLINK("https://klasma.github.io/Logging_0680/klagomål/A 1235-2024 FSC-klagomål.docx", "A 1235-2024")</f>
        <v/>
      </c>
      <c r="W39">
        <f>HYPERLINK("https://klasma.github.io/Logging_0680/klagomålsmail/A 1235-2024 FSC-klagomål mail.docx", "A 1235-2024")</f>
        <v/>
      </c>
      <c r="X39">
        <f>HYPERLINK("https://klasma.github.io/Logging_0680/tillsyn/A 1235-2024 tillsynsbegäran.docx", "A 1235-2024")</f>
        <v/>
      </c>
      <c r="Y39">
        <f>HYPERLINK("https://klasma.github.io/Logging_0680/tillsynsmail/A 1235-2024 tillsynsbegäran mail.docx", "A 1235-2024")</f>
        <v/>
      </c>
    </row>
    <row r="40" ht="15" customHeight="1">
      <c r="A40" t="inlineStr">
        <is>
          <t>A 9221-2024</t>
        </is>
      </c>
      <c r="B40" s="1" t="n">
        <v>45358</v>
      </c>
      <c r="C40" s="1" t="n">
        <v>45749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Blomkålssvamp</t>
        </is>
      </c>
      <c r="S40">
        <f>HYPERLINK("https://klasma.github.io/Logging_0680/artfynd/A 9221-2024 artfynd.xlsx", "A 9221-2024")</f>
        <v/>
      </c>
      <c r="T40">
        <f>HYPERLINK("https://klasma.github.io/Logging_0680/kartor/A 9221-2024 karta.png", "A 9221-2024")</f>
        <v/>
      </c>
      <c r="V40">
        <f>HYPERLINK("https://klasma.github.io/Logging_0680/klagomål/A 9221-2024 FSC-klagomål.docx", "A 9221-2024")</f>
        <v/>
      </c>
      <c r="W40">
        <f>HYPERLINK("https://klasma.github.io/Logging_0680/klagomålsmail/A 9221-2024 FSC-klagomål mail.docx", "A 9221-2024")</f>
        <v/>
      </c>
      <c r="X40">
        <f>HYPERLINK("https://klasma.github.io/Logging_0680/tillsyn/A 9221-2024 tillsynsbegäran.docx", "A 9221-2024")</f>
        <v/>
      </c>
      <c r="Y40">
        <f>HYPERLINK("https://klasma.github.io/Logging_0680/tillsynsmail/A 9221-2024 tillsynsbegäran mail.docx", "A 9221-2024")</f>
        <v/>
      </c>
    </row>
    <row r="41" ht="15" customHeight="1">
      <c r="A41" t="inlineStr">
        <is>
          <t>A 37016-2024</t>
        </is>
      </c>
      <c r="B41" s="1" t="n">
        <v>45539</v>
      </c>
      <c r="C41" s="1" t="n">
        <v>45749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Vårärt</t>
        </is>
      </c>
      <c r="S41">
        <f>HYPERLINK("https://klasma.github.io/Logging_0680/artfynd/A 37016-2024 artfynd.xlsx", "A 37016-2024")</f>
        <v/>
      </c>
      <c r="T41">
        <f>HYPERLINK("https://klasma.github.io/Logging_0680/kartor/A 37016-2024 karta.png", "A 37016-2024")</f>
        <v/>
      </c>
      <c r="V41">
        <f>HYPERLINK("https://klasma.github.io/Logging_0680/klagomål/A 37016-2024 FSC-klagomål.docx", "A 37016-2024")</f>
        <v/>
      </c>
      <c r="W41">
        <f>HYPERLINK("https://klasma.github.io/Logging_0680/klagomålsmail/A 37016-2024 FSC-klagomål mail.docx", "A 37016-2024")</f>
        <v/>
      </c>
      <c r="X41">
        <f>HYPERLINK("https://klasma.github.io/Logging_0680/tillsyn/A 37016-2024 tillsynsbegäran.docx", "A 37016-2024")</f>
        <v/>
      </c>
      <c r="Y41">
        <f>HYPERLINK("https://klasma.github.io/Logging_0680/tillsynsmail/A 37016-2024 tillsynsbegäran mail.docx", "A 37016-2024")</f>
        <v/>
      </c>
    </row>
    <row r="42" ht="15" customHeight="1">
      <c r="A42" t="inlineStr">
        <is>
          <t>A 47483-2024</t>
        </is>
      </c>
      <c r="B42" s="1" t="n">
        <v>45587</v>
      </c>
      <c r="C42" s="1" t="n">
        <v>45749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Blåmossa</t>
        </is>
      </c>
      <c r="S42">
        <f>HYPERLINK("https://klasma.github.io/Logging_0680/artfynd/A 47483-2024 artfynd.xlsx", "A 47483-2024")</f>
        <v/>
      </c>
      <c r="T42">
        <f>HYPERLINK("https://klasma.github.io/Logging_0680/kartor/A 47483-2024 karta.png", "A 47483-2024")</f>
        <v/>
      </c>
      <c r="V42">
        <f>HYPERLINK("https://klasma.github.io/Logging_0680/klagomål/A 47483-2024 FSC-klagomål.docx", "A 47483-2024")</f>
        <v/>
      </c>
      <c r="W42">
        <f>HYPERLINK("https://klasma.github.io/Logging_0680/klagomålsmail/A 47483-2024 FSC-klagomål mail.docx", "A 47483-2024")</f>
        <v/>
      </c>
      <c r="X42">
        <f>HYPERLINK("https://klasma.github.io/Logging_0680/tillsyn/A 47483-2024 tillsynsbegäran.docx", "A 47483-2024")</f>
        <v/>
      </c>
      <c r="Y42">
        <f>HYPERLINK("https://klasma.github.io/Logging_0680/tillsynsmail/A 47483-2024 tillsynsbegäran mail.docx", "A 47483-2024")</f>
        <v/>
      </c>
    </row>
    <row r="43" ht="15" customHeight="1">
      <c r="A43" t="inlineStr">
        <is>
          <t>A 52603-2024</t>
        </is>
      </c>
      <c r="B43" s="1" t="n">
        <v>45609</v>
      </c>
      <c r="C43" s="1" t="n">
        <v>45749</v>
      </c>
      <c r="D43" t="inlineStr">
        <is>
          <t>JÖNKÖPINGS LÄN</t>
        </is>
      </c>
      <c r="E43" t="inlineStr">
        <is>
          <t>JÖNKÖPING</t>
        </is>
      </c>
      <c r="G43" t="n">
        <v>2.4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HYPERLINK("https://klasma.github.io/Logging_0680/artfynd/A 52603-2024 artfynd.xlsx", "A 52603-2024")</f>
        <v/>
      </c>
      <c r="T43">
        <f>HYPERLINK("https://klasma.github.io/Logging_0680/kartor/A 52603-2024 karta.png", "A 52603-2024")</f>
        <v/>
      </c>
      <c r="V43">
        <f>HYPERLINK("https://klasma.github.io/Logging_0680/klagomål/A 52603-2024 FSC-klagomål.docx", "A 52603-2024")</f>
        <v/>
      </c>
      <c r="W43">
        <f>HYPERLINK("https://klasma.github.io/Logging_0680/klagomålsmail/A 52603-2024 FSC-klagomål mail.docx", "A 52603-2024")</f>
        <v/>
      </c>
      <c r="X43">
        <f>HYPERLINK("https://klasma.github.io/Logging_0680/tillsyn/A 52603-2024 tillsynsbegäran.docx", "A 52603-2024")</f>
        <v/>
      </c>
      <c r="Y43">
        <f>HYPERLINK("https://klasma.github.io/Logging_0680/tillsynsmail/A 52603-2024 tillsynsbegäran mail.docx", "A 52603-2024")</f>
        <v/>
      </c>
    </row>
    <row r="44" ht="15" customHeight="1">
      <c r="A44" t="inlineStr">
        <is>
          <t>A 61520-2024</t>
        </is>
      </c>
      <c r="B44" s="1" t="n">
        <v>45646</v>
      </c>
      <c r="C44" s="1" t="n">
        <v>45749</v>
      </c>
      <c r="D44" t="inlineStr">
        <is>
          <t>JÖNKÖPINGS LÄN</t>
        </is>
      </c>
      <c r="E44" t="inlineStr">
        <is>
          <t>JÖNKÖPING</t>
        </is>
      </c>
      <c r="G44" t="n">
        <v>4.8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Blek kraterlav
Storgröe</t>
        </is>
      </c>
      <c r="S44">
        <f>HYPERLINK("https://klasma.github.io/Logging_0680/artfynd/A 61520-2024 artfynd.xlsx", "A 61520-2024")</f>
        <v/>
      </c>
      <c r="T44">
        <f>HYPERLINK("https://klasma.github.io/Logging_0680/kartor/A 61520-2024 karta.png", "A 61520-2024")</f>
        <v/>
      </c>
      <c r="V44">
        <f>HYPERLINK("https://klasma.github.io/Logging_0680/klagomål/A 61520-2024 FSC-klagomål.docx", "A 61520-2024")</f>
        <v/>
      </c>
      <c r="W44">
        <f>HYPERLINK("https://klasma.github.io/Logging_0680/klagomålsmail/A 61520-2024 FSC-klagomål mail.docx", "A 61520-2024")</f>
        <v/>
      </c>
      <c r="X44">
        <f>HYPERLINK("https://klasma.github.io/Logging_0680/tillsyn/A 61520-2024 tillsynsbegäran.docx", "A 61520-2024")</f>
        <v/>
      </c>
      <c r="Y44">
        <f>HYPERLINK("https://klasma.github.io/Logging_0680/tillsynsmail/A 61520-2024 tillsynsbegäran mail.docx", "A 61520-2024")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45749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3361-2025</t>
        </is>
      </c>
      <c r="B46" s="1" t="n">
        <v>45680</v>
      </c>
      <c r="C46" s="1" t="n">
        <v>45749</v>
      </c>
      <c r="D46" t="inlineStr">
        <is>
          <t>JÖNKÖPINGS LÄN</t>
        </is>
      </c>
      <c r="E46" t="inlineStr">
        <is>
          <t>JÖNKÖPING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3361-2025 artfynd.xlsx", "A 3361-2025")</f>
        <v/>
      </c>
      <c r="T46">
        <f>HYPERLINK("https://klasma.github.io/Logging_0680/kartor/A 3361-2025 karta.png", "A 3361-2025")</f>
        <v/>
      </c>
      <c r="V46">
        <f>HYPERLINK("https://klasma.github.io/Logging_0680/klagomål/A 3361-2025 FSC-klagomål.docx", "A 3361-2025")</f>
        <v/>
      </c>
      <c r="W46">
        <f>HYPERLINK("https://klasma.github.io/Logging_0680/klagomålsmail/A 3361-2025 FSC-klagomål mail.docx", "A 3361-2025")</f>
        <v/>
      </c>
      <c r="X46">
        <f>HYPERLINK("https://klasma.github.io/Logging_0680/tillsyn/A 3361-2025 tillsynsbegäran.docx", "A 3361-2025")</f>
        <v/>
      </c>
      <c r="Y46">
        <f>HYPERLINK("https://klasma.github.io/Logging_0680/tillsynsmail/A 3361-2025 tillsynsbegäran mail.docx", "A 3361-2025")</f>
        <v/>
      </c>
    </row>
    <row r="47" ht="15" customHeight="1">
      <c r="A47" t="inlineStr">
        <is>
          <t>A 26905-2019</t>
        </is>
      </c>
      <c r="B47" s="1" t="n">
        <v>43609</v>
      </c>
      <c r="C47" s="1" t="n">
        <v>45749</v>
      </c>
      <c r="D47" t="inlineStr">
        <is>
          <t>JÖNKÖPINGS LÄN</t>
        </is>
      </c>
      <c r="E47" t="inlineStr">
        <is>
          <t>JÖNKÖPING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26905-2019 artfynd.xlsx", "A 26905-2019")</f>
        <v/>
      </c>
      <c r="T47">
        <f>HYPERLINK("https://klasma.github.io/Logging_0680/kartor/A 26905-2019 karta.png", "A 26905-2019")</f>
        <v/>
      </c>
      <c r="V47">
        <f>HYPERLINK("https://klasma.github.io/Logging_0680/klagomål/A 26905-2019 FSC-klagomål.docx", "A 26905-2019")</f>
        <v/>
      </c>
      <c r="W47">
        <f>HYPERLINK("https://klasma.github.io/Logging_0680/klagomålsmail/A 26905-2019 FSC-klagomål mail.docx", "A 26905-2019")</f>
        <v/>
      </c>
      <c r="X47">
        <f>HYPERLINK("https://klasma.github.io/Logging_0680/tillsyn/A 26905-2019 tillsynsbegäran.docx", "A 26905-2019")</f>
        <v/>
      </c>
      <c r="Y47">
        <f>HYPERLINK("https://klasma.github.io/Logging_0680/tillsynsmail/A 26905-2019 tillsynsbegäran mail.docx", "A 26905-2019")</f>
        <v/>
      </c>
    </row>
    <row r="48" ht="15" customHeight="1">
      <c r="A48" t="inlineStr">
        <is>
          <t>A 28694-2019</t>
        </is>
      </c>
      <c r="B48" s="1" t="n">
        <v>43614</v>
      </c>
      <c r="C48" s="1" t="n">
        <v>45749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28694-2019 artfynd.xlsx", "A 28694-2019")</f>
        <v/>
      </c>
      <c r="T48">
        <f>HYPERLINK("https://klasma.github.io/Logging_0680/kartor/A 28694-2019 karta.png", "A 28694-2019")</f>
        <v/>
      </c>
      <c r="U48">
        <f>HYPERLINK("https://klasma.github.io/Logging_0680/knärot/A 28694-2019 karta knärot.png", "A 28694-2019")</f>
        <v/>
      </c>
      <c r="V48">
        <f>HYPERLINK("https://klasma.github.io/Logging_0680/klagomål/A 28694-2019 FSC-klagomål.docx", "A 28694-2019")</f>
        <v/>
      </c>
      <c r="W48">
        <f>HYPERLINK("https://klasma.github.io/Logging_0680/klagomålsmail/A 28694-2019 FSC-klagomål mail.docx", "A 28694-2019")</f>
        <v/>
      </c>
      <c r="X48">
        <f>HYPERLINK("https://klasma.github.io/Logging_0680/tillsyn/A 28694-2019 tillsynsbegäran.docx", "A 28694-2019")</f>
        <v/>
      </c>
      <c r="Y48">
        <f>HYPERLINK("https://klasma.github.io/Logging_0680/tillsynsmail/A 28694-2019 tillsynsbegäran mail.docx", "A 28694-2019")</f>
        <v/>
      </c>
    </row>
    <row r="49" ht="15" customHeight="1">
      <c r="A49" t="inlineStr">
        <is>
          <t>A 28682-2019</t>
        </is>
      </c>
      <c r="B49" s="1" t="n">
        <v>43627</v>
      </c>
      <c r="C49" s="1" t="n">
        <v>45749</v>
      </c>
      <c r="D49" t="inlineStr">
        <is>
          <t>JÖNKÖPINGS LÄN</t>
        </is>
      </c>
      <c r="E49" t="inlineStr">
        <is>
          <t>JÖNKÖPING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HYPERLINK("https://klasma.github.io/Logging_0680/artfynd/A 28682-2019 artfynd.xlsx", "A 28682-2019")</f>
        <v/>
      </c>
      <c r="T49">
        <f>HYPERLINK("https://klasma.github.io/Logging_0680/kartor/A 28682-2019 karta.png", "A 28682-2019")</f>
        <v/>
      </c>
      <c r="V49">
        <f>HYPERLINK("https://klasma.github.io/Logging_0680/klagomål/A 28682-2019 FSC-klagomål.docx", "A 28682-2019")</f>
        <v/>
      </c>
      <c r="W49">
        <f>HYPERLINK("https://klasma.github.io/Logging_0680/klagomålsmail/A 28682-2019 FSC-klagomål mail.docx", "A 28682-2019")</f>
        <v/>
      </c>
      <c r="X49">
        <f>HYPERLINK("https://klasma.github.io/Logging_0680/tillsyn/A 28682-2019 tillsynsbegäran.docx", "A 28682-2019")</f>
        <v/>
      </c>
      <c r="Y49">
        <f>HYPERLINK("https://klasma.github.io/Logging_0680/tillsynsmail/A 28682-2019 tillsynsbegäran mail.docx", "A 28682-2019")</f>
        <v/>
      </c>
    </row>
    <row r="50" ht="15" customHeight="1">
      <c r="A50" t="inlineStr">
        <is>
          <t>A 35825-2019</t>
        </is>
      </c>
      <c r="B50" s="1" t="n">
        <v>43665</v>
      </c>
      <c r="C50" s="1" t="n">
        <v>45749</v>
      </c>
      <c r="D50" t="inlineStr">
        <is>
          <t>JÖNKÖPINGS LÄN</t>
        </is>
      </c>
      <c r="E50" t="inlineStr">
        <is>
          <t>JÖNKÖPING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35825-2019 artfynd.xlsx", "A 35825-2019")</f>
        <v/>
      </c>
      <c r="T50">
        <f>HYPERLINK("https://klasma.github.io/Logging_0680/kartor/A 35825-2019 karta.png", "A 35825-2019")</f>
        <v/>
      </c>
      <c r="U50">
        <f>HYPERLINK("https://klasma.github.io/Logging_0680/knärot/A 35825-2019 karta knärot.png", "A 35825-2019")</f>
        <v/>
      </c>
      <c r="V50">
        <f>HYPERLINK("https://klasma.github.io/Logging_0680/klagomål/A 35825-2019 FSC-klagomål.docx", "A 35825-2019")</f>
        <v/>
      </c>
      <c r="W50">
        <f>HYPERLINK("https://klasma.github.io/Logging_0680/klagomålsmail/A 35825-2019 FSC-klagomål mail.docx", "A 35825-2019")</f>
        <v/>
      </c>
      <c r="X50">
        <f>HYPERLINK("https://klasma.github.io/Logging_0680/tillsyn/A 35825-2019 tillsynsbegäran.docx", "A 35825-2019")</f>
        <v/>
      </c>
      <c r="Y50">
        <f>HYPERLINK("https://klasma.github.io/Logging_0680/tillsynsmail/A 35825-2019 tillsynsbegäran mail.docx", "A 35825-2019")</f>
        <v/>
      </c>
    </row>
    <row r="51" ht="15" customHeight="1">
      <c r="A51" t="inlineStr">
        <is>
          <t>A 48689-2019</t>
        </is>
      </c>
      <c r="B51" s="1" t="n">
        <v>43727</v>
      </c>
      <c r="C51" s="1" t="n">
        <v>45749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48689-2019 artfynd.xlsx", "A 48689-2019")</f>
        <v/>
      </c>
      <c r="T51">
        <f>HYPERLINK("https://klasma.github.io/Logging_0680/kartor/A 48689-2019 karta.png", "A 48689-2019")</f>
        <v/>
      </c>
      <c r="V51">
        <f>HYPERLINK("https://klasma.github.io/Logging_0680/klagomål/A 48689-2019 FSC-klagomål.docx", "A 48689-2019")</f>
        <v/>
      </c>
      <c r="W51">
        <f>HYPERLINK("https://klasma.github.io/Logging_0680/klagomålsmail/A 48689-2019 FSC-klagomål mail.docx", "A 48689-2019")</f>
        <v/>
      </c>
      <c r="X51">
        <f>HYPERLINK("https://klasma.github.io/Logging_0680/tillsyn/A 48689-2019 tillsynsbegäran.docx", "A 48689-2019")</f>
        <v/>
      </c>
      <c r="Y51">
        <f>HYPERLINK("https://klasma.github.io/Logging_0680/tillsynsmail/A 48689-2019 tillsynsbegäran mail.docx", "A 48689-2019")</f>
        <v/>
      </c>
    </row>
    <row r="52" ht="15" customHeight="1">
      <c r="A52" t="inlineStr">
        <is>
          <t>A 12704-2020</t>
        </is>
      </c>
      <c r="B52" s="1" t="n">
        <v>43899</v>
      </c>
      <c r="C52" s="1" t="n">
        <v>45749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12704-2020 artfynd.xlsx", "A 12704-2020")</f>
        <v/>
      </c>
      <c r="T52">
        <f>HYPERLINK("https://klasma.github.io/Logging_0680/kartor/A 12704-2020 karta.png", "A 12704-2020")</f>
        <v/>
      </c>
      <c r="V52">
        <f>HYPERLINK("https://klasma.github.io/Logging_0680/klagomål/A 12704-2020 FSC-klagomål.docx", "A 12704-2020")</f>
        <v/>
      </c>
      <c r="W52">
        <f>HYPERLINK("https://klasma.github.io/Logging_0680/klagomålsmail/A 12704-2020 FSC-klagomål mail.docx", "A 12704-2020")</f>
        <v/>
      </c>
      <c r="X52">
        <f>HYPERLINK("https://klasma.github.io/Logging_0680/tillsyn/A 12704-2020 tillsynsbegäran.docx", "A 12704-2020")</f>
        <v/>
      </c>
      <c r="Y52">
        <f>HYPERLINK("https://klasma.github.io/Logging_0680/tillsynsmail/A 12704-2020 tillsynsbegäran mail.docx", "A 12704-2020")</f>
        <v/>
      </c>
    </row>
    <row r="53" ht="15" customHeight="1">
      <c r="A53" t="inlineStr">
        <is>
          <t>A 36238-2020</t>
        </is>
      </c>
      <c r="B53" s="1" t="n">
        <v>44018</v>
      </c>
      <c r="C53" s="1" t="n">
        <v>45749</v>
      </c>
      <c r="D53" t="inlineStr">
        <is>
          <t>JÖNKÖPINGS LÄN</t>
        </is>
      </c>
      <c r="E53" t="inlineStr">
        <is>
          <t>JÖNKÖPING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HYPERLINK("https://klasma.github.io/Logging_0680/artfynd/A 36238-2020 artfynd.xlsx", "A 36238-2020")</f>
        <v/>
      </c>
      <c r="T53">
        <f>HYPERLINK("https://klasma.github.io/Logging_0680/kartor/A 36238-2020 karta.png", "A 36238-2020")</f>
        <v/>
      </c>
      <c r="V53">
        <f>HYPERLINK("https://klasma.github.io/Logging_0680/klagomål/A 36238-2020 FSC-klagomål.docx", "A 36238-2020")</f>
        <v/>
      </c>
      <c r="W53">
        <f>HYPERLINK("https://klasma.github.io/Logging_0680/klagomålsmail/A 36238-2020 FSC-klagomål mail.docx", "A 36238-2020")</f>
        <v/>
      </c>
      <c r="X53">
        <f>HYPERLINK("https://klasma.github.io/Logging_0680/tillsyn/A 36238-2020 tillsynsbegäran.docx", "A 36238-2020")</f>
        <v/>
      </c>
      <c r="Y53">
        <f>HYPERLINK("https://klasma.github.io/Logging_0680/tillsynsmail/A 36238-2020 tillsynsbegäran mail.docx", "A 36238-2020")</f>
        <v/>
      </c>
    </row>
    <row r="54" ht="15" customHeight="1">
      <c r="A54" t="inlineStr">
        <is>
          <t>A 44144-2020</t>
        </is>
      </c>
      <c r="B54" s="1" t="n">
        <v>44083</v>
      </c>
      <c r="C54" s="1" t="n">
        <v>45749</v>
      </c>
      <c r="D54" t="inlineStr">
        <is>
          <t>JÖNKÖPINGS LÄN</t>
        </is>
      </c>
      <c r="E54" t="inlineStr">
        <is>
          <t>JÖNKÖPING</t>
        </is>
      </c>
      <c r="F54" t="inlineStr">
        <is>
          <t>Kommuner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HYPERLINK("https://klasma.github.io/Logging_0680/artfynd/A 44144-2020 artfynd.xlsx", "A 44144-2020")</f>
        <v/>
      </c>
      <c r="T54">
        <f>HYPERLINK("https://klasma.github.io/Logging_0680/kartor/A 44144-2020 karta.png", "A 44144-2020")</f>
        <v/>
      </c>
      <c r="V54">
        <f>HYPERLINK("https://klasma.github.io/Logging_0680/klagomål/A 44144-2020 FSC-klagomål.docx", "A 44144-2020")</f>
        <v/>
      </c>
      <c r="W54">
        <f>HYPERLINK("https://klasma.github.io/Logging_0680/klagomålsmail/A 44144-2020 FSC-klagomål mail.docx", "A 44144-2020")</f>
        <v/>
      </c>
      <c r="X54">
        <f>HYPERLINK("https://klasma.github.io/Logging_0680/tillsyn/A 44144-2020 tillsynsbegäran.docx", "A 44144-2020")</f>
        <v/>
      </c>
      <c r="Y54">
        <f>HYPERLINK("https://klasma.github.io/Logging_0680/tillsynsmail/A 44144-2020 tillsynsbegäran mail.docx", "A 44144-2020")</f>
        <v/>
      </c>
    </row>
    <row r="55" ht="15" customHeight="1">
      <c r="A55" t="inlineStr">
        <is>
          <t>A 46552-2020</t>
        </is>
      </c>
      <c r="B55" s="1" t="n">
        <v>44095</v>
      </c>
      <c r="C55" s="1" t="n">
        <v>45749</v>
      </c>
      <c r="D55" t="inlineStr">
        <is>
          <t>JÖNKÖPINGS LÄN</t>
        </is>
      </c>
      <c r="E55" t="inlineStr">
        <is>
          <t>JÖNKÖPING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46552-2020 artfynd.xlsx", "A 46552-2020")</f>
        <v/>
      </c>
      <c r="T55">
        <f>HYPERLINK("https://klasma.github.io/Logging_0680/kartor/A 46552-2020 karta.png", "A 46552-2020")</f>
        <v/>
      </c>
      <c r="V55">
        <f>HYPERLINK("https://klasma.github.io/Logging_0680/klagomål/A 46552-2020 FSC-klagomål.docx", "A 46552-2020")</f>
        <v/>
      </c>
      <c r="W55">
        <f>HYPERLINK("https://klasma.github.io/Logging_0680/klagomålsmail/A 46552-2020 FSC-klagomål mail.docx", "A 46552-2020")</f>
        <v/>
      </c>
      <c r="X55">
        <f>HYPERLINK("https://klasma.github.io/Logging_0680/tillsyn/A 46552-2020 tillsynsbegäran.docx", "A 46552-2020")</f>
        <v/>
      </c>
      <c r="Y55">
        <f>HYPERLINK("https://klasma.github.io/Logging_0680/tillsynsmail/A 46552-2020 tillsynsbegäran mail.docx", "A 46552-2020")</f>
        <v/>
      </c>
    </row>
    <row r="56" ht="15" customHeight="1">
      <c r="A56" t="inlineStr">
        <is>
          <t>A 14138-2021</t>
        </is>
      </c>
      <c r="B56" s="1" t="n">
        <v>44278</v>
      </c>
      <c r="C56" s="1" t="n">
        <v>45749</v>
      </c>
      <c r="D56" t="inlineStr">
        <is>
          <t>JÖNKÖPINGS LÄN</t>
        </is>
      </c>
      <c r="E56" t="inlineStr">
        <is>
          <t>JÖNKÖPING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HYPERLINK("https://klasma.github.io/Logging_0680/artfynd/A 14138-2021 artfynd.xlsx", "A 14138-2021")</f>
        <v/>
      </c>
      <c r="T56">
        <f>HYPERLINK("https://klasma.github.io/Logging_0680/kartor/A 14138-2021 karta.png", "A 14138-2021")</f>
        <v/>
      </c>
      <c r="V56">
        <f>HYPERLINK("https://klasma.github.io/Logging_0680/klagomål/A 14138-2021 FSC-klagomål.docx", "A 14138-2021")</f>
        <v/>
      </c>
      <c r="W56">
        <f>HYPERLINK("https://klasma.github.io/Logging_0680/klagomålsmail/A 14138-2021 FSC-klagomål mail.docx", "A 14138-2021")</f>
        <v/>
      </c>
      <c r="X56">
        <f>HYPERLINK("https://klasma.github.io/Logging_0680/tillsyn/A 14138-2021 tillsynsbegäran.docx", "A 14138-2021")</f>
        <v/>
      </c>
      <c r="Y56">
        <f>HYPERLINK("https://klasma.github.io/Logging_0680/tillsynsmail/A 14138-2021 tillsynsbegäran mail.docx", "A 14138-2021")</f>
        <v/>
      </c>
    </row>
    <row r="57" ht="15" customHeight="1">
      <c r="A57" t="inlineStr">
        <is>
          <t>A 26343-2021</t>
        </is>
      </c>
      <c r="B57" s="1" t="n">
        <v>44347</v>
      </c>
      <c r="C57" s="1" t="n">
        <v>45749</v>
      </c>
      <c r="D57" t="inlineStr">
        <is>
          <t>JÖNKÖPINGS LÄN</t>
        </is>
      </c>
      <c r="E57" t="inlineStr">
        <is>
          <t>JÖNKÖPING</t>
        </is>
      </c>
      <c r="G57" t="n">
        <v>0.6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HYPERLINK("https://klasma.github.io/Logging_0680/artfynd/A 26343-2021 artfynd.xlsx", "A 26343-2021")</f>
        <v/>
      </c>
      <c r="T57">
        <f>HYPERLINK("https://klasma.github.io/Logging_0680/kartor/A 26343-2021 karta.png", "A 26343-2021")</f>
        <v/>
      </c>
      <c r="V57">
        <f>HYPERLINK("https://klasma.github.io/Logging_0680/klagomål/A 26343-2021 FSC-klagomål.docx", "A 26343-2021")</f>
        <v/>
      </c>
      <c r="W57">
        <f>HYPERLINK("https://klasma.github.io/Logging_0680/klagomålsmail/A 26343-2021 FSC-klagomål mail.docx", "A 26343-2021")</f>
        <v/>
      </c>
      <c r="X57">
        <f>HYPERLINK("https://klasma.github.io/Logging_0680/tillsyn/A 26343-2021 tillsynsbegäran.docx", "A 26343-2021")</f>
        <v/>
      </c>
      <c r="Y57">
        <f>HYPERLINK("https://klasma.github.io/Logging_0680/tillsynsmail/A 26343-2021 tillsynsbegäran mail.docx", "A 26343-2021")</f>
        <v/>
      </c>
    </row>
    <row r="58" ht="15" customHeight="1">
      <c r="A58" t="inlineStr">
        <is>
          <t>A 38072-2021</t>
        </is>
      </c>
      <c r="B58" s="1" t="n">
        <v>44404</v>
      </c>
      <c r="C58" s="1" t="n">
        <v>45749</v>
      </c>
      <c r="D58" t="inlineStr">
        <is>
          <t>JÖNKÖPINGS LÄN</t>
        </is>
      </c>
      <c r="E58" t="inlineStr">
        <is>
          <t>JÖNKÖPING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38072-2021 artfynd.xlsx", "A 38072-2021")</f>
        <v/>
      </c>
      <c r="T58">
        <f>HYPERLINK("https://klasma.github.io/Logging_0680/kartor/A 38072-2021 karta.png", "A 38072-2021")</f>
        <v/>
      </c>
      <c r="V58">
        <f>HYPERLINK("https://klasma.github.io/Logging_0680/klagomål/A 38072-2021 FSC-klagomål.docx", "A 38072-2021")</f>
        <v/>
      </c>
      <c r="W58">
        <f>HYPERLINK("https://klasma.github.io/Logging_0680/klagomålsmail/A 38072-2021 FSC-klagomål mail.docx", "A 38072-2021")</f>
        <v/>
      </c>
      <c r="X58">
        <f>HYPERLINK("https://klasma.github.io/Logging_0680/tillsyn/A 38072-2021 tillsynsbegäran.docx", "A 38072-2021")</f>
        <v/>
      </c>
      <c r="Y58">
        <f>HYPERLINK("https://klasma.github.io/Logging_0680/tillsynsmail/A 38072-2021 tillsynsbegäran mail.docx", "A 38072-2021")</f>
        <v/>
      </c>
    </row>
    <row r="59" ht="15" customHeight="1">
      <c r="A59" t="inlineStr">
        <is>
          <t>A 40268-2021</t>
        </is>
      </c>
      <c r="B59" s="1" t="n">
        <v>44419</v>
      </c>
      <c r="C59" s="1" t="n">
        <v>45749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HYPERLINK("https://klasma.github.io/Logging_0680/artfynd/A 40268-2021 artfynd.xlsx", "A 40268-2021")</f>
        <v/>
      </c>
      <c r="T59">
        <f>HYPERLINK("https://klasma.github.io/Logging_0680/kartor/A 40268-2021 karta.png", "A 40268-2021")</f>
        <v/>
      </c>
      <c r="V59">
        <f>HYPERLINK("https://klasma.github.io/Logging_0680/klagomål/A 40268-2021 FSC-klagomål.docx", "A 40268-2021")</f>
        <v/>
      </c>
      <c r="W59">
        <f>HYPERLINK("https://klasma.github.io/Logging_0680/klagomålsmail/A 40268-2021 FSC-klagomål mail.docx", "A 40268-2021")</f>
        <v/>
      </c>
      <c r="X59">
        <f>HYPERLINK("https://klasma.github.io/Logging_0680/tillsyn/A 40268-2021 tillsynsbegäran.docx", "A 40268-2021")</f>
        <v/>
      </c>
      <c r="Y59">
        <f>HYPERLINK("https://klasma.github.io/Logging_0680/tillsynsmail/A 40268-2021 tillsynsbegäran mail.docx", "A 40268-2021")</f>
        <v/>
      </c>
    </row>
    <row r="60" ht="15" customHeight="1">
      <c r="A60" t="inlineStr">
        <is>
          <t>A 48001-2021</t>
        </is>
      </c>
      <c r="B60" s="1" t="n">
        <v>44449</v>
      </c>
      <c r="C60" s="1" t="n">
        <v>45749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Sågtandad mycelbagge</t>
        </is>
      </c>
      <c r="S60">
        <f>HYPERLINK("https://klasma.github.io/Logging_0680/artfynd/A 48001-2021 artfynd.xlsx", "A 48001-2021")</f>
        <v/>
      </c>
      <c r="T60">
        <f>HYPERLINK("https://klasma.github.io/Logging_0680/kartor/A 48001-2021 karta.png", "A 48001-2021")</f>
        <v/>
      </c>
      <c r="V60">
        <f>HYPERLINK("https://klasma.github.io/Logging_0680/klagomål/A 48001-2021 FSC-klagomål.docx", "A 48001-2021")</f>
        <v/>
      </c>
      <c r="W60">
        <f>HYPERLINK("https://klasma.github.io/Logging_0680/klagomålsmail/A 48001-2021 FSC-klagomål mail.docx", "A 48001-2021")</f>
        <v/>
      </c>
      <c r="X60">
        <f>HYPERLINK("https://klasma.github.io/Logging_0680/tillsyn/A 48001-2021 tillsynsbegäran.docx", "A 48001-2021")</f>
        <v/>
      </c>
      <c r="Y60">
        <f>HYPERLINK("https://klasma.github.io/Logging_0680/tillsynsmail/A 48001-2021 tillsynsbegäran mail.docx", "A 48001-2021")</f>
        <v/>
      </c>
    </row>
    <row r="61" ht="15" customHeight="1">
      <c r="A61" t="inlineStr">
        <is>
          <t>A 52023-2021</t>
        </is>
      </c>
      <c r="B61" s="1" t="n">
        <v>44463</v>
      </c>
      <c r="C61" s="1" t="n">
        <v>45749</v>
      </c>
      <c r="D61" t="inlineStr">
        <is>
          <t>JÖNKÖPINGS LÄN</t>
        </is>
      </c>
      <c r="E61" t="inlineStr">
        <is>
          <t>JÖNKÖPING</t>
        </is>
      </c>
      <c r="G61" t="n">
        <v>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HYPERLINK("https://klasma.github.io/Logging_0680/artfynd/A 52023-2021 artfynd.xlsx", "A 52023-2021")</f>
        <v/>
      </c>
      <c r="T61">
        <f>HYPERLINK("https://klasma.github.io/Logging_0680/kartor/A 52023-2021 karta.png", "A 52023-2021")</f>
        <v/>
      </c>
      <c r="V61">
        <f>HYPERLINK("https://klasma.github.io/Logging_0680/klagomål/A 52023-2021 FSC-klagomål.docx", "A 52023-2021")</f>
        <v/>
      </c>
      <c r="W61">
        <f>HYPERLINK("https://klasma.github.io/Logging_0680/klagomålsmail/A 52023-2021 FSC-klagomål mail.docx", "A 52023-2021")</f>
        <v/>
      </c>
      <c r="X61">
        <f>HYPERLINK("https://klasma.github.io/Logging_0680/tillsyn/A 52023-2021 tillsynsbegäran.docx", "A 52023-2021")</f>
        <v/>
      </c>
      <c r="Y61">
        <f>HYPERLINK("https://klasma.github.io/Logging_0680/tillsynsmail/A 52023-2021 tillsynsbegäran mail.docx", "A 52023-2021")</f>
        <v/>
      </c>
    </row>
    <row r="62" ht="15" customHeight="1">
      <c r="A62" t="inlineStr">
        <is>
          <t>A 53025-2021</t>
        </is>
      </c>
      <c r="B62" s="1" t="n">
        <v>44467</v>
      </c>
      <c r="C62" s="1" t="n">
        <v>45749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53025-2021 artfynd.xlsx", "A 53025-2021")</f>
        <v/>
      </c>
      <c r="T62">
        <f>HYPERLINK("https://klasma.github.io/Logging_0680/kartor/A 53025-2021 karta.png", "A 53025-2021")</f>
        <v/>
      </c>
      <c r="V62">
        <f>HYPERLINK("https://klasma.github.io/Logging_0680/klagomål/A 53025-2021 FSC-klagomål.docx", "A 53025-2021")</f>
        <v/>
      </c>
      <c r="W62">
        <f>HYPERLINK("https://klasma.github.io/Logging_0680/klagomålsmail/A 53025-2021 FSC-klagomål mail.docx", "A 53025-2021")</f>
        <v/>
      </c>
      <c r="X62">
        <f>HYPERLINK("https://klasma.github.io/Logging_0680/tillsyn/A 53025-2021 tillsynsbegäran.docx", "A 53025-2021")</f>
        <v/>
      </c>
      <c r="Y62">
        <f>HYPERLINK("https://klasma.github.io/Logging_0680/tillsynsmail/A 53025-2021 tillsynsbegäran mail.docx", "A 53025-2021")</f>
        <v/>
      </c>
    </row>
    <row r="63" ht="15" customHeight="1">
      <c r="A63" t="inlineStr">
        <is>
          <t>A 53670-2021</t>
        </is>
      </c>
      <c r="B63" s="1" t="n">
        <v>44469</v>
      </c>
      <c r="C63" s="1" t="n">
        <v>45749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53670-2021 artfynd.xlsx", "A 53670-2021")</f>
        <v/>
      </c>
      <c r="T63">
        <f>HYPERLINK("https://klasma.github.io/Logging_0680/kartor/A 53670-2021 karta.png", "A 53670-2021")</f>
        <v/>
      </c>
      <c r="U63">
        <f>HYPERLINK("https://klasma.github.io/Logging_0680/knärot/A 53670-2021 karta knärot.png", "A 53670-2021")</f>
        <v/>
      </c>
      <c r="V63">
        <f>HYPERLINK("https://klasma.github.io/Logging_0680/klagomål/A 53670-2021 FSC-klagomål.docx", "A 53670-2021")</f>
        <v/>
      </c>
      <c r="W63">
        <f>HYPERLINK("https://klasma.github.io/Logging_0680/klagomålsmail/A 53670-2021 FSC-klagomål mail.docx", "A 53670-2021")</f>
        <v/>
      </c>
      <c r="X63">
        <f>HYPERLINK("https://klasma.github.io/Logging_0680/tillsyn/A 53670-2021 tillsynsbegäran.docx", "A 53670-2021")</f>
        <v/>
      </c>
      <c r="Y63">
        <f>HYPERLINK("https://klasma.github.io/Logging_0680/tillsynsmail/A 53670-2021 tillsynsbegäran mail.docx", "A 53670-2021")</f>
        <v/>
      </c>
    </row>
    <row r="64" ht="15" customHeight="1">
      <c r="A64" t="inlineStr">
        <is>
          <t>A 5254-2022</t>
        </is>
      </c>
      <c r="B64" s="1" t="n">
        <v>44594</v>
      </c>
      <c r="C64" s="1" t="n">
        <v>45749</v>
      </c>
      <c r="D64" t="inlineStr">
        <is>
          <t>JÖNKÖPINGS LÄN</t>
        </is>
      </c>
      <c r="E64" t="inlineStr">
        <is>
          <t>JÖNKÖPING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 vaxskivling</t>
        </is>
      </c>
      <c r="S64">
        <f>HYPERLINK("https://klasma.github.io/Logging_0680/artfynd/A 5254-2022 artfynd.xlsx", "A 5254-2022")</f>
        <v/>
      </c>
      <c r="T64">
        <f>HYPERLINK("https://klasma.github.io/Logging_0680/kartor/A 5254-2022 karta.png", "A 5254-2022")</f>
        <v/>
      </c>
      <c r="V64">
        <f>HYPERLINK("https://klasma.github.io/Logging_0680/klagomål/A 5254-2022 FSC-klagomål.docx", "A 5254-2022")</f>
        <v/>
      </c>
      <c r="W64">
        <f>HYPERLINK("https://klasma.github.io/Logging_0680/klagomålsmail/A 5254-2022 FSC-klagomål mail.docx", "A 5254-2022")</f>
        <v/>
      </c>
      <c r="X64">
        <f>HYPERLINK("https://klasma.github.io/Logging_0680/tillsyn/A 5254-2022 tillsynsbegäran.docx", "A 5254-2022")</f>
        <v/>
      </c>
      <c r="Y64">
        <f>HYPERLINK("https://klasma.github.io/Logging_0680/tillsynsmail/A 5254-2022 tillsynsbegäran mail.docx", "A 5254-2022")</f>
        <v/>
      </c>
    </row>
    <row r="65" ht="15" customHeight="1">
      <c r="A65" t="inlineStr">
        <is>
          <t>A 40772-2022</t>
        </is>
      </c>
      <c r="B65" s="1" t="n">
        <v>44824</v>
      </c>
      <c r="C65" s="1" t="n">
        <v>45749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40772-2022 artfynd.xlsx", "A 40772-2022")</f>
        <v/>
      </c>
      <c r="T65">
        <f>HYPERLINK("https://klasma.github.io/Logging_0680/kartor/A 40772-2022 karta.png", "A 40772-2022")</f>
        <v/>
      </c>
      <c r="V65">
        <f>HYPERLINK("https://klasma.github.io/Logging_0680/klagomål/A 40772-2022 FSC-klagomål.docx", "A 40772-2022")</f>
        <v/>
      </c>
      <c r="W65">
        <f>HYPERLINK("https://klasma.github.io/Logging_0680/klagomålsmail/A 40772-2022 FSC-klagomål mail.docx", "A 40772-2022")</f>
        <v/>
      </c>
      <c r="X65">
        <f>HYPERLINK("https://klasma.github.io/Logging_0680/tillsyn/A 40772-2022 tillsynsbegäran.docx", "A 40772-2022")</f>
        <v/>
      </c>
      <c r="Y65">
        <f>HYPERLINK("https://klasma.github.io/Logging_0680/tillsynsmail/A 40772-2022 tillsynsbegäran mail.docx", "A 40772-2022")</f>
        <v/>
      </c>
    </row>
    <row r="66" ht="15" customHeight="1">
      <c r="A66" t="inlineStr">
        <is>
          <t>A 45366-2022</t>
        </is>
      </c>
      <c r="B66" s="1" t="n">
        <v>44840</v>
      </c>
      <c r="C66" s="1" t="n">
        <v>45749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HYPERLINK("https://klasma.github.io/Logging_0680/artfynd/A 45366-2022 artfynd.xlsx", "A 45366-2022")</f>
        <v/>
      </c>
      <c r="T66">
        <f>HYPERLINK("https://klasma.github.io/Logging_0680/kartor/A 45366-2022 karta.png", "A 45366-2022")</f>
        <v/>
      </c>
      <c r="V66">
        <f>HYPERLINK("https://klasma.github.io/Logging_0680/klagomål/A 45366-2022 FSC-klagomål.docx", "A 45366-2022")</f>
        <v/>
      </c>
      <c r="W66">
        <f>HYPERLINK("https://klasma.github.io/Logging_0680/klagomålsmail/A 45366-2022 FSC-klagomål mail.docx", "A 45366-2022")</f>
        <v/>
      </c>
      <c r="X66">
        <f>HYPERLINK("https://klasma.github.io/Logging_0680/tillsyn/A 45366-2022 tillsynsbegäran.docx", "A 45366-2022")</f>
        <v/>
      </c>
      <c r="Y66">
        <f>HYPERLINK("https://klasma.github.io/Logging_0680/tillsynsmail/A 45366-2022 tillsynsbegäran mail.docx", "A 45366-2022")</f>
        <v/>
      </c>
    </row>
    <row r="67" ht="15" customHeight="1">
      <c r="A67" t="inlineStr">
        <is>
          <t>A 53601-2022</t>
        </is>
      </c>
      <c r="B67" s="1" t="n">
        <v>44879</v>
      </c>
      <c r="C67" s="1" t="n">
        <v>45749</v>
      </c>
      <c r="D67" t="inlineStr">
        <is>
          <t>JÖNKÖPINGS LÄN</t>
        </is>
      </c>
      <c r="E67" t="inlineStr">
        <is>
          <t>JÖNKÖPING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53601-2022 artfynd.xlsx", "A 53601-2022")</f>
        <v/>
      </c>
      <c r="T67">
        <f>HYPERLINK("https://klasma.github.io/Logging_0680/kartor/A 53601-2022 karta.png", "A 53601-2022")</f>
        <v/>
      </c>
      <c r="U67">
        <f>HYPERLINK("https://klasma.github.io/Logging_0680/knärot/A 53601-2022 karta knärot.png", "A 53601-2022")</f>
        <v/>
      </c>
      <c r="V67">
        <f>HYPERLINK("https://klasma.github.io/Logging_0680/klagomål/A 53601-2022 FSC-klagomål.docx", "A 53601-2022")</f>
        <v/>
      </c>
      <c r="W67">
        <f>HYPERLINK("https://klasma.github.io/Logging_0680/klagomålsmail/A 53601-2022 FSC-klagomål mail.docx", "A 53601-2022")</f>
        <v/>
      </c>
      <c r="X67">
        <f>HYPERLINK("https://klasma.github.io/Logging_0680/tillsyn/A 53601-2022 tillsynsbegäran.docx", "A 53601-2022")</f>
        <v/>
      </c>
      <c r="Y67">
        <f>HYPERLINK("https://klasma.github.io/Logging_0680/tillsynsmail/A 53601-2022 tillsynsbegäran mail.docx", "A 53601-2022")</f>
        <v/>
      </c>
    </row>
    <row r="68" ht="15" customHeight="1">
      <c r="A68" t="inlineStr">
        <is>
          <t>A 2486-2023</t>
        </is>
      </c>
      <c r="B68" s="1" t="n">
        <v>44943</v>
      </c>
      <c r="C68" s="1" t="n">
        <v>45749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HYPERLINK("https://klasma.github.io/Logging_0680/artfynd/A 2486-2023 artfynd.xlsx", "A 2486-2023")</f>
        <v/>
      </c>
      <c r="T68">
        <f>HYPERLINK("https://klasma.github.io/Logging_0680/kartor/A 2486-2023 karta.png", "A 2486-2023")</f>
        <v/>
      </c>
      <c r="V68">
        <f>HYPERLINK("https://klasma.github.io/Logging_0680/klagomål/A 2486-2023 FSC-klagomål.docx", "A 2486-2023")</f>
        <v/>
      </c>
      <c r="W68">
        <f>HYPERLINK("https://klasma.github.io/Logging_0680/klagomålsmail/A 2486-2023 FSC-klagomål mail.docx", "A 2486-2023")</f>
        <v/>
      </c>
      <c r="X68">
        <f>HYPERLINK("https://klasma.github.io/Logging_0680/tillsyn/A 2486-2023 tillsynsbegäran.docx", "A 2486-2023")</f>
        <v/>
      </c>
      <c r="Y68">
        <f>HYPERLINK("https://klasma.github.io/Logging_0680/tillsynsmail/A 2486-2023 tillsynsbegäran mail.docx", "A 2486-2023")</f>
        <v/>
      </c>
    </row>
    <row r="69" ht="15" customHeight="1">
      <c r="A69" t="inlineStr">
        <is>
          <t>A 5906-2023</t>
        </is>
      </c>
      <c r="B69" s="1" t="n">
        <v>44963</v>
      </c>
      <c r="C69" s="1" t="n">
        <v>45749</v>
      </c>
      <c r="D69" t="inlineStr">
        <is>
          <t>JÖNKÖPINGS LÄN</t>
        </is>
      </c>
      <c r="E69" t="inlineStr">
        <is>
          <t>JÖNKÖPING</t>
        </is>
      </c>
      <c r="G69" t="n">
        <v>7.7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Storgröe</t>
        </is>
      </c>
      <c r="S69">
        <f>HYPERLINK("https://klasma.github.io/Logging_0680/artfynd/A 5906-2023 artfynd.xlsx", "A 5906-2023")</f>
        <v/>
      </c>
      <c r="T69">
        <f>HYPERLINK("https://klasma.github.io/Logging_0680/kartor/A 5906-2023 karta.png", "A 5906-2023")</f>
        <v/>
      </c>
      <c r="V69">
        <f>HYPERLINK("https://klasma.github.io/Logging_0680/klagomål/A 5906-2023 FSC-klagomål.docx", "A 5906-2023")</f>
        <v/>
      </c>
      <c r="W69">
        <f>HYPERLINK("https://klasma.github.io/Logging_0680/klagomålsmail/A 5906-2023 FSC-klagomål mail.docx", "A 5906-2023")</f>
        <v/>
      </c>
      <c r="X69">
        <f>HYPERLINK("https://klasma.github.io/Logging_0680/tillsyn/A 5906-2023 tillsynsbegäran.docx", "A 5906-2023")</f>
        <v/>
      </c>
      <c r="Y69">
        <f>HYPERLINK("https://klasma.github.io/Logging_0680/tillsynsmail/A 5906-2023 tillsynsbegäran mail.docx", "A 5906-2023")</f>
        <v/>
      </c>
    </row>
    <row r="70" ht="15" customHeight="1">
      <c r="A70" t="inlineStr">
        <is>
          <t>A 11250-2023</t>
        </is>
      </c>
      <c r="B70" s="1" t="n">
        <v>44992</v>
      </c>
      <c r="C70" s="1" t="n">
        <v>45749</v>
      </c>
      <c r="D70" t="inlineStr">
        <is>
          <t>JÖNKÖPINGS LÄN</t>
        </is>
      </c>
      <c r="E70" t="inlineStr">
        <is>
          <t>JÖNKÖPING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HYPERLINK("https://klasma.github.io/Logging_0680/artfynd/A 11250-2023 artfynd.xlsx", "A 11250-2023")</f>
        <v/>
      </c>
      <c r="T70">
        <f>HYPERLINK("https://klasma.github.io/Logging_0680/kartor/A 11250-2023 karta.png", "A 11250-2023")</f>
        <v/>
      </c>
      <c r="V70">
        <f>HYPERLINK("https://klasma.github.io/Logging_0680/klagomål/A 11250-2023 FSC-klagomål.docx", "A 11250-2023")</f>
        <v/>
      </c>
      <c r="W70">
        <f>HYPERLINK("https://klasma.github.io/Logging_0680/klagomålsmail/A 11250-2023 FSC-klagomål mail.docx", "A 11250-2023")</f>
        <v/>
      </c>
      <c r="X70">
        <f>HYPERLINK("https://klasma.github.io/Logging_0680/tillsyn/A 11250-2023 tillsynsbegäran.docx", "A 11250-2023")</f>
        <v/>
      </c>
      <c r="Y70">
        <f>HYPERLINK("https://klasma.github.io/Logging_0680/tillsynsmail/A 11250-2023 tillsynsbegäran mail.docx", "A 11250-2023")</f>
        <v/>
      </c>
      <c r="Z70">
        <f>HYPERLINK("https://klasma.github.io/Logging_0680/fåglar/A 11250-2023 prioriterade fågelarter.docx", "A 11250-2023")</f>
        <v/>
      </c>
    </row>
    <row r="71" ht="15" customHeight="1">
      <c r="A71" t="inlineStr">
        <is>
          <t>A 11256-2023</t>
        </is>
      </c>
      <c r="B71" s="1" t="n">
        <v>44992</v>
      </c>
      <c r="C71" s="1" t="n">
        <v>45749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HYPERLINK("https://klasma.github.io/Logging_0680/artfynd/A 11256-2023 artfynd.xlsx", "A 11256-2023")</f>
        <v/>
      </c>
      <c r="T71">
        <f>HYPERLINK("https://klasma.github.io/Logging_0680/kartor/A 11256-2023 karta.png", "A 11256-2023")</f>
        <v/>
      </c>
      <c r="V71">
        <f>HYPERLINK("https://klasma.github.io/Logging_0680/klagomål/A 11256-2023 FSC-klagomål.docx", "A 11256-2023")</f>
        <v/>
      </c>
      <c r="W71">
        <f>HYPERLINK("https://klasma.github.io/Logging_0680/klagomålsmail/A 11256-2023 FSC-klagomål mail.docx", "A 11256-2023")</f>
        <v/>
      </c>
      <c r="X71">
        <f>HYPERLINK("https://klasma.github.io/Logging_0680/tillsyn/A 11256-2023 tillsynsbegäran.docx", "A 11256-2023")</f>
        <v/>
      </c>
      <c r="Y71">
        <f>HYPERLINK("https://klasma.github.io/Logging_0680/tillsynsmail/A 11256-2023 tillsynsbegäran mail.docx", "A 11256-2023")</f>
        <v/>
      </c>
    </row>
    <row r="72" ht="15" customHeight="1">
      <c r="A72" t="inlineStr">
        <is>
          <t>A 11983-2023</t>
        </is>
      </c>
      <c r="B72" s="1" t="n">
        <v>44994</v>
      </c>
      <c r="C72" s="1" t="n">
        <v>45749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HYPERLINK("https://klasma.github.io/Logging_0680/artfynd/A 11983-2023 artfynd.xlsx", "A 11983-2023")</f>
        <v/>
      </c>
      <c r="T72">
        <f>HYPERLINK("https://klasma.github.io/Logging_0680/kartor/A 11983-2023 karta.png", "A 11983-2023")</f>
        <v/>
      </c>
      <c r="V72">
        <f>HYPERLINK("https://klasma.github.io/Logging_0680/klagomål/A 11983-2023 FSC-klagomål.docx", "A 11983-2023")</f>
        <v/>
      </c>
      <c r="W72">
        <f>HYPERLINK("https://klasma.github.io/Logging_0680/klagomålsmail/A 11983-2023 FSC-klagomål mail.docx", "A 11983-2023")</f>
        <v/>
      </c>
      <c r="X72">
        <f>HYPERLINK("https://klasma.github.io/Logging_0680/tillsyn/A 11983-2023 tillsynsbegäran.docx", "A 11983-2023")</f>
        <v/>
      </c>
      <c r="Y72">
        <f>HYPERLINK("https://klasma.github.io/Logging_0680/tillsynsmail/A 11983-2023 tillsynsbegäran mail.docx", "A 11983-2023")</f>
        <v/>
      </c>
    </row>
    <row r="73" ht="15" customHeight="1">
      <c r="A73" t="inlineStr">
        <is>
          <t>A 12584-2023</t>
        </is>
      </c>
      <c r="B73" s="1" t="n">
        <v>45000</v>
      </c>
      <c r="C73" s="1" t="n">
        <v>45749</v>
      </c>
      <c r="D73" t="inlineStr">
        <is>
          <t>JÖNKÖPINGS LÄN</t>
        </is>
      </c>
      <c r="E73" t="inlineStr">
        <is>
          <t>JÖNKÖPING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12584-2023 artfynd.xlsx", "A 12584-2023")</f>
        <v/>
      </c>
      <c r="T73">
        <f>HYPERLINK("https://klasma.github.io/Logging_0680/kartor/A 12584-2023 karta.png", "A 12584-2023")</f>
        <v/>
      </c>
      <c r="V73">
        <f>HYPERLINK("https://klasma.github.io/Logging_0680/klagomål/A 12584-2023 FSC-klagomål.docx", "A 12584-2023")</f>
        <v/>
      </c>
      <c r="W73">
        <f>HYPERLINK("https://klasma.github.io/Logging_0680/klagomålsmail/A 12584-2023 FSC-klagomål mail.docx", "A 12584-2023")</f>
        <v/>
      </c>
      <c r="X73">
        <f>HYPERLINK("https://klasma.github.io/Logging_0680/tillsyn/A 12584-2023 tillsynsbegäran.docx", "A 12584-2023")</f>
        <v/>
      </c>
      <c r="Y73">
        <f>HYPERLINK("https://klasma.github.io/Logging_0680/tillsynsmail/A 12584-2023 tillsynsbegäran mail.docx", "A 12584-2023")</f>
        <v/>
      </c>
      <c r="Z73">
        <f>HYPERLINK("https://klasma.github.io/Logging_0680/fåglar/A 12584-2023 prioriterade fågelarter.docx", "A 12584-2023")</f>
        <v/>
      </c>
    </row>
    <row r="74" ht="15" customHeight="1">
      <c r="A74" t="inlineStr">
        <is>
          <t>A 14369-2023</t>
        </is>
      </c>
      <c r="B74" s="1" t="n">
        <v>45012</v>
      </c>
      <c r="C74" s="1" t="n">
        <v>45749</v>
      </c>
      <c r="D74" t="inlineStr">
        <is>
          <t>JÖNKÖPINGS LÄN</t>
        </is>
      </c>
      <c r="E74" t="inlineStr">
        <is>
          <t>JÖNKÖPING</t>
        </is>
      </c>
      <c r="G74" t="n">
        <v>8.9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HYPERLINK("https://klasma.github.io/Logging_0680/artfynd/A 14369-2023 artfynd.xlsx", "A 14369-2023")</f>
        <v/>
      </c>
      <c r="T74">
        <f>HYPERLINK("https://klasma.github.io/Logging_0680/kartor/A 14369-2023 karta.png", "A 14369-2023")</f>
        <v/>
      </c>
      <c r="V74">
        <f>HYPERLINK("https://klasma.github.io/Logging_0680/klagomål/A 14369-2023 FSC-klagomål.docx", "A 14369-2023")</f>
        <v/>
      </c>
      <c r="W74">
        <f>HYPERLINK("https://klasma.github.io/Logging_0680/klagomålsmail/A 14369-2023 FSC-klagomål mail.docx", "A 14369-2023")</f>
        <v/>
      </c>
      <c r="X74">
        <f>HYPERLINK("https://klasma.github.io/Logging_0680/tillsyn/A 14369-2023 tillsynsbegäran.docx", "A 14369-2023")</f>
        <v/>
      </c>
      <c r="Y74">
        <f>HYPERLINK("https://klasma.github.io/Logging_0680/tillsynsmail/A 14369-2023 tillsynsbegäran mail.docx", "A 14369-2023")</f>
        <v/>
      </c>
    </row>
    <row r="75" ht="15" customHeight="1">
      <c r="A75" t="inlineStr">
        <is>
          <t>A 31519-2023</t>
        </is>
      </c>
      <c r="B75" s="1" t="n">
        <v>45116</v>
      </c>
      <c r="C75" s="1" t="n">
        <v>45749</v>
      </c>
      <c r="D75" t="inlineStr">
        <is>
          <t>JÖNKÖPINGS LÄN</t>
        </is>
      </c>
      <c r="E75" t="inlineStr">
        <is>
          <t>JÖNKÖPING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HYPERLINK("https://klasma.github.io/Logging_0680/artfynd/A 31519-2023 artfynd.xlsx", "A 31519-2023")</f>
        <v/>
      </c>
      <c r="T75">
        <f>HYPERLINK("https://klasma.github.io/Logging_0680/kartor/A 31519-2023 karta.png", "A 31519-2023")</f>
        <v/>
      </c>
      <c r="V75">
        <f>HYPERLINK("https://klasma.github.io/Logging_0680/klagomål/A 31519-2023 FSC-klagomål.docx", "A 31519-2023")</f>
        <v/>
      </c>
      <c r="W75">
        <f>HYPERLINK("https://klasma.github.io/Logging_0680/klagomålsmail/A 31519-2023 FSC-klagomål mail.docx", "A 31519-2023")</f>
        <v/>
      </c>
      <c r="X75">
        <f>HYPERLINK("https://klasma.github.io/Logging_0680/tillsyn/A 31519-2023 tillsynsbegäran.docx", "A 31519-2023")</f>
        <v/>
      </c>
      <c r="Y75">
        <f>HYPERLINK("https://klasma.github.io/Logging_0680/tillsynsmail/A 31519-2023 tillsynsbegäran mail.docx", "A 31519-2023")</f>
        <v/>
      </c>
    </row>
    <row r="76" ht="15" customHeight="1">
      <c r="A76" t="inlineStr">
        <is>
          <t>A 32744-2023</t>
        </is>
      </c>
      <c r="B76" s="1" t="n">
        <v>45122</v>
      </c>
      <c r="C76" s="1" t="n">
        <v>45749</v>
      </c>
      <c r="D76" t="inlineStr">
        <is>
          <t>JÖNKÖPINGS LÄN</t>
        </is>
      </c>
      <c r="E76" t="inlineStr">
        <is>
          <t>JÖNKÖPING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32744-2023 artfynd.xlsx", "A 32744-2023")</f>
        <v/>
      </c>
      <c r="T76">
        <f>HYPERLINK("https://klasma.github.io/Logging_0680/kartor/A 32744-2023 karta.png", "A 32744-2023")</f>
        <v/>
      </c>
      <c r="V76">
        <f>HYPERLINK("https://klasma.github.io/Logging_0680/klagomål/A 32744-2023 FSC-klagomål.docx", "A 32744-2023")</f>
        <v/>
      </c>
      <c r="W76">
        <f>HYPERLINK("https://klasma.github.io/Logging_0680/klagomålsmail/A 32744-2023 FSC-klagomål mail.docx", "A 32744-2023")</f>
        <v/>
      </c>
      <c r="X76">
        <f>HYPERLINK("https://klasma.github.io/Logging_0680/tillsyn/A 32744-2023 tillsynsbegäran.docx", "A 32744-2023")</f>
        <v/>
      </c>
      <c r="Y76">
        <f>HYPERLINK("https://klasma.github.io/Logging_0680/tillsynsmail/A 32744-2023 tillsynsbegäran mail.docx", "A 32744-2023")</f>
        <v/>
      </c>
    </row>
    <row r="77" ht="15" customHeight="1">
      <c r="A77" t="inlineStr">
        <is>
          <t>A 39194-2023</t>
        </is>
      </c>
      <c r="B77" s="1" t="n">
        <v>45166</v>
      </c>
      <c r="C77" s="1" t="n">
        <v>45749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HYPERLINK("https://klasma.github.io/Logging_0680/artfynd/A 39194-2023 artfynd.xlsx", "A 39194-2023")</f>
        <v/>
      </c>
      <c r="T77">
        <f>HYPERLINK("https://klasma.github.io/Logging_0680/kartor/A 39194-2023 karta.png", "A 39194-2023")</f>
        <v/>
      </c>
      <c r="V77">
        <f>HYPERLINK("https://klasma.github.io/Logging_0680/klagomål/A 39194-2023 FSC-klagomål.docx", "A 39194-2023")</f>
        <v/>
      </c>
      <c r="W77">
        <f>HYPERLINK("https://klasma.github.io/Logging_0680/klagomålsmail/A 39194-2023 FSC-klagomål mail.docx", "A 39194-2023")</f>
        <v/>
      </c>
      <c r="X77">
        <f>HYPERLINK("https://klasma.github.io/Logging_0680/tillsyn/A 39194-2023 tillsynsbegäran.docx", "A 39194-2023")</f>
        <v/>
      </c>
      <c r="Y77">
        <f>HYPERLINK("https://klasma.github.io/Logging_0680/tillsynsmail/A 39194-2023 tillsynsbegäran mail.docx", "A 39194-2023")</f>
        <v/>
      </c>
    </row>
    <row r="78" ht="15" customHeight="1">
      <c r="A78" t="inlineStr">
        <is>
          <t>A 48114-2023</t>
        </is>
      </c>
      <c r="B78" s="1" t="n">
        <v>45205</v>
      </c>
      <c r="C78" s="1" t="n">
        <v>45749</v>
      </c>
      <c r="D78" t="inlineStr">
        <is>
          <t>JÖNKÖPINGS LÄN</t>
        </is>
      </c>
      <c r="E78" t="inlineStr">
        <is>
          <t>JÖNKÖPING</t>
        </is>
      </c>
      <c r="G78" t="n">
        <v>9.300000000000001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HYPERLINK("https://klasma.github.io/Logging_0680/artfynd/A 48114-2023 artfynd.xlsx", "A 48114-2023")</f>
        <v/>
      </c>
      <c r="T78">
        <f>HYPERLINK("https://klasma.github.io/Logging_0680/kartor/A 48114-2023 karta.png", "A 48114-2023")</f>
        <v/>
      </c>
      <c r="V78">
        <f>HYPERLINK("https://klasma.github.io/Logging_0680/klagomål/A 48114-2023 FSC-klagomål.docx", "A 48114-2023")</f>
        <v/>
      </c>
      <c r="W78">
        <f>HYPERLINK("https://klasma.github.io/Logging_0680/klagomålsmail/A 48114-2023 FSC-klagomål mail.docx", "A 48114-2023")</f>
        <v/>
      </c>
      <c r="X78">
        <f>HYPERLINK("https://klasma.github.io/Logging_0680/tillsyn/A 48114-2023 tillsynsbegäran.docx", "A 48114-2023")</f>
        <v/>
      </c>
      <c r="Y78">
        <f>HYPERLINK("https://klasma.github.io/Logging_0680/tillsynsmail/A 48114-2023 tillsynsbegäran mail.docx", "A 48114-2023")</f>
        <v/>
      </c>
    </row>
    <row r="79" ht="15" customHeight="1">
      <c r="A79" t="inlineStr">
        <is>
          <t>A 52854-2023</t>
        </is>
      </c>
      <c r="B79" s="1" t="n">
        <v>45226</v>
      </c>
      <c r="C79" s="1" t="n">
        <v>45749</v>
      </c>
      <c r="D79" t="inlineStr">
        <is>
          <t>JÖNKÖPINGS LÄN</t>
        </is>
      </c>
      <c r="E79" t="inlineStr">
        <is>
          <t>JÖNKÖPING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HYPERLINK("https://klasma.github.io/Logging_0680/artfynd/A 52854-2023 artfynd.xlsx", "A 52854-2023")</f>
        <v/>
      </c>
      <c r="T79">
        <f>HYPERLINK("https://klasma.github.io/Logging_0680/kartor/A 52854-2023 karta.png", "A 52854-2023")</f>
        <v/>
      </c>
      <c r="V79">
        <f>HYPERLINK("https://klasma.github.io/Logging_0680/klagomål/A 52854-2023 FSC-klagomål.docx", "A 52854-2023")</f>
        <v/>
      </c>
      <c r="W79">
        <f>HYPERLINK("https://klasma.github.io/Logging_0680/klagomålsmail/A 52854-2023 FSC-klagomål mail.docx", "A 52854-2023")</f>
        <v/>
      </c>
      <c r="X79">
        <f>HYPERLINK("https://klasma.github.io/Logging_0680/tillsyn/A 52854-2023 tillsynsbegäran.docx", "A 52854-2023")</f>
        <v/>
      </c>
      <c r="Y79">
        <f>HYPERLINK("https://klasma.github.io/Logging_0680/tillsynsmail/A 52854-2023 tillsynsbegäran mail.docx", "A 52854-2023")</f>
        <v/>
      </c>
    </row>
    <row r="80" ht="15" customHeight="1">
      <c r="A80" t="inlineStr">
        <is>
          <t>A 60690-2023</t>
        </is>
      </c>
      <c r="B80" s="1" t="n">
        <v>45260</v>
      </c>
      <c r="C80" s="1" t="n">
        <v>45749</v>
      </c>
      <c r="D80" t="inlineStr">
        <is>
          <t>JÖNKÖPINGS LÄN</t>
        </is>
      </c>
      <c r="E80" t="inlineStr">
        <is>
          <t>JÖNKÖPING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HYPERLINK("https://klasma.github.io/Logging_0680/artfynd/A 60690-2023 artfynd.xlsx", "A 60690-2023")</f>
        <v/>
      </c>
      <c r="T80">
        <f>HYPERLINK("https://klasma.github.io/Logging_0680/kartor/A 60690-2023 karta.png", "A 60690-2023")</f>
        <v/>
      </c>
      <c r="V80">
        <f>HYPERLINK("https://klasma.github.io/Logging_0680/klagomål/A 60690-2023 FSC-klagomål.docx", "A 60690-2023")</f>
        <v/>
      </c>
      <c r="W80">
        <f>HYPERLINK("https://klasma.github.io/Logging_0680/klagomålsmail/A 60690-2023 FSC-klagomål mail.docx", "A 60690-2023")</f>
        <v/>
      </c>
      <c r="X80">
        <f>HYPERLINK("https://klasma.github.io/Logging_0680/tillsyn/A 60690-2023 tillsynsbegäran.docx", "A 60690-2023")</f>
        <v/>
      </c>
      <c r="Y80">
        <f>HYPERLINK("https://klasma.github.io/Logging_0680/tillsynsmail/A 60690-2023 tillsynsbegäran mail.docx", "A 60690-2023")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45749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HYPERLINK("https://klasma.github.io/Logging_060680/artfynd/A 14221-2025 artfynd.xlsx", "A 14221-2025")</f>
        <v/>
      </c>
      <c r="T103">
        <f>HYPERLINK("https://klasma.github.io/Logging_060680/kartor/A 14221-2025 karta.png", "A 14221-2025")</f>
        <v/>
      </c>
      <c r="V103">
        <f>HYPERLINK("https://klasma.github.io/Logging_060680/klagomål/A 14221-2025 FSC-klagomål.docx", "A 14221-2025")</f>
        <v/>
      </c>
      <c r="W103">
        <f>HYPERLINK("https://klasma.github.io/Logging_060680/klagomålsmail/A 14221-2025 FSC-klagomål mail.docx", "A 14221-2025")</f>
        <v/>
      </c>
      <c r="X103">
        <f>HYPERLINK("https://klasma.github.io/Logging_060680/tillsyn/A 14221-2025 tillsynsbegäran.docx", "A 14221-2025")</f>
        <v/>
      </c>
      <c r="Y103">
        <f>HYPERLINK("https://klasma.github.io/Logging_060680/tillsynsmail/A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45749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45749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45749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45749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45749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45749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45749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45749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45749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45749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45749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45749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45749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45749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45749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45749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45749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45749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45749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45749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45749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45749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45749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45749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45749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45749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45749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45749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45749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45749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45749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45749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45749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45749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45749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45749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45749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45749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45749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45749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45749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45749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45749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45749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45749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45749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45749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45749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45749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45749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45749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45749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45749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45749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45749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45749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45749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45749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45749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45749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45749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45749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45749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45749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45749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45749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45749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45749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45749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45749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45749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45749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45749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45749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45749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45749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45749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45749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45749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45749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45749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45749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45749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45749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45749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45749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45749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45749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45749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45749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45749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45749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45749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45749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45749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45749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45749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45749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45749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45749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45749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45749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45749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45749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45749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45749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45749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45749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45749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45749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45749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45749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45749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45749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45749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45749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45749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45749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45749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45749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45749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45749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45749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45749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45749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45749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45749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45749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45749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45749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45749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45749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45749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45749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45749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45749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45749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45749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45749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45749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45749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45749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45749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45749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45749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45749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45749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45749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45749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45749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45749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45749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45749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45749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45749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45749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45749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45749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45749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45749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45749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45749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45749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45749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45749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45749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45749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45749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45749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45749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45749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45749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45749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45749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45749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45749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45749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45749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45749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45749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45749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45749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45749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45749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45749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45749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45749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45749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45749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45749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45749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45749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45749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45749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45749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45749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45749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45749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45749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45749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45749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45749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45749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45749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45749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45749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45749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45749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45749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45749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45749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45749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45749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45749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45749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45749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45749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45749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45749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45749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45749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45749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45749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45749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45749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45749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45749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45749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45749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45749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45749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45749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45749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45749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45749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45749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45749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45749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45749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45749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45749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45749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45749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45749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45749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45749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45749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45749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45749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45749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45749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45749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45749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45749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45749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45749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45749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45749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45749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45749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45749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45749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45749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45749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45749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45749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45749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45749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45749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45749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45749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45749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45749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45749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45749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45749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45749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45749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45749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45749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45749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45749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45749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45749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45749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45749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45749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45749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45749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45749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45749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45749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45749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45749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45749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45749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45749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45749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45749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45749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45749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45749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45749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45749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45749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45749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45749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45749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45749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45749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45749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45749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45749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45749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45749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45749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45749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45749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45749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45749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45749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45749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45749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45749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45749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45749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45749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45749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45749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45749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45749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45749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45749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45749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45749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45749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45749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45749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45749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45749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45749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45749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45749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45749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45749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45749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45749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45749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45749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45749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45749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45749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45749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45749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45749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45749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45749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45749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45749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45749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45749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45749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45749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45749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45749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45749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45749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45749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45749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45749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45749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45749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45749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45749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45749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45749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45749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45749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45749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45749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45749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45749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45749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45749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45749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45749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45749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45749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45749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45749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45749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45749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45749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45749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45749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45749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45749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45749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45749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45749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45749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45749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45749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45749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45749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45749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45749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45749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45749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45749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45749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45749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45749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45749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45749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45749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45749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45749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45749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45749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45749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45749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45749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45749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45749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45749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45749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45749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45749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45749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45749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45749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45749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45749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45749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45749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45749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45749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45749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45749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45749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45749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45749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45749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45749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45749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45749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45749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45749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45749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45749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45749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45749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45749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45749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45749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45749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45749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45749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45749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45749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45749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45749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45749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45749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45749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45749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45749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45749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45749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45749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45749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45749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45749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45749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45749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45749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45749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45749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45749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45749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45749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45749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45749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45749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45749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45749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45749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45749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45749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45749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45749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45749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45749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45749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45749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45749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45749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45749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45749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45749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45749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45749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45749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45749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45749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45749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45749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45749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45749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45749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45749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45749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45749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45749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45749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45749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45749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45749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45749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45749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45749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45749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45749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45749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45749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45749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45749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45749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45749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45749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45749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45749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45749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45749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45749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45749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45749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45749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45749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45749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45749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45749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45749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45749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45749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45749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45749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45749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45749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45749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45749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45749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45749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45749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45749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45749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45749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45749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45749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45749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45749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45749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45749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45749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45749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45749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45749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45749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45749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45749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45749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45749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45749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45749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45749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45749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45749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45749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45749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45749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45749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45749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45749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45749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45749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45749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45749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45749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45749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45749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45749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45749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45749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45749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45749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45749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45749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45749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45749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45749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45749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45749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45749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45749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45749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45749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45749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45749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45749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45749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45749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45749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45749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45749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45749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45749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45749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45749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45749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45749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45749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45749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45749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45749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45749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45749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45749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45749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45749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45749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45749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45749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45749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45749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45749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45749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45749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45749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45749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45749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45749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45749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45749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45749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45749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45749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45749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45749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45749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45749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45749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45749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45749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45749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45749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45749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45749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45749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45749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45749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45749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45749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45749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45749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45749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45749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45749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45749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45749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45749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45749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45749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45749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45749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45749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45749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45749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45749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45749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45749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45749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45749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45749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45749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45749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45749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45749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45749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45749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45749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45749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45749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45749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45749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45749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45749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45749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45749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45749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45749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45749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45749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45749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45749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45749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45749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45749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45749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45749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45749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45749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45749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45749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45749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45749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45749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45749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45749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45749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45749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45749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45749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45749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45749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45749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45749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45749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45749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45749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45749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45749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45749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45749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45749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45749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45749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45749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45749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45749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45749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45749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45749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45749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45749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45749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45749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45749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45749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45749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45749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45749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45749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45749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45749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45749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45749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45749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45749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45749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45749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45749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45749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45749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45749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45749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45749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45749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45749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45749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45749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45749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45749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45749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45749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45749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45749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45749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45749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45749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45749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45749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45749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45749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45749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45749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45749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45749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45749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45749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45749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45749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45749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45749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45749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45749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45749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45749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45749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45749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45749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45749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45749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45749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45749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45749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45749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45749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45749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45749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45749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45749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45749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45749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45749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45749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45749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45749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45749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45749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45749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45749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45749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45749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45749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45749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45749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45749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45749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45749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45749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45749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45749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45749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45749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45749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45749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45749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45749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45749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45749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45749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45749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45749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45749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45749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45749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45749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45749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45749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45749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45749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45749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45749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45749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45749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45749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45749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45749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45749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45749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45749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45749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45749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45749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45749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45749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45749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45749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45749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45749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45749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45749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45749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45749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45749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45749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45749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45749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45749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45749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45749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45749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45749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45749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45749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45749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45749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45749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45749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45749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45749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45749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45749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45749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45749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45749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45749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45749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45749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45749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45749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45749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45749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45749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45749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45749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45749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45749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45749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45749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45749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45749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45749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45749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45749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45749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45749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45749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45749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45749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45749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45749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45749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45749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45749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45749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45749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45749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45749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45749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45749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45749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45749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45749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45749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45749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45749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45749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45749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45749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45749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45749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45749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45749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45749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45749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45749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45749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45749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45749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45749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45749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45749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45749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45749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45749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45749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45749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45749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45749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45749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45749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45749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45749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45749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45749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45749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45749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45749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45749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45749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45749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45749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45749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45749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45749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45749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45749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45749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45749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45749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45749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45749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45749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45749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45749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45749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45749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45749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45749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45749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45749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45749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45749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45749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45749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45749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45749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45749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45749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45749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45749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45749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45749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45749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45749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45749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45749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45749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45749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45749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45749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45749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45749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45749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45749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45749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45749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45749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45749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45749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45749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45749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45749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45749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45749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45749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45749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45749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45749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45749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45749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45749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45749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45749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45749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45749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45749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45749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45749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45749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45749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45749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45749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45749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45749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45749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45749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45749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45749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45749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45749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45749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45749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45749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45749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45749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45749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45749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45749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45749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45749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45749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45749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45749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45749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45749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45749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45749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45749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45749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45749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45749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45749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45749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45749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45749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45749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45749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45749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45749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45749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45749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45749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45749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45749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45749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45749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45749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45749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45749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45749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45749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45749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45749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45749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45749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45749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45749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45749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45749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45749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45749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45749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45749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45749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45749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45749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45749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45749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45749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45749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45749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45749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45749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45749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45749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45749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45749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45749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45749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45749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45749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45749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45749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45749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45749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45749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45749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45749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45749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45749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45749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45749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45749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45749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45749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45749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45749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45749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45749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45749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45749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45749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45749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45749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45749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45749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45749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45749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45749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45749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45749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45749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45749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45749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45749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45749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45749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45749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45749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45749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45749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45749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45749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45749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45749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45749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45749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45749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45749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45749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45749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45749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45749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45749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45749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45749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45749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45749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45749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45749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45749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45749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45749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45749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45749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45749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45749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45749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45749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45749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45749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45749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45749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45749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45749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45749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45749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45749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45749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45749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45749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45749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45749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45749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45749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45749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45749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45749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45749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45749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45749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45749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45749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45749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45749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45749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45749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45749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45749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45749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45749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45749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45749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45749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45749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45749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45749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45749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45749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45749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45749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45749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45749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45749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45749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45749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45749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45749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45749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45749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45749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45749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45749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45749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45749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45749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45749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45749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45749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45749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45749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45749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45749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45749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45749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45749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45749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45749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45749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45749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45749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45749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45749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45749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45749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45749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45749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45749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45749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45749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45749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45749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45749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45749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45749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45749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45749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45749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45749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45749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45749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45749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45749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45749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45749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45749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45749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45749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45749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45749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45749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45749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45749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45749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45749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45749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45749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45749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45749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45749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45749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45749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45749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45749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45749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45749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45749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45749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45749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45749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45749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45749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45749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45749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45749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45749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45749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45749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45749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45749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45749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45749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45749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45749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45749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45749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45749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45749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45749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45749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45749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45749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45749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45749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45749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45749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45749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45749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45749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45749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45749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45749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45749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45749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45749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45749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45749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45749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45749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45749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45749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45749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45749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45749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45749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45749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45749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45749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45749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45749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45749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45749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45749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45749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45749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45749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45749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45749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45749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45749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45749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45749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45749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45749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45749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45749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45749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45749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45749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45749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45749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11311-2025</t>
        </is>
      </c>
      <c r="B1489" s="1" t="n">
        <v>45726</v>
      </c>
      <c r="C1489" s="1" t="n">
        <v>45749</v>
      </c>
      <c r="D1489" t="inlineStr">
        <is>
          <t>JÖNKÖPINGS LÄN</t>
        </is>
      </c>
      <c r="E1489" t="inlineStr">
        <is>
          <t>JÖNKÖPING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11684-2025</t>
        </is>
      </c>
      <c r="B1490" s="1" t="n">
        <v>45727</v>
      </c>
      <c r="C1490" s="1" t="n">
        <v>45749</v>
      </c>
      <c r="D1490" t="inlineStr">
        <is>
          <t>JÖNKÖPINGS LÄN</t>
        </is>
      </c>
      <c r="E1490" t="inlineStr">
        <is>
          <t>JÖNKÖPING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45749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11527-2025</t>
        </is>
      </c>
      <c r="B1492" s="1" t="n">
        <v>45727</v>
      </c>
      <c r="C1492" s="1" t="n">
        <v>45749</v>
      </c>
      <c r="D1492" t="inlineStr">
        <is>
          <t>JÖNKÖPINGS LÄN</t>
        </is>
      </c>
      <c r="E1492" t="inlineStr">
        <is>
          <t>JÖNKÖPING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45749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11561-2025</t>
        </is>
      </c>
      <c r="B1494" s="1" t="n">
        <v>45727</v>
      </c>
      <c r="C1494" s="1" t="n">
        <v>45749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45749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45749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12376-2025</t>
        </is>
      </c>
      <c r="B1497" s="1" t="n">
        <v>45730</v>
      </c>
      <c r="C1497" s="1" t="n">
        <v>45749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12416-2025</t>
        </is>
      </c>
      <c r="B1498" s="1" t="n">
        <v>45730</v>
      </c>
      <c r="C1498" s="1" t="n">
        <v>45749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45749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12932-2025</t>
        </is>
      </c>
      <c r="B1500" s="1" t="n">
        <v>45734</v>
      </c>
      <c r="C1500" s="1" t="n">
        <v>45749</v>
      </c>
      <c r="D1500" t="inlineStr">
        <is>
          <t>JÖNKÖPINGS LÄN</t>
        </is>
      </c>
      <c r="E1500" t="inlineStr">
        <is>
          <t>JÖNKÖPING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45749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13061-2025</t>
        </is>
      </c>
      <c r="B1502" s="1" t="n">
        <v>45734</v>
      </c>
      <c r="C1502" s="1" t="n">
        <v>45749</v>
      </c>
      <c r="D1502" t="inlineStr">
        <is>
          <t>JÖNKÖPINGS LÄN</t>
        </is>
      </c>
      <c r="E1502" t="inlineStr">
        <is>
          <t>JÖNKÖPING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12933-2025</t>
        </is>
      </c>
      <c r="B1503" s="1" t="n">
        <v>45734</v>
      </c>
      <c r="C1503" s="1" t="n">
        <v>45749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13136-2025</t>
        </is>
      </c>
      <c r="B1504" s="1" t="n">
        <v>45735</v>
      </c>
      <c r="C1504" s="1" t="n">
        <v>45749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13369-2025</t>
        </is>
      </c>
      <c r="B1505" s="1" t="n">
        <v>45735</v>
      </c>
      <c r="C1505" s="1" t="n">
        <v>45749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13404-2025</t>
        </is>
      </c>
      <c r="B1506" s="1" t="n">
        <v>45735</v>
      </c>
      <c r="C1506" s="1" t="n">
        <v>45749</v>
      </c>
      <c r="D1506" t="inlineStr">
        <is>
          <t>JÖNKÖPINGS LÄN</t>
        </is>
      </c>
      <c r="E1506" t="inlineStr">
        <is>
          <t>JÖNKÖPING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13405-2025</t>
        </is>
      </c>
      <c r="B1507" s="1" t="n">
        <v>45735</v>
      </c>
      <c r="C1507" s="1" t="n">
        <v>45749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13144-2025</t>
        </is>
      </c>
      <c r="B1508" s="1" t="n">
        <v>45735</v>
      </c>
      <c r="C1508" s="1" t="n">
        <v>45749</v>
      </c>
      <c r="D1508" t="inlineStr">
        <is>
          <t>JÖNKÖPINGS LÄN</t>
        </is>
      </c>
      <c r="E1508" t="inlineStr">
        <is>
          <t>JÖNKÖPING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13644-2025</t>
        </is>
      </c>
      <c r="B1509" s="1" t="n">
        <v>45736</v>
      </c>
      <c r="C1509" s="1" t="n">
        <v>45749</v>
      </c>
      <c r="D1509" t="inlineStr">
        <is>
          <t>JÖNKÖPINGS LÄN</t>
        </is>
      </c>
      <c r="E1509" t="inlineStr">
        <is>
          <t>JÖNKÖPING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13734-2025</t>
        </is>
      </c>
      <c r="B1510" s="1" t="n">
        <v>45736</v>
      </c>
      <c r="C1510" s="1" t="n">
        <v>45749</v>
      </c>
      <c r="D1510" t="inlineStr">
        <is>
          <t>JÖNKÖPINGS LÄN</t>
        </is>
      </c>
      <c r="E1510" t="inlineStr">
        <is>
          <t>JÖNKÖPING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45749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14228-2025</t>
        </is>
      </c>
      <c r="B1512" s="1" t="n">
        <v>45740</v>
      </c>
      <c r="C1512" s="1" t="n">
        <v>45749</v>
      </c>
      <c r="D1512" t="inlineStr">
        <is>
          <t>JÖNKÖPINGS LÄN</t>
        </is>
      </c>
      <c r="E1512" t="inlineStr">
        <is>
          <t>JÖNKÖPING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14225-2025</t>
        </is>
      </c>
      <c r="B1513" s="1" t="n">
        <v>45740</v>
      </c>
      <c r="C1513" s="1" t="n">
        <v>45749</v>
      </c>
      <c r="D1513" t="inlineStr">
        <is>
          <t>JÖNKÖPINGS LÄN</t>
        </is>
      </c>
      <c r="E1513" t="inlineStr">
        <is>
          <t>JÖNKÖPING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14333-2025</t>
        </is>
      </c>
      <c r="B1514" s="1" t="n">
        <v>45740</v>
      </c>
      <c r="C1514" s="1" t="n">
        <v>45749</v>
      </c>
      <c r="D1514" t="inlineStr">
        <is>
          <t>JÖNKÖPINGS LÄN</t>
        </is>
      </c>
      <c r="E1514" t="inlineStr">
        <is>
          <t>JÖNKÖPING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14330-2025</t>
        </is>
      </c>
      <c r="B1515" s="1" t="n">
        <v>45740</v>
      </c>
      <c r="C1515" s="1" t="n">
        <v>45749</v>
      </c>
      <c r="D1515" t="inlineStr">
        <is>
          <t>JÖNKÖPINGS LÄN</t>
        </is>
      </c>
      <c r="E1515" t="inlineStr">
        <is>
          <t>JÖNKÖPING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14335-2025</t>
        </is>
      </c>
      <c r="B1516" s="1" t="n">
        <v>45740</v>
      </c>
      <c r="C1516" s="1" t="n">
        <v>45749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14543-2025</t>
        </is>
      </c>
      <c r="B1517" s="1" t="n">
        <v>45741</v>
      </c>
      <c r="C1517" s="1" t="n">
        <v>45749</v>
      </c>
      <c r="D1517" t="inlineStr">
        <is>
          <t>JÖNKÖPINGS LÄN</t>
        </is>
      </c>
      <c r="E1517" t="inlineStr">
        <is>
          <t>JÖNKÖPING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14532-2025</t>
        </is>
      </c>
      <c r="B1518" s="1" t="n">
        <v>45741</v>
      </c>
      <c r="C1518" s="1" t="n">
        <v>45749</v>
      </c>
      <c r="D1518" t="inlineStr">
        <is>
          <t>JÖNKÖPINGS LÄN</t>
        </is>
      </c>
      <c r="E1518" t="inlineStr">
        <is>
          <t>JÖNKÖPING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14972-2025</t>
        </is>
      </c>
      <c r="B1519" s="1" t="n">
        <v>45743</v>
      </c>
      <c r="C1519" s="1" t="n">
        <v>45749</v>
      </c>
      <c r="D1519" t="inlineStr">
        <is>
          <t>JÖNKÖPINGS LÄN</t>
        </is>
      </c>
      <c r="E1519" t="inlineStr">
        <is>
          <t>JÖNKÖPING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14982-2025</t>
        </is>
      </c>
      <c r="B1520" s="1" t="n">
        <v>45743</v>
      </c>
      <c r="C1520" s="1" t="n">
        <v>45749</v>
      </c>
      <c r="D1520" t="inlineStr">
        <is>
          <t>JÖNKÖPINGS LÄN</t>
        </is>
      </c>
      <c r="E1520" t="inlineStr">
        <is>
          <t>JÖNKÖPING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15415-2025</t>
        </is>
      </c>
      <c r="B1521" s="1" t="n">
        <v>45747</v>
      </c>
      <c r="C1521" s="1" t="n">
        <v>45749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15403-2025</t>
        </is>
      </c>
      <c r="B1522" s="1" t="n">
        <v>45747</v>
      </c>
      <c r="C1522" s="1" t="n">
        <v>45749</v>
      </c>
      <c r="D1522" t="inlineStr">
        <is>
          <t>JÖNKÖPINGS LÄN</t>
        </is>
      </c>
      <c r="E1522" t="inlineStr">
        <is>
          <t>JÖNKÖPING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45749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15410-2025</t>
        </is>
      </c>
      <c r="B1524" s="1" t="n">
        <v>45747</v>
      </c>
      <c r="C1524" s="1" t="n">
        <v>45749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15412-2025</t>
        </is>
      </c>
      <c r="B1525" s="1" t="n">
        <v>45747</v>
      </c>
      <c r="C1525" s="1" t="n">
        <v>45749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15567-2025</t>
        </is>
      </c>
      <c r="B1526" s="1" t="n">
        <v>45747</v>
      </c>
      <c r="C1526" s="1" t="n">
        <v>45749</v>
      </c>
      <c r="D1526" t="inlineStr">
        <is>
          <t>JÖNKÖPINGS LÄN</t>
        </is>
      </c>
      <c r="E1526" t="inlineStr">
        <is>
          <t>JÖNKÖPING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2025-04-02T17:00:11Z</dcterms:created>
  <dcterms:modified xmlns:dcterms="http://purl.org/dc/terms/" xmlns:xsi="http://www.w3.org/2001/XMLSchema-instance" xsi:type="dcterms:W3CDTF">2025-04-02T17:00:13Z</dcterms:modified>
</cp:coreProperties>
</file>