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46292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46292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46292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46292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46292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46292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46292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46292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46292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46292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46292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46292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46292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46292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46292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46292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46292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46292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46292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46292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46292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46292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46292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46292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46292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46292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46292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46292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46292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46292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46292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46292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46292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46292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46292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46292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46292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46292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46292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46292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46292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46292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46292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4810-2026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46048</v>
      </c>
      <c r="E53" s="1" t="n">
        <v>46292</v>
      </c>
      <c r="F53" t="inlineStr">
        <is>
          <t>JÖNKÖPINGS LÄN</t>
        </is>
      </c>
      <c r="G53" t="inlineStr">
        <is>
          <t>JÖNKÖPING</t>
        </is>
      </c>
      <c r="I53" t="n">
        <v>0.4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Svinrot
Gullviva</t>
        </is>
      </c>
      <c r="W53">
        <f>HYPERLINK("https://klasma.github.io/Logging_0680/artfynd/A 4810-2026 artfynd.xlsx", "A 4810-2026")</f>
        <v/>
      </c>
      <c r="X53">
        <f>HYPERLINK("https://klasma.github.io/Logging_0680/kartor/A 4810-2026 karta.png", "A 4810-2026")</f>
        <v/>
      </c>
      <c r="Y53">
        <f>HYPERLINK("https://klasma.github.io/Logging_0680/kartor_geotiff/A 4810-2026 georefererad karta.tif", "A 4810-2026")</f>
        <v/>
      </c>
      <c r="AA53">
        <f>HYPERLINK("https://klasma.github.io/Logging_0680/klagomål/A 4810-2026 FSC-klagomål.docx", "A 4810-2026")</f>
        <v/>
      </c>
      <c r="AB53">
        <f>HYPERLINK("https://klasma.github.io/Logging_0680/klagomålsmail/A 4810-2026 FSC-klagomål mail.docx", "A 4810-2026")</f>
        <v/>
      </c>
      <c r="AC53">
        <f>HYPERLINK("https://klasma.github.io/Logging_0680/tillsyn/A 4810-2026 tillsynsbegäran.docx", "A 4810-2026")</f>
        <v/>
      </c>
      <c r="AD53">
        <f>HYPERLINK("https://klasma.github.io/Logging_0680/tillsynsmail/A 4810-2026 tillsynsbegäran mail.docx", "A 4810-2026")</f>
        <v/>
      </c>
    </row>
    <row r="54" ht="15" customHeight="1">
      <c r="A54" t="inlineStr">
        <is>
          <t>A 5125-2026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46292</v>
      </c>
      <c r="F54" t="inlineStr">
        <is>
          <t>JÖNKÖPINGS LÄN</t>
        </is>
      </c>
      <c r="G54" t="inlineStr">
        <is>
          <t>JÖNKÖPING</t>
        </is>
      </c>
      <c r="I54" t="n">
        <v>0.6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Sommarfibbla
Svinrot</t>
        </is>
      </c>
      <c r="W54">
        <f>HYPERLINK("https://klasma.github.io/Logging_0680/artfynd/A 5125-2026 artfynd.xlsx", "A 5125-2026")</f>
        <v/>
      </c>
      <c r="X54">
        <f>HYPERLINK("https://klasma.github.io/Logging_0680/kartor/A 5125-2026 karta.png", "A 5125-2026")</f>
        <v/>
      </c>
      <c r="Y54">
        <f>HYPERLINK("https://klasma.github.io/Logging_0680/kartor_geotiff/A 5125-2026 georefererad karta.tif", "A 5125-2026")</f>
        <v/>
      </c>
      <c r="AA54">
        <f>HYPERLINK("https://klasma.github.io/Logging_0680/klagomål/A 5125-2026 FSC-klagomål.docx", "A 5125-2026")</f>
        <v/>
      </c>
      <c r="AB54">
        <f>HYPERLINK("https://klasma.github.io/Logging_0680/klagomålsmail/A 5125-2026 FSC-klagomål mail.docx", "A 5125-2026")</f>
        <v/>
      </c>
      <c r="AC54">
        <f>HYPERLINK("https://klasma.github.io/Logging_0680/tillsyn/A 5125-2026 tillsynsbegäran.docx", "A 5125-2026")</f>
        <v/>
      </c>
      <c r="AD54">
        <f>HYPERLINK("https://klasma.github.io/Logging_0680/tillsynsmail/A 5125-2026 tillsynsbegäran mail.docx", "A 5125-2026")</f>
        <v/>
      </c>
    </row>
    <row r="55" ht="15" customHeight="1">
      <c r="A55" t="inlineStr">
        <is>
          <t>A 45917-2024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46292</v>
      </c>
      <c r="F55" t="inlineStr">
        <is>
          <t>JÖNKÖPINGS LÄN</t>
        </is>
      </c>
      <c r="G55" t="inlineStr">
        <is>
          <t>JÖNKÖPING</t>
        </is>
      </c>
      <c r="I55" t="n">
        <v>1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Grön sköldmossa</t>
        </is>
      </c>
      <c r="W55">
        <f>HYPERLINK("https://klasma.github.io/Logging_0680/artfynd/A 45917-2024 artfynd.xlsx", "A 45917-2024")</f>
        <v/>
      </c>
      <c r="X55">
        <f>HYPERLINK("https://klasma.github.io/Logging_0680/kartor/A 45917-2024 karta.png", "A 45917-2024")</f>
        <v/>
      </c>
      <c r="Y55">
        <f>HYPERLINK("https://klasma.github.io/Logging_0680/kartor_geotiff/A 45917-2024 georefererad karta.tif", "A 45917-2024")</f>
        <v/>
      </c>
      <c r="AA55">
        <f>HYPERLINK("https://klasma.github.io/Logging_0680/klagomål/A 45917-2024 FSC-klagomål.docx", "A 45917-2024")</f>
        <v/>
      </c>
      <c r="AB55">
        <f>HYPERLINK("https://klasma.github.io/Logging_0680/klagomålsmail/A 45917-2024 FSC-klagomål mail.docx", "A 45917-2024")</f>
        <v/>
      </c>
      <c r="AC55">
        <f>HYPERLINK("https://klasma.github.io/Logging_0680/tillsyn/A 45917-2024 tillsynsbegäran.docx", "A 45917-2024")</f>
        <v/>
      </c>
      <c r="AD55">
        <f>HYPERLINK("https://klasma.github.io/Logging_0680/tillsynsmail/A 45917-2024 tillsynsbegäran mail.docx", "A 45917-2024")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46292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46292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Gulnål
Kornig nållav</t>
        </is>
      </c>
      <c r="W57">
        <f>HYPERLINK("https://klasma.github.io/Logging_0680/artfynd/A 10991-2023 artfynd.xlsx", "A 10991-2023")</f>
        <v/>
      </c>
      <c r="X57">
        <f>HYPERLINK("https://klasma.github.io/Logging_0680/kartor/A 10991-2023 karta.png", "A 10991-2023")</f>
        <v/>
      </c>
      <c r="Y57">
        <f>HYPERLINK("https://klasma.github.io/Logging_0680/kartor_geotiff/A 10991-2023 georefererad karta.tif", "A 10991-2023")</f>
        <v/>
      </c>
      <c r="AA57">
        <f>HYPERLINK("https://klasma.github.io/Logging_0680/klagomål/A 10991-2023 FSC-klagomål.docx", "A 10991-2023")</f>
        <v/>
      </c>
      <c r="AB57">
        <f>HYPERLINK("https://klasma.github.io/Logging_0680/klagomålsmail/A 10991-2023 FSC-klagomål mail.docx", "A 10991-2023")</f>
        <v/>
      </c>
      <c r="AC57">
        <f>HYPERLINK("https://klasma.github.io/Logging_0680/tillsyn/A 10991-2023 tillsynsbegäran.docx", "A 10991-2023")</f>
        <v/>
      </c>
      <c r="AD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46292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5291-2024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45331</v>
      </c>
      <c r="E59" s="1" t="n">
        <v>46292</v>
      </c>
      <c r="F59" t="inlineStr">
        <is>
          <t>JÖNKÖPINGS LÄN</t>
        </is>
      </c>
      <c r="G59" t="inlineStr">
        <is>
          <t>JÖNKÖPING</t>
        </is>
      </c>
      <c r="I59" t="n">
        <v>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Jungfrulin
Grönvit nattviol</t>
        </is>
      </c>
      <c r="W59">
        <f>HYPERLINK("https://klasma.github.io/Logging_0680/artfynd/A 5291-2024 artfynd.xlsx", "A 5291-2024")</f>
        <v/>
      </c>
      <c r="X59">
        <f>HYPERLINK("https://klasma.github.io/Logging_0680/kartor/A 5291-2024 karta.png", "A 5291-2024")</f>
        <v/>
      </c>
      <c r="Y59">
        <f>HYPERLINK("https://klasma.github.io/Logging_0680/kartor_geotiff/A 5291-2024 georefererad karta.tif", "A 5291-2024")</f>
        <v/>
      </c>
      <c r="AA59">
        <f>HYPERLINK("https://klasma.github.io/Logging_0680/klagomål/A 5291-2024 FSC-klagomål.docx", "A 5291-2024")</f>
        <v/>
      </c>
      <c r="AB59">
        <f>HYPERLINK("https://klasma.github.io/Logging_0680/klagomålsmail/A 5291-2024 FSC-klagomål mail.docx", "A 5291-2024")</f>
        <v/>
      </c>
      <c r="AC59">
        <f>HYPERLINK("https://klasma.github.io/Logging_0680/tillsyn/A 5291-2024 tillsynsbegäran.docx", "A 5291-2024")</f>
        <v/>
      </c>
      <c r="AD59">
        <f>HYPERLINK("https://klasma.github.io/Logging_0680/tillsynsmail/A 5291-2024 tillsynsbegäran mail.docx", "A 5291-2024")</f>
        <v/>
      </c>
    </row>
    <row r="60" ht="15" customHeight="1">
      <c r="A60" t="inlineStr">
        <is>
          <t>A 51183-2024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46292</v>
      </c>
      <c r="F60" t="inlineStr">
        <is>
          <t>JÖNKÖPINGS LÄN</t>
        </is>
      </c>
      <c r="G60" t="inlineStr">
        <is>
          <t>JÖNKÖPING</t>
        </is>
      </c>
      <c r="I60" t="n">
        <v>5.9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Sångsvan
Trana</t>
        </is>
      </c>
      <c r="W60">
        <f>HYPERLINK("https://klasma.github.io/Logging_0680/artfynd/A 51183-2024 artfynd.xlsx", "A 51183-2024")</f>
        <v/>
      </c>
      <c r="X60">
        <f>HYPERLINK("https://klasma.github.io/Logging_0680/kartor/A 51183-2024 karta.png", "A 51183-2024")</f>
        <v/>
      </c>
      <c r="Y60">
        <f>HYPERLINK("https://klasma.github.io/Logging_0680/kartor_geotiff/A 51183-2024 georefererad karta.tif", "A 51183-2024")</f>
        <v/>
      </c>
      <c r="AA60">
        <f>HYPERLINK("https://klasma.github.io/Logging_0680/klagomål/A 51183-2024 FSC-klagomål.docx", "A 51183-2024")</f>
        <v/>
      </c>
      <c r="AB60">
        <f>HYPERLINK("https://klasma.github.io/Logging_0680/klagomålsmail/A 51183-2024 FSC-klagomål mail.docx", "A 51183-2024")</f>
        <v/>
      </c>
      <c r="AC60">
        <f>HYPERLINK("https://klasma.github.io/Logging_0680/tillsyn/A 51183-2024 tillsynsbegäran.docx", "A 51183-2024")</f>
        <v/>
      </c>
      <c r="AD60">
        <f>HYPERLINK("https://klasma.github.io/Logging_0680/tillsynsmail/A 51183-2024 tillsynsbegäran mail.docx", "A 51183-2024")</f>
        <v/>
      </c>
      <c r="AE60">
        <f>HYPERLINK("https://klasma.github.io/Logging_0680/fåglar/A 51183-2024 prioriterade fågelarter.docx", "A 51183-2024")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46292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46292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46292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46292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46292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46292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36799-2024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46292</v>
      </c>
      <c r="F67" t="inlineStr">
        <is>
          <t>JÖNKÖPINGS LÄN</t>
        </is>
      </c>
      <c r="G67" t="inlineStr">
        <is>
          <t>JÖNKÖPING</t>
        </is>
      </c>
      <c r="I67" t="n">
        <v>1.1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Svinrot
Grönpyrola</t>
        </is>
      </c>
      <c r="W67">
        <f>HYPERLINK("https://klasma.github.io/Logging_0680/artfynd/A 36799-2024 artfynd.xlsx", "A 36799-2024")</f>
        <v/>
      </c>
      <c r="X67">
        <f>HYPERLINK("https://klasma.github.io/Logging_0680/kartor/A 36799-2024 karta.png", "A 36799-2024")</f>
        <v/>
      </c>
      <c r="Y67">
        <f>HYPERLINK("https://klasma.github.io/Logging_0680/kartor_geotiff/A 36799-2024 georefererad karta.tif", "A 36799-2024")</f>
        <v/>
      </c>
      <c r="AA67">
        <f>HYPERLINK("https://klasma.github.io/Logging_0680/klagomål/A 36799-2024 FSC-klagomål.docx", "A 36799-2024")</f>
        <v/>
      </c>
      <c r="AB67">
        <f>HYPERLINK("https://klasma.github.io/Logging_0680/klagomålsmail/A 36799-2024 FSC-klagomål mail.docx", "A 36799-2024")</f>
        <v/>
      </c>
      <c r="AC67">
        <f>HYPERLINK("https://klasma.github.io/Logging_0680/tillsyn/A 36799-2024 tillsynsbegäran.docx", "A 36799-2024")</f>
        <v/>
      </c>
      <c r="AD67">
        <f>HYPERLINK("https://klasma.github.io/Logging_0680/tillsynsmail/A 36799-2024 tillsynsbegäran mail.docx", "A 36799-2024")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46292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46292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2486-2023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44943</v>
      </c>
      <c r="E70" s="1" t="n">
        <v>46292</v>
      </c>
      <c r="F70" t="inlineStr">
        <is>
          <t>JÖNKÖPINGS LÄN</t>
        </is>
      </c>
      <c r="G70" t="inlineStr">
        <is>
          <t>JÖNKÖPING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Solvända
Fällmossa</t>
        </is>
      </c>
      <c r="W70">
        <f>HYPERLINK("https://klasma.github.io/Logging_0680/artfynd/A 2486-2023 artfynd.xlsx", "A 2486-2023")</f>
        <v/>
      </c>
      <c r="X70">
        <f>HYPERLINK("https://klasma.github.io/Logging_0680/kartor/A 2486-2023 karta.png", "A 2486-2023")</f>
        <v/>
      </c>
      <c r="Y70">
        <f>HYPERLINK("https://klasma.github.io/Logging_0680/kartor_geotiff/A 2486-2023 georefererad karta.tif", "A 2486-2023")</f>
        <v/>
      </c>
      <c r="AA70">
        <f>HYPERLINK("https://klasma.github.io/Logging_0680/klagomål/A 2486-2023 FSC-klagomål.docx", "A 2486-2023")</f>
        <v/>
      </c>
      <c r="AB70">
        <f>HYPERLINK("https://klasma.github.io/Logging_0680/klagomålsmail/A 2486-2023 FSC-klagomål mail.docx", "A 2486-2023")</f>
        <v/>
      </c>
      <c r="AC70">
        <f>HYPERLINK("https://klasma.github.io/Logging_0680/tillsyn/A 2486-2023 tillsynsbegäran.docx", "A 2486-2023")</f>
        <v/>
      </c>
      <c r="AD70">
        <f>HYPERLINK("https://klasma.github.io/Logging_0680/tillsynsmail/A 2486-2023 tillsynsbegäran mail.docx", "A 2486-2023")</f>
        <v/>
      </c>
    </row>
    <row r="71" ht="15" customHeight="1">
      <c r="A71" t="inlineStr">
        <is>
          <t>A 37016-2024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46292</v>
      </c>
      <c r="F71" t="inlineStr">
        <is>
          <t>JÖNKÖPINGS LÄN</t>
        </is>
      </c>
      <c r="G71" t="inlineStr">
        <is>
          <t>JÖNKÖPING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Vårärt
Tibast</t>
        </is>
      </c>
      <c r="W71">
        <f>HYPERLINK("https://klasma.github.io/Logging_0680/artfynd/A 37016-2024 artfynd.xlsx", "A 37016-2024")</f>
        <v/>
      </c>
      <c r="X71">
        <f>HYPERLINK("https://klasma.github.io/Logging_0680/kartor/A 37016-2024 karta.png", "A 37016-2024")</f>
        <v/>
      </c>
      <c r="Y71">
        <f>HYPERLINK("https://klasma.github.io/Logging_0680/kartor_geotiff/A 37016-2024 georefererad karta.tif", "A 37016-2024")</f>
        <v/>
      </c>
      <c r="AA71">
        <f>HYPERLINK("https://klasma.github.io/Logging_0680/klagomål/A 37016-2024 FSC-klagomål.docx", "A 37016-2024")</f>
        <v/>
      </c>
      <c r="AB71">
        <f>HYPERLINK("https://klasma.github.io/Logging_0680/klagomålsmail/A 37016-2024 FSC-klagomål mail.docx", "A 37016-2024")</f>
        <v/>
      </c>
      <c r="AC71">
        <f>HYPERLINK("https://klasma.github.io/Logging_0680/tillsyn/A 37016-2024 tillsynsbegäran.docx", "A 37016-2024")</f>
        <v/>
      </c>
      <c r="AD71">
        <f>HYPERLINK("https://klasma.github.io/Logging_0680/tillsynsmail/A 37016-2024 tillsynsbegäran mail.docx", "A 37016-2024")</f>
        <v/>
      </c>
    </row>
    <row r="72" ht="15" customHeight="1">
      <c r="A72" t="inlineStr">
        <is>
          <t>A 9974-2023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44979</v>
      </c>
      <c r="E72" s="1" t="n">
        <v>46292</v>
      </c>
      <c r="F72" t="inlineStr">
        <is>
          <t>JÖNKÖPINGS LÄN</t>
        </is>
      </c>
      <c r="G72" t="inlineStr">
        <is>
          <t>JÖNKÖPING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Entita
Kungsfågel</t>
        </is>
      </c>
      <c r="W72">
        <f>HYPERLINK("https://klasma.github.io/Logging_0680/artfynd/A 9974-2023 artfynd.xlsx", "A 9974-2023")</f>
        <v/>
      </c>
      <c r="X72">
        <f>HYPERLINK("https://klasma.github.io/Logging_0680/kartor/A 9974-2023 karta.png", "A 9974-2023")</f>
        <v/>
      </c>
      <c r="Y72">
        <f>HYPERLINK("https://klasma.github.io/Logging_0680/kartor_geotiff/A 9974-2023 georefererad karta.tif", "A 9974-2023")</f>
        <v/>
      </c>
      <c r="AA72">
        <f>HYPERLINK("https://klasma.github.io/Logging_0680/klagomål/A 9974-2023 FSC-klagomål.docx", "A 9974-2023")</f>
        <v/>
      </c>
      <c r="AB72">
        <f>HYPERLINK("https://klasma.github.io/Logging_0680/klagomålsmail/A 9974-2023 FSC-klagomål mail.docx", "A 9974-2023")</f>
        <v/>
      </c>
      <c r="AC72">
        <f>HYPERLINK("https://klasma.github.io/Logging_0680/tillsyn/A 9974-2023 tillsynsbegäran.docx", "A 9974-2023")</f>
        <v/>
      </c>
      <c r="AD72">
        <f>HYPERLINK("https://klasma.github.io/Logging_0680/tillsynsmail/A 9974-2023 tillsynsbegäran mail.docx", "A 9974-2023")</f>
        <v/>
      </c>
      <c r="AE72">
        <f>HYPERLINK("https://klasma.github.io/Logging_0680/fåglar/A 9974-2023 prioriterade fågelarter.docx", "A 9974-2023")</f>
        <v/>
      </c>
    </row>
    <row r="73" ht="15" customHeight="1">
      <c r="A73" t="inlineStr">
        <is>
          <t>A 23066-2025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45790</v>
      </c>
      <c r="E73" s="1" t="n">
        <v>46292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Slåttergubbe
Nattviol</t>
        </is>
      </c>
      <c r="W73">
        <f>HYPERLINK("https://klasma.github.io/Logging_0680/artfynd/A 23066-2025 artfynd.xlsx", "A 23066-2025")</f>
        <v/>
      </c>
      <c r="X73">
        <f>HYPERLINK("https://klasma.github.io/Logging_0680/kartor/A 23066-2025 karta.png", "A 23066-2025")</f>
        <v/>
      </c>
      <c r="Y73">
        <f>HYPERLINK("https://klasma.github.io/Logging_0680/kartor_geotiff/A 23066-2025 georefererad karta.tif", "A 23066-2025")</f>
        <v/>
      </c>
      <c r="AA73">
        <f>HYPERLINK("https://klasma.github.io/Logging_0680/klagomål/A 23066-2025 FSC-klagomål.docx", "A 23066-2025")</f>
        <v/>
      </c>
      <c r="AB73">
        <f>HYPERLINK("https://klasma.github.io/Logging_0680/klagomålsmail/A 23066-2025 FSC-klagomål mail.docx", "A 23066-2025")</f>
        <v/>
      </c>
      <c r="AC73">
        <f>HYPERLINK("https://klasma.github.io/Logging_0680/tillsyn/A 23066-2025 tillsynsbegäran.docx", "A 23066-2025")</f>
        <v/>
      </c>
      <c r="AD73">
        <f>HYPERLINK("https://klasma.github.io/Logging_0680/tillsynsmail/A 23066-2025 tillsynsbegäran mail.docx", "A 23066-2025")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46292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46292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1085-2023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45013</v>
      </c>
      <c r="E76" s="1" t="n">
        <v>46292</v>
      </c>
      <c r="F76" t="inlineStr">
        <is>
          <t>JÖNKÖPINGS LÄN</t>
        </is>
      </c>
      <c r="G76" t="inlineStr">
        <is>
          <t>JÖNKÖPING</t>
        </is>
      </c>
      <c r="I76" t="n">
        <v>13.7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Entita
Revlummer</t>
        </is>
      </c>
      <c r="W76">
        <f>HYPERLINK("https://klasma.github.io/Logging_0680/artfynd/S 1085-2023 artfynd.xlsx", "S 1085-2023")</f>
        <v/>
      </c>
      <c r="X76">
        <f>HYPERLINK("https://klasma.github.io/Logging_0680/kartor/S 1085-2023 karta.png", "S 1085-2023")</f>
        <v/>
      </c>
      <c r="Y76">
        <f>HYPERLINK("https://klasma.github.io/Logging_0680/kartor_geotiff/S 1085-2023 georefererad karta.tif", "S 1085-2023")</f>
        <v/>
      </c>
      <c r="AA76">
        <f>HYPERLINK("https://klasma.github.io/Logging_0680/klagomål/S 1085-2023 FSC-klagomål.docx", "S 1085-2023")</f>
        <v/>
      </c>
      <c r="AB76">
        <f>HYPERLINK("https://klasma.github.io/Logging_0680/klagomålsmail/S 1085-2023 FSC-klagomål mail.docx", "S 1085-2023")</f>
        <v/>
      </c>
      <c r="AC76">
        <f>HYPERLINK("https://klasma.github.io/Logging_0680/tillsyn/S 1085-2023 tillsynsbegäran.docx", "S 1085-2023")</f>
        <v/>
      </c>
      <c r="AD76">
        <f>HYPERLINK("https://klasma.github.io/Logging_0680/tillsynsmail/S 1085-2023 tillsynsbegäran mail.docx", "S 1085-2023")</f>
        <v/>
      </c>
      <c r="AE76">
        <f>HYPERLINK("https://klasma.github.io/Logging_0680/fåglar/S 1085-2023 prioriterade fågelarter.docx", "S 1085-2023")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46292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46292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46292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46292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53025-2021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46292</v>
      </c>
      <c r="F81" t="inlineStr">
        <is>
          <t>JÖNKÖPINGS LÄN</t>
        </is>
      </c>
      <c r="G81" t="inlineStr">
        <is>
          <t>JÖNKÖPING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53025-2021 artfynd.xlsx", "A 53025-2021")</f>
        <v/>
      </c>
      <c r="X81">
        <f>HYPERLINK("https://klasma.github.io/Logging_0680/kartor/A 53025-2021 karta.png", "A 53025-2021")</f>
        <v/>
      </c>
      <c r="Y81">
        <f>HYPERLINK("https://klasma.github.io/Logging_0680/kartor_geotiff/A 53025-2021 georefererad karta.tif", "A 53025-2021")</f>
        <v/>
      </c>
      <c r="AA81">
        <f>HYPERLINK("https://klasma.github.io/Logging_0680/klagomål/A 53025-2021 FSC-klagomål.docx", "A 53025-2021")</f>
        <v/>
      </c>
      <c r="AB81">
        <f>HYPERLINK("https://klasma.github.io/Logging_0680/klagomålsmail/A 53025-2021 FSC-klagomål mail.docx", "A 53025-2021")</f>
        <v/>
      </c>
      <c r="AC81">
        <f>HYPERLINK("https://klasma.github.io/Logging_0680/tillsyn/A 53025-2021 tillsynsbegäran.docx", "A 53025-2021")</f>
        <v/>
      </c>
      <c r="AD81">
        <f>HYPERLINK("https://klasma.github.io/Logging_0680/tillsynsmail/A 53025-2021 tillsynsbegäran mail.docx", "A 53025-2021")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46292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6456-2024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45338</v>
      </c>
      <c r="E83" s="1" t="n">
        <v>46292</v>
      </c>
      <c r="F83" t="inlineStr">
        <is>
          <t>JÖNKÖPINGS LÄN</t>
        </is>
      </c>
      <c r="G83" t="inlineStr">
        <is>
          <t>JÖNKÖPING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Slåttergubbe</t>
        </is>
      </c>
      <c r="W83">
        <f>HYPERLINK("https://klasma.github.io/Logging_0680/artfynd/A 6456-2024 artfynd.xlsx", "A 6456-2024")</f>
        <v/>
      </c>
      <c r="X83">
        <f>HYPERLINK("https://klasma.github.io/Logging_0680/kartor/A 6456-2024 karta.png", "A 6456-2024")</f>
        <v/>
      </c>
      <c r="Y83">
        <f>HYPERLINK("https://klasma.github.io/Logging_0680/kartor_geotiff/A 6456-2024 georefererad karta.tif", "A 6456-2024")</f>
        <v/>
      </c>
      <c r="AA83">
        <f>HYPERLINK("https://klasma.github.io/Logging_0680/klagomål/A 6456-2024 FSC-klagomål.docx", "A 6456-2024")</f>
        <v/>
      </c>
      <c r="AB83">
        <f>HYPERLINK("https://klasma.github.io/Logging_0680/klagomålsmail/A 6456-2024 FSC-klagomål mail.docx", "A 6456-2024")</f>
        <v/>
      </c>
      <c r="AC83">
        <f>HYPERLINK("https://klasma.github.io/Logging_0680/tillsyn/A 6456-2024 tillsynsbegäran.docx", "A 6456-2024")</f>
        <v/>
      </c>
      <c r="AD83">
        <f>HYPERLINK("https://klasma.github.io/Logging_0680/tillsynsmail/A 6456-2024 tillsynsbegäran mail.docx", "A 6456-2024")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46292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46292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46292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14221-2025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46292</v>
      </c>
      <c r="F87" t="inlineStr">
        <is>
          <t>JÖNKÖPINGS LÄN</t>
        </is>
      </c>
      <c r="G87" t="inlineStr">
        <is>
          <t>JÖNKÖPING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Gaffelglim</t>
        </is>
      </c>
      <c r="W87">
        <f>HYPERLINK("https://klasma.github.io/Logging_0680/artfynd/A 14221-2025 artfynd.xlsx", "A 14221-2025")</f>
        <v/>
      </c>
      <c r="X87">
        <f>HYPERLINK("https://klasma.github.io/Logging_0680/kartor/A 14221-2025 karta.png", "A 14221-2025")</f>
        <v/>
      </c>
      <c r="Y87">
        <f>HYPERLINK("https://klasma.github.io/Logging_0680/kartor_geotiff/A 14221-2025 georefererad karta.tif", "A 14221-2025")</f>
        <v/>
      </c>
      <c r="AA87">
        <f>HYPERLINK("https://klasma.github.io/Logging_0680/klagomål/A 14221-2025 FSC-klagomål.docx", "A 14221-2025")</f>
        <v/>
      </c>
      <c r="AB87">
        <f>HYPERLINK("https://klasma.github.io/Logging_0680/klagomålsmail/A 14221-2025 FSC-klagomål mail.docx", "A 14221-2025")</f>
        <v/>
      </c>
      <c r="AC87">
        <f>HYPERLINK("https://klasma.github.io/Logging_0680/tillsyn/A 14221-2025 tillsynsbegäran.docx", "A 14221-2025")</f>
        <v/>
      </c>
      <c r="AD87">
        <f>HYPERLINK("https://klasma.github.io/Logging_0680/tillsynsmail/A 14221-2025 tillsynsbegäran mail.docx", "A 14221-2025")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46292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46292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2037-2026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46292</v>
      </c>
      <c r="F90" t="inlineStr">
        <is>
          <t>JÖNKÖPINGS LÄN</t>
        </is>
      </c>
      <c r="G90" t="inlineStr">
        <is>
          <t>JÖNKÖPING</t>
        </is>
      </c>
      <c r="I90" t="n">
        <v>11.8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HYPERLINK("https://klasma.github.io/Logging_0680/artfynd/A 2037-2026 artfynd.xlsx", "A 2037-2026")</f>
        <v/>
      </c>
      <c r="X90">
        <f>HYPERLINK("https://klasma.github.io/Logging_0680/kartor/A 2037-2026 karta.png", "A 2037-2026")</f>
        <v/>
      </c>
      <c r="Y90">
        <f>HYPERLINK("https://klasma.github.io/Logging_0680/kartor_geotiff/A 2037-2026 georefererad karta.tif", "A 2037-2026")</f>
        <v/>
      </c>
      <c r="AA90">
        <f>HYPERLINK("https://klasma.github.io/Logging_0680/klagomål/A 2037-2026 FSC-klagomål.docx", "A 2037-2026")</f>
        <v/>
      </c>
      <c r="AB90">
        <f>HYPERLINK("https://klasma.github.io/Logging_0680/klagomålsmail/A 2037-2026 FSC-klagomål mail.docx", "A 2037-2026")</f>
        <v/>
      </c>
      <c r="AC90">
        <f>HYPERLINK("https://klasma.github.io/Logging_0680/tillsyn/A 2037-2026 tillsynsbegäran.docx", "A 2037-2026")</f>
        <v/>
      </c>
      <c r="AD90">
        <f>HYPERLINK("https://klasma.github.io/Logging_0680/tillsynsmail/A 2037-2026 tillsynsbegäran mail.docx", "A 2037-2026")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46292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46292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46292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6168-2026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46292</v>
      </c>
      <c r="F94" t="inlineStr">
        <is>
          <t>JÖNKÖPINGS LÄN</t>
        </is>
      </c>
      <c r="G94" t="inlineStr">
        <is>
          <t>JÖNKÖPING</t>
        </is>
      </c>
      <c r="I94" t="n">
        <v>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Stor aspticka</t>
        </is>
      </c>
      <c r="W94">
        <f>HYPERLINK("https://klasma.github.io/Logging_0680/artfynd/A 6168-2026 artfynd.xlsx", "A 6168-2026")</f>
        <v/>
      </c>
      <c r="X94">
        <f>HYPERLINK("https://klasma.github.io/Logging_0680/kartor/A 6168-2026 karta.png", "A 6168-2026")</f>
        <v/>
      </c>
      <c r="Y94">
        <f>HYPERLINK("https://klasma.github.io/Logging_0680/kartor_geotiff/A 6168-2026 georefererad karta.tif", "A 6168-2026")</f>
        <v/>
      </c>
      <c r="AA94">
        <f>HYPERLINK("https://klasma.github.io/Logging_0680/klagomål/A 6168-2026 FSC-klagomål.docx", "A 6168-2026")</f>
        <v/>
      </c>
      <c r="AB94">
        <f>HYPERLINK("https://klasma.github.io/Logging_0680/klagomålsmail/A 6168-2026 FSC-klagomål mail.docx", "A 6168-2026")</f>
        <v/>
      </c>
      <c r="AC94">
        <f>HYPERLINK("https://klasma.github.io/Logging_0680/tillsyn/A 6168-2026 tillsynsbegäran.docx", "A 6168-2026")</f>
        <v/>
      </c>
      <c r="AD94">
        <f>HYPERLINK("https://klasma.github.io/Logging_0680/tillsynsmail/A 6168-2026 tillsynsbegäran mail.docx", "A 6168-2026")</f>
        <v/>
      </c>
    </row>
    <row r="95" ht="15" customHeight="1">
      <c r="A95" t="inlineStr">
        <is>
          <t>A 47492-2024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45587</v>
      </c>
      <c r="E95" s="1" t="n">
        <v>46292</v>
      </c>
      <c r="F95" t="inlineStr">
        <is>
          <t>JÖNKÖPINGS LÄN</t>
        </is>
      </c>
      <c r="G95" t="inlineStr">
        <is>
          <t>JÖNKÖPING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Ask</t>
        </is>
      </c>
      <c r="W95">
        <f>HYPERLINK("https://klasma.github.io/Logging_0680/artfynd/A 47492-2024 artfynd.xlsx", "A 47492-2024")</f>
        <v/>
      </c>
      <c r="X95">
        <f>HYPERLINK("https://klasma.github.io/Logging_0680/kartor/A 47492-2024 karta.png", "A 47492-2024")</f>
        <v/>
      </c>
      <c r="Y95">
        <f>HYPERLINK("https://klasma.github.io/Logging_0680/kartor_geotiff/A 47492-2024 georefererad karta.tif", "A 47492-2024")</f>
        <v/>
      </c>
      <c r="AA95">
        <f>HYPERLINK("https://klasma.github.io/Logging_0680/klagomål/A 47492-2024 FSC-klagomål.docx", "A 47492-2024")</f>
        <v/>
      </c>
      <c r="AB95">
        <f>HYPERLINK("https://klasma.github.io/Logging_0680/klagomålsmail/A 47492-2024 FSC-klagomål mail.docx", "A 47492-2024")</f>
        <v/>
      </c>
      <c r="AC95">
        <f>HYPERLINK("https://klasma.github.io/Logging_0680/tillsyn/A 47492-2024 tillsynsbegäran.docx", "A 47492-2024")</f>
        <v/>
      </c>
      <c r="AD95">
        <f>HYPERLINK("https://klasma.github.io/Logging_0680/tillsynsmail/A 47492-2024 tillsynsbegäran mail.docx", "A 47492-2024")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46292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46292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47040-2023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46292</v>
      </c>
      <c r="F98" t="inlineStr">
        <is>
          <t>JÖNKÖPINGS LÄN</t>
        </is>
      </c>
      <c r="G98" t="inlineStr">
        <is>
          <t>JÖNKÖPING</t>
        </is>
      </c>
      <c r="I98" t="n">
        <v>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Nordfladdermus</t>
        </is>
      </c>
      <c r="W98">
        <f>HYPERLINK("https://klasma.github.io/Logging_0680/artfynd/A 47040-2023 artfynd.xlsx", "A 47040-2023")</f>
        <v/>
      </c>
      <c r="X98">
        <f>HYPERLINK("https://klasma.github.io/Logging_0680/kartor/A 47040-2023 karta.png", "A 47040-2023")</f>
        <v/>
      </c>
      <c r="Y98">
        <f>HYPERLINK("https://klasma.github.io/Logging_0680/kartor_geotiff/A 47040-2023 georefererad karta.tif", "A 47040-2023")</f>
        <v/>
      </c>
      <c r="AA98">
        <f>HYPERLINK("https://klasma.github.io/Logging_0680/klagomål/A 47040-2023 FSC-klagomål.docx", "A 47040-2023")</f>
        <v/>
      </c>
      <c r="AB98">
        <f>HYPERLINK("https://klasma.github.io/Logging_0680/klagomålsmail/A 47040-2023 FSC-klagomål mail.docx", "A 47040-2023")</f>
        <v/>
      </c>
      <c r="AC98">
        <f>HYPERLINK("https://klasma.github.io/Logging_0680/tillsyn/A 47040-2023 tillsynsbegäran.docx", "A 47040-2023")</f>
        <v/>
      </c>
      <c r="AD98">
        <f>HYPERLINK("https://klasma.github.io/Logging_0680/tillsynsmail/A 47040-2023 tillsynsbegäran mail.docx", "A 47040-2023")</f>
        <v/>
      </c>
    </row>
    <row r="99" ht="15" customHeight="1">
      <c r="A99" t="inlineStr">
        <is>
          <t>A 15516-2026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46292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Revlummer</t>
        </is>
      </c>
      <c r="W99">
        <f>HYPERLINK("https://klasma.github.io/Logging_0680/artfynd/A 15516-2026 artfynd.xlsx", "A 15516-2026")</f>
        <v/>
      </c>
      <c r="X99">
        <f>HYPERLINK("https://klasma.github.io/Logging_0680/kartor/A 15516-2026 karta.png", "A 15516-2026")</f>
        <v/>
      </c>
      <c r="Y99">
        <f>HYPERLINK("https://klasma.github.io/Logging_0680/kartor_geotiff/A 15516-2026 georefererad karta.tif", "A 15516-2026")</f>
        <v/>
      </c>
      <c r="AA99">
        <f>HYPERLINK("https://klasma.github.io/Logging_0680/klagomål/A 15516-2026 FSC-klagomål.docx", "A 15516-2026")</f>
        <v/>
      </c>
      <c r="AB99">
        <f>HYPERLINK("https://klasma.github.io/Logging_0680/klagomålsmail/A 15516-2026 FSC-klagomål mail.docx", "A 15516-2026")</f>
        <v/>
      </c>
      <c r="AC99">
        <f>HYPERLINK("https://klasma.github.io/Logging_0680/tillsyn/A 15516-2026 tillsynsbegäran.docx", "A 15516-2026")</f>
        <v/>
      </c>
      <c r="AD99">
        <f>HYPERLINK("https://klasma.github.io/Logging_0680/tillsynsmail/A 15516-2026 tillsynsbegäran mail.docx", "A 15516-2026")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46292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46292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46292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46292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46292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18770-2025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46292</v>
      </c>
      <c r="F105" t="inlineStr">
        <is>
          <t>JÖNKÖPINGS LÄN</t>
        </is>
      </c>
      <c r="G105" t="inlineStr">
        <is>
          <t>JÖNKÖPING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Gullpudra</t>
        </is>
      </c>
      <c r="W105">
        <f>HYPERLINK("https://klasma.github.io/Logging_0680/artfynd/A 18770-2025 artfynd.xlsx", "A 18770-2025")</f>
        <v/>
      </c>
      <c r="X105">
        <f>HYPERLINK("https://klasma.github.io/Logging_0680/kartor/A 18770-2025 karta.png", "A 18770-2025")</f>
        <v/>
      </c>
      <c r="Y105">
        <f>HYPERLINK("https://klasma.github.io/Logging_0680/kartor_geotiff/A 18770-2025 georefererad karta.tif", "A 18770-2025")</f>
        <v/>
      </c>
      <c r="AA105">
        <f>HYPERLINK("https://klasma.github.io/Logging_0680/klagomål/A 18770-2025 FSC-klagomål.docx", "A 18770-2025")</f>
        <v/>
      </c>
      <c r="AB105">
        <f>HYPERLINK("https://klasma.github.io/Logging_0680/klagomålsmail/A 18770-2025 FSC-klagomål mail.docx", "A 18770-2025")</f>
        <v/>
      </c>
      <c r="AC105">
        <f>HYPERLINK("https://klasma.github.io/Logging_0680/tillsyn/A 18770-2025 tillsynsbegäran.docx", "A 18770-2025")</f>
        <v/>
      </c>
      <c r="AD105">
        <f>HYPERLINK("https://klasma.github.io/Logging_0680/tillsynsmail/A 18770-2025 tillsynsbegäran mail.docx", "A 18770-2025")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46292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46292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33849-2025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46292</v>
      </c>
      <c r="F108" t="inlineStr">
        <is>
          <t>JÖNKÖPINGS LÄN</t>
        </is>
      </c>
      <c r="G108" t="inlineStr">
        <is>
          <t>JÖNKÖPING</t>
        </is>
      </c>
      <c r="I108" t="n">
        <v>1.7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4</v>
      </c>
      <c r="U108" t="n">
        <v>4</v>
      </c>
      <c r="V108" s="2" t="inlineStr">
        <is>
          <t>Jungfrulin</t>
        </is>
      </c>
      <c r="W108">
        <f>HYPERLINK("https://klasma.github.io/Logging_0680/artfynd/A 33849-2025 artfynd.xlsx", "A 33849-2025")</f>
        <v/>
      </c>
      <c r="X108">
        <f>HYPERLINK("https://klasma.github.io/Logging_0680/kartor/A 33849-2025 karta.png", "A 33849-2025")</f>
        <v/>
      </c>
      <c r="Y108">
        <f>HYPERLINK("https://klasma.github.io/Logging_0680/kartor_geotiff/A 33849-2025 georefererad karta.tif", "A 33849-2025")</f>
        <v/>
      </c>
      <c r="AA108">
        <f>HYPERLINK("https://klasma.github.io/Logging_0680/klagomål/A 33849-2025 FSC-klagomål.docx", "A 33849-2025")</f>
        <v/>
      </c>
      <c r="AB108">
        <f>HYPERLINK("https://klasma.github.io/Logging_0680/klagomålsmail/A 33849-2025 FSC-klagomål mail.docx", "A 33849-2025")</f>
        <v/>
      </c>
      <c r="AC108">
        <f>HYPERLINK("https://klasma.github.io/Logging_0680/tillsyn/A 33849-2025 tillsynsbegäran.docx", "A 33849-2025")</f>
        <v/>
      </c>
      <c r="AD108">
        <f>HYPERLINK("https://klasma.github.io/Logging_0680/tillsynsmail/A 33849-2025 tillsynsbegäran mail.docx", "A 33849-2025")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46292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33405-2025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46292</v>
      </c>
      <c r="F110" t="inlineStr">
        <is>
          <t>JÖNKÖPINGS LÄN</t>
        </is>
      </c>
      <c r="G110" t="inlineStr">
        <is>
          <t>JÖNKÖPING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Läkeögontröst</t>
        </is>
      </c>
      <c r="W110">
        <f>HYPERLINK("https://klasma.github.io/Logging_0680/artfynd/A 33405-2025 artfynd.xlsx", "A 33405-2025")</f>
        <v/>
      </c>
      <c r="X110">
        <f>HYPERLINK("https://klasma.github.io/Logging_0680/kartor/A 33405-2025 karta.png", "A 33405-2025")</f>
        <v/>
      </c>
      <c r="Y110">
        <f>HYPERLINK("https://klasma.github.io/Logging_0680/kartor_geotiff/A 33405-2025 georefererad karta.tif", "A 33405-2025")</f>
        <v/>
      </c>
      <c r="AA110">
        <f>HYPERLINK("https://klasma.github.io/Logging_0680/klagomål/A 33405-2025 FSC-klagomål.docx", "A 33405-2025")</f>
        <v/>
      </c>
      <c r="AB110">
        <f>HYPERLINK("https://klasma.github.io/Logging_0680/klagomålsmail/A 33405-2025 FSC-klagomål mail.docx", "A 33405-2025")</f>
        <v/>
      </c>
      <c r="AC110">
        <f>HYPERLINK("https://klasma.github.io/Logging_0680/tillsyn/A 33405-2025 tillsynsbegäran.docx", "A 33405-2025")</f>
        <v/>
      </c>
      <c r="AD110">
        <f>HYPERLINK("https://klasma.github.io/Logging_0680/tillsynsmail/A 33405-2025 tillsynsbegäran mail.docx", "A 33405-2025")</f>
        <v/>
      </c>
    </row>
    <row r="111" ht="15" customHeight="1">
      <c r="A111" t="inlineStr">
        <is>
          <t>A 58346-2022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46292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Övriga statliga verk och myndigheter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Gyllensopp</t>
        </is>
      </c>
      <c r="W111">
        <f>HYPERLINK("https://klasma.github.io/Logging_0680/artfynd/A 58346-2022 artfynd.xlsx", "A 58346-2022")</f>
        <v/>
      </c>
      <c r="X111">
        <f>HYPERLINK("https://klasma.github.io/Logging_0680/kartor/A 58346-2022 karta.png", "A 58346-2022")</f>
        <v/>
      </c>
      <c r="Y111">
        <f>HYPERLINK("https://klasma.github.io/Logging_0680/kartor_geotiff/A 58346-2022 georefererad karta.tif", "A 58346-2022")</f>
        <v/>
      </c>
      <c r="AA111">
        <f>HYPERLINK("https://klasma.github.io/Logging_0680/klagomål/A 58346-2022 FSC-klagomål.docx", "A 58346-2022")</f>
        <v/>
      </c>
      <c r="AB111">
        <f>HYPERLINK("https://klasma.github.io/Logging_0680/klagomålsmail/A 58346-2022 FSC-klagomål mail.docx", "A 58346-2022")</f>
        <v/>
      </c>
      <c r="AC111">
        <f>HYPERLINK("https://klasma.github.io/Logging_0680/tillsyn/A 58346-2022 tillsynsbegäran.docx", "A 58346-2022")</f>
        <v/>
      </c>
      <c r="AD111">
        <f>HYPERLINK("https://klasma.github.io/Logging_0680/tillsynsmail/A 58346-2022 tillsynsbegäran mail.docx", "A 58346-2022")</f>
        <v/>
      </c>
    </row>
    <row r="112" ht="15" customHeight="1">
      <c r="A112" t="inlineStr">
        <is>
          <t>A 54325-2024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45616</v>
      </c>
      <c r="E112" s="1" t="n">
        <v>46292</v>
      </c>
      <c r="F112" t="inlineStr">
        <is>
          <t>JÖNKÖPINGS LÄN</t>
        </is>
      </c>
      <c r="G112" t="inlineStr">
        <is>
          <t>JÖNKÖPING</t>
        </is>
      </c>
      <c r="I112" t="n">
        <v>8.699999999999999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HYPERLINK("https://klasma.github.io/Logging_0680/artfynd/A 54325-2024 artfynd.xlsx", "A 54325-2024")</f>
        <v/>
      </c>
      <c r="X112">
        <f>HYPERLINK("https://klasma.github.io/Logging_0680/kartor/A 54325-2024 karta.png", "A 54325-2024")</f>
        <v/>
      </c>
      <c r="Y112">
        <f>HYPERLINK("https://klasma.github.io/Logging_0680/kartor_geotiff/A 54325-2024 georefererad karta.tif", "A 54325-2024")</f>
        <v/>
      </c>
      <c r="AA112">
        <f>HYPERLINK("https://klasma.github.io/Logging_0680/klagomål/A 54325-2024 FSC-klagomål.docx", "A 54325-2024")</f>
        <v/>
      </c>
      <c r="AB112">
        <f>HYPERLINK("https://klasma.github.io/Logging_0680/klagomålsmail/A 54325-2024 FSC-klagomål mail.docx", "A 54325-2024")</f>
        <v/>
      </c>
      <c r="AC112">
        <f>HYPERLINK("https://klasma.github.io/Logging_0680/tillsyn/A 54325-2024 tillsynsbegäran.docx", "A 54325-2024")</f>
        <v/>
      </c>
      <c r="AD112">
        <f>HYPERLINK("https://klasma.github.io/Logging_0680/tillsynsmail/A 54325-2024 tillsynsbegäran mail.docx", "A 54325-2024")</f>
        <v/>
      </c>
      <c r="AE112">
        <f>HYPERLINK("https://klasma.github.io/Logging_0680/fåglar/A 54325-2024 prioriterade fågelarter.docx", "A 54325-2024")</f>
        <v/>
      </c>
    </row>
    <row r="113" ht="15" customHeight="1">
      <c r="A113" t="inlineStr">
        <is>
          <t>A 42038-2023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46292</v>
      </c>
      <c r="F113" t="inlineStr">
        <is>
          <t>JÖNKÖPINGS LÄN</t>
        </is>
      </c>
      <c r="G113" t="inlineStr">
        <is>
          <t>JÖNKÖPING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Ask</t>
        </is>
      </c>
      <c r="W113">
        <f>HYPERLINK("https://klasma.github.io/Logging_0680/artfynd/A 42038-2023 artfynd.xlsx", "A 42038-2023")</f>
        <v/>
      </c>
      <c r="X113">
        <f>HYPERLINK("https://klasma.github.io/Logging_0680/kartor/A 42038-2023 karta.png", "A 42038-2023")</f>
        <v/>
      </c>
      <c r="Y113">
        <f>HYPERLINK("https://klasma.github.io/Logging_0680/kartor_geotiff/A 42038-2023 georefererad karta.tif", "A 42038-2023")</f>
        <v/>
      </c>
      <c r="AA113">
        <f>HYPERLINK("https://klasma.github.io/Logging_0680/klagomål/A 42038-2023 FSC-klagomål.docx", "A 42038-2023")</f>
        <v/>
      </c>
      <c r="AB113">
        <f>HYPERLINK("https://klasma.github.io/Logging_0680/klagomålsmail/A 42038-2023 FSC-klagomål mail.docx", "A 42038-2023")</f>
        <v/>
      </c>
      <c r="AC113">
        <f>HYPERLINK("https://klasma.github.io/Logging_0680/tillsyn/A 42038-2023 tillsynsbegäran.docx", "A 42038-2023")</f>
        <v/>
      </c>
      <c r="AD113">
        <f>HYPERLINK("https://klasma.github.io/Logging_0680/tillsynsmail/A 42038-2023 tillsynsbegäran mail.docx", "A 42038-2023")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46292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48371-2023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45205</v>
      </c>
      <c r="E115" s="1" t="n">
        <v>46292</v>
      </c>
      <c r="F115" t="inlineStr">
        <is>
          <t>JÖNKÖPINGS LÄN</t>
        </is>
      </c>
      <c r="G115" t="inlineStr">
        <is>
          <t>JÖNKÖPING</t>
        </is>
      </c>
      <c r="I115" t="n">
        <v>4.9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HYPERLINK("https://klasma.github.io/Logging_0680/artfynd/A 48371-2023 artfynd.xlsx", "A 48371-2023")</f>
        <v/>
      </c>
      <c r="X115">
        <f>HYPERLINK("https://klasma.github.io/Logging_0680/kartor/A 48371-2023 karta.png", "A 48371-2023")</f>
        <v/>
      </c>
      <c r="Y115">
        <f>HYPERLINK("https://klasma.github.io/Logging_0680/kartor_geotiff/A 48371-2023 georefererad karta.tif", "A 48371-2023")</f>
        <v/>
      </c>
      <c r="AA115">
        <f>HYPERLINK("https://klasma.github.io/Logging_0680/klagomål/A 48371-2023 FSC-klagomål.docx", "A 48371-2023")</f>
        <v/>
      </c>
      <c r="AB115">
        <f>HYPERLINK("https://klasma.github.io/Logging_0680/klagomålsmail/A 48371-2023 FSC-klagomål mail.docx", "A 48371-2023")</f>
        <v/>
      </c>
      <c r="AC115">
        <f>HYPERLINK("https://klasma.github.io/Logging_0680/tillsyn/A 48371-2023 tillsynsbegäran.docx", "A 48371-2023")</f>
        <v/>
      </c>
      <c r="AD115">
        <f>HYPERLINK("https://klasma.github.io/Logging_0680/tillsynsmail/A 48371-2023 tillsynsbegäran mail.docx", "A 48371-2023")</f>
        <v/>
      </c>
    </row>
    <row r="116" ht="15" customHeight="1">
      <c r="A116" t="inlineStr">
        <is>
          <t>A 34597-2025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46292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Kyrkan</t>
        </is>
      </c>
      <c r="I116" t="n">
        <v>7.3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34597-2025 artfynd.xlsx", "A 34597-2025")</f>
        <v/>
      </c>
      <c r="X116">
        <f>HYPERLINK("https://klasma.github.io/Logging_0680/kartor/A 34597-2025 karta.png", "A 34597-2025")</f>
        <v/>
      </c>
      <c r="Y116">
        <f>HYPERLINK("https://klasma.github.io/Logging_0680/kartor_geotiff/A 34597-2025 georefererad karta.tif", "A 34597-2025")</f>
        <v/>
      </c>
      <c r="Z116">
        <f>HYPERLINK("https://klasma.github.io/Logging_0680/knärot/A 34597-2025 karta knärot.png", "A 34597-2025")</f>
        <v/>
      </c>
      <c r="AA116">
        <f>HYPERLINK("https://klasma.github.io/Logging_0680/klagomål/A 34597-2025 FSC-klagomål.docx", "A 34597-2025")</f>
        <v/>
      </c>
      <c r="AB116">
        <f>HYPERLINK("https://klasma.github.io/Logging_0680/klagomålsmail/A 34597-2025 FSC-klagomål mail.docx", "A 34597-2025")</f>
        <v/>
      </c>
      <c r="AC116">
        <f>HYPERLINK("https://klasma.github.io/Logging_0680/tillsyn/A 34597-2025 tillsynsbegäran.docx", "A 34597-2025")</f>
        <v/>
      </c>
      <c r="AD116">
        <f>HYPERLINK("https://klasma.github.io/Logging_0680/tillsynsmail/A 34597-2025 tillsynsbegäran mail.docx", "A 34597-2025")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46292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34046-2026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46252</v>
      </c>
      <c r="E118" s="1" t="n">
        <v>46292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HYPERLINK("https://klasma.github.io/Logging_0680/artfynd/A 34046-2026 artfynd.xlsx", "A 34046-2026")</f>
        <v/>
      </c>
      <c r="X118">
        <f>HYPERLINK("https://klasma.github.io/Logging_0680/kartor/A 34046-2026 karta.png", "A 34046-2026")</f>
        <v/>
      </c>
      <c r="Y118">
        <f>HYPERLINK("https://klasma.github.io/Logging_0680/kartor_geotiff/A 34046-2026 georefererad karta.tif", "A 34046-2026")</f>
        <v/>
      </c>
      <c r="AA118">
        <f>HYPERLINK("https://klasma.github.io/Logging_0680/klagomål/A 34046-2026 FSC-klagomål.docx", "A 34046-2026")</f>
        <v/>
      </c>
      <c r="AB118">
        <f>HYPERLINK("https://klasma.github.io/Logging_0680/klagomålsmail/A 34046-2026 FSC-klagomål mail.docx", "A 34046-2026")</f>
        <v/>
      </c>
      <c r="AC118">
        <f>HYPERLINK("https://klasma.github.io/Logging_0680/tillsyn/A 34046-2026 tillsynsbegäran.docx", "A 34046-2026")</f>
        <v/>
      </c>
      <c r="AD118">
        <f>HYPERLINK("https://klasma.github.io/Logging_0680/tillsynsmail/A 34046-2026 tillsynsbegäran mail.docx", "A 34046-2026")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46292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46292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30868-2026 artfynd.xlsx", "A 30868-2026")</f>
        <v/>
      </c>
      <c r="X120">
        <f>HYPERLINK("https://klasma.github.io/Logging_0680/kartor/A 30868-2026 karta.png", "A 30868-2026")</f>
        <v/>
      </c>
      <c r="Y120">
        <f>HYPERLINK("https://klasma.github.io/Logging_0680/kartor_geotiff/A 30868-2026 georefererad karta.tif", "A 30868-2026")</f>
        <v/>
      </c>
      <c r="AA120">
        <f>HYPERLINK("https://klasma.github.io/Logging_0680/klagomål/A 30868-2026 FSC-klagomål.docx", "A 30868-2026")</f>
        <v/>
      </c>
      <c r="AB120">
        <f>HYPERLINK("https://klasma.github.io/Logging_0680/klagomålsmail/A 30868-2026 FSC-klagomål mail.docx", "A 30868-2026")</f>
        <v/>
      </c>
      <c r="AC120">
        <f>HYPERLINK("https://klasma.github.io/Logging_0680/tillsyn/A 30868-2026 tillsynsbegäran.docx", "A 30868-2026")</f>
        <v/>
      </c>
      <c r="AD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62844-2023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46292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HYPERLINK("https://klasma.github.io/Logging_0680/artfynd/A 62844-2023 artfynd.xlsx", "A 62844-2023")</f>
        <v/>
      </c>
      <c r="X121">
        <f>HYPERLINK("https://klasma.github.io/Logging_0680/kartor/A 62844-2023 karta.png", "A 62844-2023")</f>
        <v/>
      </c>
      <c r="Y121">
        <f>HYPERLINK("https://klasma.github.io/Logging_0680/kartor_geotiff/A 62844-2023 georefererad karta.tif", "A 62844-2023")</f>
        <v/>
      </c>
      <c r="AA121">
        <f>HYPERLINK("https://klasma.github.io/Logging_0680/klagomål/A 62844-2023 FSC-klagomål.docx", "A 62844-2023")</f>
        <v/>
      </c>
      <c r="AB121">
        <f>HYPERLINK("https://klasma.github.io/Logging_0680/klagomålsmail/A 62844-2023 FSC-klagomål mail.docx", "A 62844-2023")</f>
        <v/>
      </c>
      <c r="AC121">
        <f>HYPERLINK("https://klasma.github.io/Logging_0680/tillsyn/A 62844-2023 tillsynsbegäran.docx", "A 62844-2023")</f>
        <v/>
      </c>
      <c r="AD121">
        <f>HYPERLINK("https://klasma.github.io/Logging_0680/tillsynsmail/A 62844-2023 tillsynsbegäran mail.docx", "A 62844-2023")</f>
        <v/>
      </c>
    </row>
    <row r="122" ht="15" customHeight="1">
      <c r="A122" t="inlineStr">
        <is>
          <t>A 71504-2021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46292</v>
      </c>
      <c r="F122" t="inlineStr">
        <is>
          <t>JÖNKÖPINGS LÄN</t>
        </is>
      </c>
      <c r="G122" t="inlineStr">
        <is>
          <t>JÖNKÖPING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HYPERLINK("https://klasma.github.io/Logging_0680/artfynd/A 71504-2021 artfynd.xlsx", "A 71504-2021")</f>
        <v/>
      </c>
      <c r="X122">
        <f>HYPERLINK("https://klasma.github.io/Logging_0680/kartor/A 71504-2021 karta.png", "A 71504-2021")</f>
        <v/>
      </c>
      <c r="Y122">
        <f>HYPERLINK("https://klasma.github.io/Logging_0680/kartor_geotiff/A 71504-2021 georefererad karta.tif", "A 71504-2021")</f>
        <v/>
      </c>
      <c r="AA122">
        <f>HYPERLINK("https://klasma.github.io/Logging_0680/klagomål/A 71504-2021 FSC-klagomål.docx", "A 71504-2021")</f>
        <v/>
      </c>
      <c r="AB122">
        <f>HYPERLINK("https://klasma.github.io/Logging_0680/klagomålsmail/A 71504-2021 FSC-klagomål mail.docx", "A 71504-2021")</f>
        <v/>
      </c>
      <c r="AC122">
        <f>HYPERLINK("https://klasma.github.io/Logging_0680/tillsyn/A 71504-2021 tillsynsbegäran.docx", "A 71504-2021")</f>
        <v/>
      </c>
      <c r="AD122">
        <f>HYPERLINK("https://klasma.github.io/Logging_0680/tillsynsmail/A 71504-2021 tillsynsbegäran mail.docx", "A 71504-2021")</f>
        <v/>
      </c>
    </row>
    <row r="123" ht="15" customHeight="1">
      <c r="A123" t="inlineStr">
        <is>
          <t>A 53601-2022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46292</v>
      </c>
      <c r="F123" t="inlineStr">
        <is>
          <t>JÖNKÖPINGS LÄN</t>
        </is>
      </c>
      <c r="G123" t="inlineStr">
        <is>
          <t>JÖNKÖPING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HYPERLINK("https://klasma.github.io/Logging_0680/artfynd/A 53601-2022 artfynd.xlsx", "A 53601-2022")</f>
        <v/>
      </c>
      <c r="X123">
        <f>HYPERLINK("https://klasma.github.io/Logging_0680/kartor/A 53601-2022 karta.png", "A 53601-2022")</f>
        <v/>
      </c>
      <c r="Y123">
        <f>HYPERLINK("https://klasma.github.io/Logging_0680/kartor_geotiff/A 53601-2022 georefererad karta.tif", "A 53601-2022")</f>
        <v/>
      </c>
      <c r="Z123">
        <f>HYPERLINK("https://klasma.github.io/Logging_0680/knärot/A 53601-2022 karta knärot.png", "A 53601-2022")</f>
        <v/>
      </c>
      <c r="AA123">
        <f>HYPERLINK("https://klasma.github.io/Logging_0680/klagomål/A 53601-2022 FSC-klagomål.docx", "A 53601-2022")</f>
        <v/>
      </c>
      <c r="AB123">
        <f>HYPERLINK("https://klasma.github.io/Logging_0680/klagomålsmail/A 53601-2022 FSC-klagomål mail.docx", "A 53601-2022")</f>
        <v/>
      </c>
      <c r="AC123">
        <f>HYPERLINK("https://klasma.github.io/Logging_0680/tillsyn/A 53601-2022 tillsynsbegäran.docx", "A 53601-2022")</f>
        <v/>
      </c>
      <c r="AD123">
        <f>HYPERLINK("https://klasma.github.io/Logging_0680/tillsynsmail/A 53601-2022 tillsynsbegäran mail.docx", "A 53601-2022")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46292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46292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43624-2023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45184</v>
      </c>
      <c r="E126" s="1" t="n">
        <v>46292</v>
      </c>
      <c r="F126" t="inlineStr">
        <is>
          <t>JÖNKÖPINGS LÄN</t>
        </is>
      </c>
      <c r="G126" t="inlineStr">
        <is>
          <t>JÖNKÖPING</t>
        </is>
      </c>
      <c r="I126" t="n">
        <v>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Gullpudra</t>
        </is>
      </c>
      <c r="W126">
        <f>HYPERLINK("https://klasma.github.io/Logging_0680/artfynd/A 43624-2023 artfynd.xlsx", "A 43624-2023")</f>
        <v/>
      </c>
      <c r="X126">
        <f>HYPERLINK("https://klasma.github.io/Logging_0680/kartor/A 43624-2023 karta.png", "A 43624-2023")</f>
        <v/>
      </c>
      <c r="Y126">
        <f>HYPERLINK("https://klasma.github.io/Logging_0680/kartor_geotiff/A 43624-2023 georefererad karta.tif", "A 43624-2023")</f>
        <v/>
      </c>
      <c r="AA126">
        <f>HYPERLINK("https://klasma.github.io/Logging_0680/klagomål/A 43624-2023 FSC-klagomål.docx", "A 43624-2023")</f>
        <v/>
      </c>
      <c r="AB126">
        <f>HYPERLINK("https://klasma.github.io/Logging_0680/klagomålsmail/A 43624-2023 FSC-klagomål mail.docx", "A 43624-2023")</f>
        <v/>
      </c>
      <c r="AC126">
        <f>HYPERLINK("https://klasma.github.io/Logging_0680/tillsyn/A 43624-2023 tillsynsbegäran.docx", "A 43624-2023")</f>
        <v/>
      </c>
      <c r="AD126">
        <f>HYPERLINK("https://klasma.github.io/Logging_0680/tillsynsmail/A 43624-2023 tillsynsbegäran mail.docx", "A 43624-2023")</f>
        <v/>
      </c>
    </row>
    <row r="127" ht="15" customHeight="1">
      <c r="A127" t="inlineStr">
        <is>
          <t>A 5898-2023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46292</v>
      </c>
      <c r="F127" t="inlineStr">
        <is>
          <t>JÖNKÖPINGS LÄN</t>
        </is>
      </c>
      <c r="G127" t="inlineStr">
        <is>
          <t>JÖNKÖPING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HYPERLINK("https://klasma.github.io/Logging_0680/artfynd/A 5898-2023 artfynd.xlsx", "A 5898-2023")</f>
        <v/>
      </c>
      <c r="X127">
        <f>HYPERLINK("https://klasma.github.io/Logging_0680/kartor/A 5898-2023 karta.png", "A 5898-2023")</f>
        <v/>
      </c>
      <c r="Y127">
        <f>HYPERLINK("https://klasma.github.io/Logging_0680/kartor_geotiff/A 5898-2023 georefererad karta.tif", "A 5898-2023")</f>
        <v/>
      </c>
      <c r="AA127">
        <f>HYPERLINK("https://klasma.github.io/Logging_0680/klagomål/A 5898-2023 FSC-klagomål.docx", "A 5898-2023")</f>
        <v/>
      </c>
      <c r="AB127">
        <f>HYPERLINK("https://klasma.github.io/Logging_0680/klagomålsmail/A 5898-2023 FSC-klagomål mail.docx", "A 5898-2023")</f>
        <v/>
      </c>
      <c r="AC127">
        <f>HYPERLINK("https://klasma.github.io/Logging_0680/tillsyn/A 5898-2023 tillsynsbegäran.docx", "A 5898-2023")</f>
        <v/>
      </c>
      <c r="AD127">
        <f>HYPERLINK("https://klasma.github.io/Logging_0680/tillsynsmail/A 5898-2023 tillsynsbegäran mail.docx", "A 5898-2023")</f>
        <v/>
      </c>
    </row>
    <row r="128" ht="15" customHeight="1">
      <c r="A128" t="inlineStr">
        <is>
          <t>A 11260-2023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46292</v>
      </c>
      <c r="F128" t="inlineStr">
        <is>
          <t>JÖNKÖPINGS LÄN</t>
        </is>
      </c>
      <c r="G128" t="inlineStr">
        <is>
          <t>JÖNKÖPING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HYPERLINK("https://klasma.github.io/Logging_0680/artfynd/A 11260-2023 artfynd.xlsx", "A 11260-2023")</f>
        <v/>
      </c>
      <c r="X128">
        <f>HYPERLINK("https://klasma.github.io/Logging_0680/kartor/A 11260-2023 karta.png", "A 11260-2023")</f>
        <v/>
      </c>
      <c r="Y128">
        <f>HYPERLINK("https://klasma.github.io/Logging_0680/kartor_geotiff/A 11260-2023 georefererad karta.tif", "A 11260-2023")</f>
        <v/>
      </c>
      <c r="Z128">
        <f>HYPERLINK("https://klasma.github.io/Logging_0680/knärot/A 11260-2023 karta knärot.png", "A 11260-2023")</f>
        <v/>
      </c>
      <c r="AA128">
        <f>HYPERLINK("https://klasma.github.io/Logging_0680/klagomål/A 11260-2023 FSC-klagomål.docx", "A 11260-2023")</f>
        <v/>
      </c>
      <c r="AB128">
        <f>HYPERLINK("https://klasma.github.io/Logging_0680/klagomålsmail/A 11260-2023 FSC-klagomål mail.docx", "A 11260-2023")</f>
        <v/>
      </c>
      <c r="AC128">
        <f>HYPERLINK("https://klasma.github.io/Logging_0680/tillsyn/A 11260-2023 tillsynsbegäran.docx", "A 11260-2023")</f>
        <v/>
      </c>
      <c r="AD128">
        <f>HYPERLINK("https://klasma.github.io/Logging_0680/tillsynsmail/A 11260-2023 tillsynsbegäran mail.docx", "A 11260-2023")</f>
        <v/>
      </c>
    </row>
    <row r="129" ht="15" customHeight="1">
      <c r="A129" t="inlineStr">
        <is>
          <t>A 54424-2024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46292</v>
      </c>
      <c r="F129" t="inlineStr">
        <is>
          <t>JÖNKÖPINGS LÄN</t>
        </is>
      </c>
      <c r="G129" t="inlineStr">
        <is>
          <t>JÖNKÖPING</t>
        </is>
      </c>
      <c r="I129" t="n">
        <v>6.2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HYPERLINK("https://klasma.github.io/Logging_0680/artfynd/A 54424-2024 artfynd.xlsx", "A 54424-2024")</f>
        <v/>
      </c>
      <c r="X129">
        <f>HYPERLINK("https://klasma.github.io/Logging_0680/kartor/A 54424-2024 karta.png", "A 54424-2024")</f>
        <v/>
      </c>
      <c r="Y129">
        <f>HYPERLINK("https://klasma.github.io/Logging_0680/kartor_geotiff/A 54424-2024 georefererad karta.tif", "A 54424-2024")</f>
        <v/>
      </c>
      <c r="AA129">
        <f>HYPERLINK("https://klasma.github.io/Logging_0680/klagomål/A 54424-2024 FSC-klagomål.docx", "A 54424-2024")</f>
        <v/>
      </c>
      <c r="AB129">
        <f>HYPERLINK("https://klasma.github.io/Logging_0680/klagomålsmail/A 54424-2024 FSC-klagomål mail.docx", "A 54424-2024")</f>
        <v/>
      </c>
      <c r="AC129">
        <f>HYPERLINK("https://klasma.github.io/Logging_0680/tillsyn/A 54424-2024 tillsynsbegäran.docx", "A 54424-2024")</f>
        <v/>
      </c>
      <c r="AD129">
        <f>HYPERLINK("https://klasma.github.io/Logging_0680/tillsynsmail/A 54424-2024 tillsynsbegäran mail.docx", "A 54424-2024")</f>
        <v/>
      </c>
    </row>
    <row r="130" ht="15" customHeight="1">
      <c r="A130" t="inlineStr">
        <is>
          <t>S 2902-2022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44711</v>
      </c>
      <c r="E130" s="1" t="n">
        <v>46292</v>
      </c>
      <c r="F130" t="inlineStr">
        <is>
          <t>JÖNKÖPINGS LÄN</t>
        </is>
      </c>
      <c r="G130" t="inlineStr">
        <is>
          <t>JÖNKÖPING</t>
        </is>
      </c>
      <c r="I130" t="n">
        <v>38.4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HYPERLINK("https://klasma.github.io/Logging_0680/artfynd/S 2902-2022 artfynd.xlsx", "S 2902-2022")</f>
        <v/>
      </c>
      <c r="X130">
        <f>HYPERLINK("https://klasma.github.io/Logging_0680/kartor/S 2902-2022 karta.png", "S 2902-2022")</f>
        <v/>
      </c>
      <c r="Y130">
        <f>HYPERLINK("https://klasma.github.io/Logging_0680/kartor_geotiff/S 2902-2022 georefererad karta.tif", "S 2902-2022")</f>
        <v/>
      </c>
      <c r="AA130">
        <f>HYPERLINK("https://klasma.github.io/Logging_0680/klagomål/S 2902-2022 FSC-klagomål.docx", "S 2902-2022")</f>
        <v/>
      </c>
      <c r="AB130">
        <f>HYPERLINK("https://klasma.github.io/Logging_0680/klagomålsmail/S 2902-2022 FSC-klagomål mail.docx", "S 2902-2022")</f>
        <v/>
      </c>
      <c r="AC130">
        <f>HYPERLINK("https://klasma.github.io/Logging_0680/tillsyn/S 2902-2022 tillsynsbegäran.docx", "S 2902-2022")</f>
        <v/>
      </c>
      <c r="AD130">
        <f>HYPERLINK("https://klasma.github.io/Logging_0680/tillsynsmail/S 2902-2022 tillsynsbegäran mail.docx", "S 2902-2022")</f>
        <v/>
      </c>
    </row>
    <row r="131" ht="15" customHeight="1">
      <c r="A131" t="inlineStr">
        <is>
          <t>S 1317-2022</t>
        </is>
      </c>
      <c r="B131" t="inlineStr">
        <is>
          <t>samrådsanmälan</t>
        </is>
      </c>
      <c r="C131" t="inlineStr">
        <is>
          <t>Åtgärd i nyckelbiotop</t>
        </is>
      </c>
      <c r="D131" s="1" t="n">
        <v>44628</v>
      </c>
      <c r="E131" s="1" t="n">
        <v>46292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4</v>
      </c>
      <c r="U131" t="n">
        <v>0</v>
      </c>
      <c r="V131" s="2" t="inlineStr">
        <is>
          <t>Ask</t>
        </is>
      </c>
      <c r="W131">
        <f>HYPERLINK("https://klasma.github.io/Logging_0680/artfynd/S 1317-2022 artfynd.xlsx", "S 1317-2022")</f>
        <v/>
      </c>
      <c r="X131">
        <f>HYPERLINK("https://klasma.github.io/Logging_0680/kartor/S 1317-2022 karta.png", "S 1317-2022")</f>
        <v/>
      </c>
      <c r="Y131">
        <f>HYPERLINK("https://klasma.github.io/Logging_0680/kartor_geotiff/S 1317-2022 georefererad karta.tif", "S 1317-2022")</f>
        <v/>
      </c>
      <c r="AA131">
        <f>HYPERLINK("https://klasma.github.io/Logging_0680/klagomål/S 1317-2022 FSC-klagomål.docx", "S 1317-2022")</f>
        <v/>
      </c>
      <c r="AB131">
        <f>HYPERLINK("https://klasma.github.io/Logging_0680/klagomålsmail/S 1317-2022 FSC-klagomål mail.docx", "S 1317-2022")</f>
        <v/>
      </c>
      <c r="AC131">
        <f>HYPERLINK("https://klasma.github.io/Logging_0680/tillsyn/S 1317-2022 tillsynsbegäran.docx", "S 1317-2022")</f>
        <v/>
      </c>
      <c r="AD131">
        <f>HYPERLINK("https://klasma.github.io/Logging_0680/tillsynsmail/S 1317-2022 tillsynsbegäran mail.docx", "S 1317-2022")</f>
        <v/>
      </c>
    </row>
    <row r="132" ht="15" customHeight="1">
      <c r="A132" t="inlineStr">
        <is>
          <t>S 273-2023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44955</v>
      </c>
      <c r="E132" s="1" t="n">
        <v>46292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26.3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Hållav</t>
        </is>
      </c>
      <c r="W132">
        <f>HYPERLINK("https://klasma.github.io/Logging_0680/artfynd/S 273-2023 artfynd.xlsx", "S 273-2023")</f>
        <v/>
      </c>
      <c r="X132">
        <f>HYPERLINK("https://klasma.github.io/Logging_0680/kartor/S 273-2023 karta.png", "S 273-2023")</f>
        <v/>
      </c>
      <c r="Y132">
        <f>HYPERLINK("https://klasma.github.io/Logging_0680/kartor_geotiff/S 273-2023 georefererad karta.tif", "S 273-2023")</f>
        <v/>
      </c>
      <c r="AA132">
        <f>HYPERLINK("https://klasma.github.io/Logging_0680/klagomål/S 273-2023 FSC-klagomål.docx", "S 273-2023")</f>
        <v/>
      </c>
      <c r="AB132">
        <f>HYPERLINK("https://klasma.github.io/Logging_0680/klagomålsmail/S 273-2023 FSC-klagomål mail.docx", "S 273-2023")</f>
        <v/>
      </c>
      <c r="AC132">
        <f>HYPERLINK("https://klasma.github.io/Logging_0680/tillsyn/S 273-2023 tillsynsbegäran.docx", "S 273-2023")</f>
        <v/>
      </c>
      <c r="AD132">
        <f>HYPERLINK("https://klasma.github.io/Logging_0680/tillsynsmail/S 273-2023 tillsynsbegäran mail.docx", "S 273-2023")</f>
        <v/>
      </c>
    </row>
    <row r="133" ht="15" customHeight="1">
      <c r="A133" t="inlineStr">
        <is>
          <t>S 1266-2023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45029</v>
      </c>
      <c r="E133" s="1" t="n">
        <v>46292</v>
      </c>
      <c r="F133" t="inlineStr">
        <is>
          <t>JÖNKÖPINGS LÄN</t>
        </is>
      </c>
      <c r="G133" t="inlineStr">
        <is>
          <t>JÖNKÖPING</t>
        </is>
      </c>
      <c r="I133" t="n">
        <v>16.7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Grönsångare</t>
        </is>
      </c>
      <c r="W133">
        <f>HYPERLINK("https://klasma.github.io/Logging_0680/artfynd/S 1266-2023 artfynd.xlsx", "S 1266-2023")</f>
        <v/>
      </c>
      <c r="X133">
        <f>HYPERLINK("https://klasma.github.io/Logging_0680/kartor/S 1266-2023 karta.png", "S 1266-2023")</f>
        <v/>
      </c>
      <c r="Y133">
        <f>HYPERLINK("https://klasma.github.io/Logging_0680/kartor_geotiff/S 1266-2023 georefererad karta.tif", "S 1266-2023")</f>
        <v/>
      </c>
      <c r="AA133">
        <f>HYPERLINK("https://klasma.github.io/Logging_0680/klagomål/S 1266-2023 FSC-klagomål.docx", "S 1266-2023")</f>
        <v/>
      </c>
      <c r="AB133">
        <f>HYPERLINK("https://klasma.github.io/Logging_0680/klagomålsmail/S 1266-2023 FSC-klagomål mail.docx", "S 1266-2023")</f>
        <v/>
      </c>
      <c r="AC133">
        <f>HYPERLINK("https://klasma.github.io/Logging_0680/tillsyn/S 1266-2023 tillsynsbegäran.docx", "S 1266-2023")</f>
        <v/>
      </c>
      <c r="AD133">
        <f>HYPERLINK("https://klasma.github.io/Logging_0680/tillsynsmail/S 1266-2023 tillsynsbegäran mail.docx", "S 1266-2023")</f>
        <v/>
      </c>
      <c r="AE133">
        <f>HYPERLINK("https://klasma.github.io/Logging_0680/fåglar/S 1266-2023 prioriterade fågelarter.docx", "S 1266-2023")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46292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46292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46292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46292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46292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46292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46292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46292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46292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46292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46292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46292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46292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46292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46292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46292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46292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46292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46292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46292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46292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46292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46292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46292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46292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46292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46292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46292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44840</v>
      </c>
      <c r="E162" s="1" t="n">
        <v>46292</v>
      </c>
      <c r="F162" t="inlineStr">
        <is>
          <t>JÖNKÖPINGS LÄN</t>
        </is>
      </c>
      <c r="G162" t="inlineStr">
        <is>
          <t>JÖNKÖPING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46292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46292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46292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46292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46292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46292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46292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46292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46292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74120-2021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46292</v>
      </c>
      <c r="F172" t="inlineStr">
        <is>
          <t>JÖNKÖPINGS LÄN</t>
        </is>
      </c>
      <c r="G172" t="inlineStr">
        <is>
          <t>JÖNKÖPING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46292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46292</v>
      </c>
      <c r="F174" t="inlineStr">
        <is>
          <t>JÖNKÖPINGS LÄN</t>
        </is>
      </c>
      <c r="G174" t="inlineStr">
        <is>
          <t>JÖNKÖPING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46292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46292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46292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46292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46292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46292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46292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46292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46292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46292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46292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46292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46292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46292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46292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46292</v>
      </c>
      <c r="F190" t="inlineStr">
        <is>
          <t>JÖNKÖPINGS LÄN</t>
        </is>
      </c>
      <c r="G190" t="inlineStr">
        <is>
          <t>JÖNKÖPING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46292</v>
      </c>
      <c r="F191" t="inlineStr">
        <is>
          <t>JÖNKÖPINGS LÄN</t>
        </is>
      </c>
      <c r="G191" t="inlineStr">
        <is>
          <t>JÖNKÖPING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46292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44532</v>
      </c>
      <c r="E193" s="1" t="n">
        <v>46292</v>
      </c>
      <c r="F193" t="inlineStr">
        <is>
          <t>JÖNKÖPINGS LÄN</t>
        </is>
      </c>
      <c r="G193" t="inlineStr">
        <is>
          <t>JÖNKÖPING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46292</v>
      </c>
      <c r="F194" t="inlineStr">
        <is>
          <t>JÖNKÖPINGS LÄN</t>
        </is>
      </c>
      <c r="G194" t="inlineStr">
        <is>
          <t>JÖNKÖPING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46292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44805</v>
      </c>
      <c r="E196" s="1" t="n">
        <v>46292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44811</v>
      </c>
      <c r="E197" s="1" t="n">
        <v>46292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46292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46292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46292</v>
      </c>
      <c r="F200" t="inlineStr">
        <is>
          <t>JÖNKÖPINGS LÄN</t>
        </is>
      </c>
      <c r="G200" t="inlineStr">
        <is>
          <t>JÖNKÖPING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46292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46292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46292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46292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46292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46292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46292</v>
      </c>
      <c r="F207" t="inlineStr">
        <is>
          <t>JÖNKÖPINGS LÄN</t>
        </is>
      </c>
      <c r="G207" t="inlineStr">
        <is>
          <t>JÖNKÖPING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46292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46292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46292</v>
      </c>
      <c r="F210" t="inlineStr">
        <is>
          <t>JÖNKÖPINGS LÄN</t>
        </is>
      </c>
      <c r="G210" t="inlineStr">
        <is>
          <t>JÖNKÖPING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46292</v>
      </c>
      <c r="F211" t="inlineStr">
        <is>
          <t>JÖNKÖPINGS LÄN</t>
        </is>
      </c>
      <c r="G211" t="inlineStr">
        <is>
          <t>JÖNKÖPING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46292</v>
      </c>
      <c r="F212" t="inlineStr">
        <is>
          <t>JÖNKÖPINGS LÄN</t>
        </is>
      </c>
      <c r="G212" t="inlineStr">
        <is>
          <t>JÖNKÖPING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45270</v>
      </c>
      <c r="E213" s="1" t="n">
        <v>46292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46292</v>
      </c>
      <c r="F214" t="inlineStr">
        <is>
          <t>JÖNKÖPINGS LÄN</t>
        </is>
      </c>
      <c r="G214" t="inlineStr">
        <is>
          <t>JÖNKÖPING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46292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46292</v>
      </c>
      <c r="F216" t="inlineStr">
        <is>
          <t>JÖNKÖPINGS LÄN</t>
        </is>
      </c>
      <c r="G216" t="inlineStr">
        <is>
          <t>JÖNKÖPING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46292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43668-2022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44837</v>
      </c>
      <c r="E218" s="1" t="n">
        <v>46292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44963</v>
      </c>
      <c r="E219" s="1" t="n">
        <v>46292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46292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46292</v>
      </c>
      <c r="F221" t="inlineStr">
        <is>
          <t>JÖNKÖPINGS LÄN</t>
        </is>
      </c>
      <c r="G221" t="inlineStr">
        <is>
          <t>JÖNKÖPING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46292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46292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46292</v>
      </c>
      <c r="F224" t="inlineStr">
        <is>
          <t>JÖNKÖPINGS LÄN</t>
        </is>
      </c>
      <c r="G224" t="inlineStr">
        <is>
          <t>JÖNKÖPING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46292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45533</v>
      </c>
      <c r="E226" s="1" t="n">
        <v>46292</v>
      </c>
      <c r="F226" t="inlineStr">
        <is>
          <t>JÖNKÖPINGS LÄN</t>
        </is>
      </c>
      <c r="G226" t="inlineStr">
        <is>
          <t>JÖNKÖPING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46292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46292</v>
      </c>
      <c r="F228" t="inlineStr">
        <is>
          <t>JÖNKÖPINGS LÄN</t>
        </is>
      </c>
      <c r="G228" t="inlineStr">
        <is>
          <t>JÖNKÖPING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46292</v>
      </c>
      <c r="F229" t="inlineStr">
        <is>
          <t>JÖNKÖPINGS LÄN</t>
        </is>
      </c>
      <c r="G229" t="inlineStr">
        <is>
          <t>JÖNKÖPING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46292</v>
      </c>
      <c r="F230" t="inlineStr">
        <is>
          <t>JÖNKÖPINGS LÄN</t>
        </is>
      </c>
      <c r="G230" t="inlineStr">
        <is>
          <t>JÖNKÖPING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47314-2022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44853</v>
      </c>
      <c r="E231" s="1" t="n">
        <v>46292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Kyrkan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46292</v>
      </c>
      <c r="F232" t="inlineStr">
        <is>
          <t>JÖNKÖPINGS LÄN</t>
        </is>
      </c>
      <c r="G232" t="inlineStr">
        <is>
          <t>JÖNKÖPING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46292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46292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58559-2021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46292</v>
      </c>
      <c r="F235" t="inlineStr">
        <is>
          <t>JÖNKÖPINGS LÄN</t>
        </is>
      </c>
      <c r="G235" t="inlineStr">
        <is>
          <t>JÖNKÖPING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46292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46026</v>
      </c>
      <c r="E237" s="1" t="n">
        <v>46292</v>
      </c>
      <c r="F237" t="inlineStr">
        <is>
          <t>JÖNKÖPINGS LÄN</t>
        </is>
      </c>
      <c r="G237" t="inlineStr">
        <is>
          <t>JÖNKÖPING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46292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45570</v>
      </c>
      <c r="E239" s="1" t="n">
        <v>46292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46292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44853</v>
      </c>
      <c r="E241" s="1" t="n">
        <v>46292</v>
      </c>
      <c r="F241" t="inlineStr">
        <is>
          <t>JÖNKÖPINGS LÄN</t>
        </is>
      </c>
      <c r="G241" t="inlineStr">
        <is>
          <t>JÖNKÖPING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46292</v>
      </c>
      <c r="F242" t="inlineStr">
        <is>
          <t>JÖNKÖPINGS LÄN</t>
        </is>
      </c>
      <c r="G242" t="inlineStr">
        <is>
          <t>JÖNKÖPING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46292</v>
      </c>
      <c r="F243" t="inlineStr">
        <is>
          <t>JÖNKÖPINGS LÄN</t>
        </is>
      </c>
      <c r="G243" t="inlineStr">
        <is>
          <t>JÖNKÖPING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46292</v>
      </c>
      <c r="F244" t="inlineStr">
        <is>
          <t>JÖNKÖPINGS LÄN</t>
        </is>
      </c>
      <c r="G244" t="inlineStr">
        <is>
          <t>JÖNKÖPING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46292</v>
      </c>
      <c r="F245" t="inlineStr">
        <is>
          <t>JÖNKÖPINGS LÄN</t>
        </is>
      </c>
      <c r="G245" t="inlineStr">
        <is>
          <t>JÖNKÖPING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46292</v>
      </c>
      <c r="F246" t="inlineStr">
        <is>
          <t>JÖNKÖPINGS LÄN</t>
        </is>
      </c>
      <c r="G246" t="inlineStr">
        <is>
          <t>JÖNKÖPING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46292</v>
      </c>
      <c r="F247" t="inlineStr">
        <is>
          <t>JÖNKÖPINGS LÄN</t>
        </is>
      </c>
      <c r="G247" t="inlineStr">
        <is>
          <t>JÖNKÖPING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46292</v>
      </c>
      <c r="F248" t="inlineStr">
        <is>
          <t>JÖNKÖPINGS LÄN</t>
        </is>
      </c>
      <c r="G248" t="inlineStr">
        <is>
          <t>JÖNKÖPING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46292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46292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46292</v>
      </c>
      <c r="F251" t="inlineStr">
        <is>
          <t>JÖNKÖPINGS LÄN</t>
        </is>
      </c>
      <c r="G251" t="inlineStr">
        <is>
          <t>JÖNKÖPING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46292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46292</v>
      </c>
      <c r="F253" t="inlineStr">
        <is>
          <t>JÖNKÖPINGS LÄN</t>
        </is>
      </c>
      <c r="G253" t="inlineStr">
        <is>
          <t>JÖNKÖPING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46292</v>
      </c>
      <c r="F254" t="inlineStr">
        <is>
          <t>JÖNKÖPINGS LÄN</t>
        </is>
      </c>
      <c r="G254" t="inlineStr">
        <is>
          <t>JÖNKÖPING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57095-2021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46292</v>
      </c>
      <c r="F255" t="inlineStr">
        <is>
          <t>JÖNKÖPINGS LÄN</t>
        </is>
      </c>
      <c r="G255" t="inlineStr">
        <is>
          <t>JÖNKÖPING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46292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46292</v>
      </c>
      <c r="F257" t="inlineStr">
        <is>
          <t>JÖNKÖPINGS LÄN</t>
        </is>
      </c>
      <c r="G257" t="inlineStr">
        <is>
          <t>JÖNKÖPING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46292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46292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46292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46292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45295</v>
      </c>
      <c r="E262" s="1" t="n">
        <v>46292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46292</v>
      </c>
      <c r="F263" t="inlineStr">
        <is>
          <t>JÖNKÖPINGS LÄN</t>
        </is>
      </c>
      <c r="G263" t="inlineStr">
        <is>
          <t>JÖNKÖPING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46292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45892</v>
      </c>
      <c r="E265" s="1" t="n">
        <v>46292</v>
      </c>
      <c r="F265" t="inlineStr">
        <is>
          <t>JÖNKÖPINGS LÄN</t>
        </is>
      </c>
      <c r="G265" t="inlineStr">
        <is>
          <t>JÖNKÖPING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46292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46292</v>
      </c>
      <c r="F267" t="inlineStr">
        <is>
          <t>JÖNKÖPINGS LÄN</t>
        </is>
      </c>
      <c r="G267" t="inlineStr">
        <is>
          <t>JÖNKÖPING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45892</v>
      </c>
      <c r="E268" s="1" t="n">
        <v>46292</v>
      </c>
      <c r="F268" t="inlineStr">
        <is>
          <t>JÖNKÖPINGS LÄN</t>
        </is>
      </c>
      <c r="G268" t="inlineStr">
        <is>
          <t>JÖNKÖPING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45892</v>
      </c>
      <c r="E269" s="1" t="n">
        <v>46292</v>
      </c>
      <c r="F269" t="inlineStr">
        <is>
          <t>JÖNKÖPINGS LÄN</t>
        </is>
      </c>
      <c r="G269" t="inlineStr">
        <is>
          <t>JÖNKÖPING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46292</v>
      </c>
      <c r="F270" t="inlineStr">
        <is>
          <t>JÖNKÖPINGS LÄN</t>
        </is>
      </c>
      <c r="G270" t="inlineStr">
        <is>
          <t>JÖNKÖPING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46292</v>
      </c>
      <c r="F271" t="inlineStr">
        <is>
          <t>JÖNKÖPINGS LÄN</t>
        </is>
      </c>
      <c r="G271" t="inlineStr">
        <is>
          <t>JÖNKÖPING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46292</v>
      </c>
      <c r="F272" t="inlineStr">
        <is>
          <t>JÖNKÖPINGS LÄN</t>
        </is>
      </c>
      <c r="G272" t="inlineStr">
        <is>
          <t>JÖNKÖPING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46292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46292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56569-2022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44893</v>
      </c>
      <c r="E275" s="1" t="n">
        <v>46292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45545</v>
      </c>
      <c r="E276" s="1" t="n">
        <v>46292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46292</v>
      </c>
      <c r="F277" t="inlineStr">
        <is>
          <t>JÖNKÖPINGS LÄN</t>
        </is>
      </c>
      <c r="G277" t="inlineStr">
        <is>
          <t>JÖNKÖPING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46292</v>
      </c>
      <c r="F278" t="inlineStr">
        <is>
          <t>JÖNKÖPINGS LÄN</t>
        </is>
      </c>
      <c r="G278" t="inlineStr">
        <is>
          <t>JÖNKÖPING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7425-2026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46059</v>
      </c>
      <c r="E279" s="1" t="n">
        <v>46292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46043</v>
      </c>
      <c r="E280" s="1" t="n">
        <v>46292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46292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46292</v>
      </c>
      <c r="F282" t="inlineStr">
        <is>
          <t>JÖNKÖPINGS LÄN</t>
        </is>
      </c>
      <c r="G282" t="inlineStr">
        <is>
          <t>JÖNKÖPING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46292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46292</v>
      </c>
      <c r="F284" t="inlineStr">
        <is>
          <t>JÖNKÖPINGS LÄN</t>
        </is>
      </c>
      <c r="G284" t="inlineStr">
        <is>
          <t>JÖNKÖPING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46292</v>
      </c>
      <c r="F285" t="inlineStr">
        <is>
          <t>JÖNKÖPINGS LÄN</t>
        </is>
      </c>
      <c r="G285" t="inlineStr">
        <is>
          <t>JÖNKÖPING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46292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46292</v>
      </c>
      <c r="F287" t="inlineStr">
        <is>
          <t>JÖNKÖPINGS LÄN</t>
        </is>
      </c>
      <c r="G287" t="inlineStr">
        <is>
          <t>JÖNKÖPING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46292</v>
      </c>
      <c r="F288" t="inlineStr">
        <is>
          <t>JÖNKÖPINGS LÄN</t>
        </is>
      </c>
      <c r="G288" t="inlineStr">
        <is>
          <t>JÖNKÖPING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46292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46292</v>
      </c>
      <c r="F290" t="inlineStr">
        <is>
          <t>JÖNKÖPINGS LÄN</t>
        </is>
      </c>
      <c r="G290" t="inlineStr">
        <is>
          <t>JÖNKÖPING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46048</v>
      </c>
      <c r="E291" s="1" t="n">
        <v>46292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46292</v>
      </c>
      <c r="F292" t="inlineStr">
        <is>
          <t>JÖNKÖPINGS LÄN</t>
        </is>
      </c>
      <c r="G292" t="inlineStr">
        <is>
          <t>JÖNKÖPING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46292</v>
      </c>
      <c r="F293" t="inlineStr">
        <is>
          <t>JÖNKÖPINGS LÄN</t>
        </is>
      </c>
      <c r="G293" t="inlineStr">
        <is>
          <t>JÖNKÖPING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46292</v>
      </c>
      <c r="F294" t="inlineStr">
        <is>
          <t>JÖNKÖPINGS LÄN</t>
        </is>
      </c>
      <c r="G294" t="inlineStr">
        <is>
          <t>JÖNKÖPING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5332-2026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46050</v>
      </c>
      <c r="E295" s="1" t="n">
        <v>46292</v>
      </c>
      <c r="F295" t="inlineStr">
        <is>
          <t>JÖNKÖPINGS LÄN</t>
        </is>
      </c>
      <c r="G295" t="inlineStr">
        <is>
          <t>JÖNKÖPING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46292</v>
      </c>
      <c r="F296" t="inlineStr">
        <is>
          <t>JÖNKÖPINGS LÄN</t>
        </is>
      </c>
      <c r="G296" t="inlineStr">
        <is>
          <t>JÖNKÖPING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44550</v>
      </c>
      <c r="E297" s="1" t="n">
        <v>46292</v>
      </c>
      <c r="F297" t="inlineStr">
        <is>
          <t>JÖNKÖPINGS LÄN</t>
        </is>
      </c>
      <c r="G297" t="inlineStr">
        <is>
          <t>JÖNKÖPING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46292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46292</v>
      </c>
      <c r="F299" t="inlineStr">
        <is>
          <t>JÖNKÖPINGS LÄN</t>
        </is>
      </c>
      <c r="G299" t="inlineStr">
        <is>
          <t>JÖNKÖPING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46292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46292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44589</v>
      </c>
      <c r="E302" s="1" t="n">
        <v>46292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46292</v>
      </c>
      <c r="F303" t="inlineStr">
        <is>
          <t>JÖNKÖPINGS LÄN</t>
        </is>
      </c>
      <c r="G303" t="inlineStr">
        <is>
          <t>JÖNKÖPING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46292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46292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46292</v>
      </c>
      <c r="F306" t="inlineStr">
        <is>
          <t>JÖNKÖPINGS LÄN</t>
        </is>
      </c>
      <c r="G306" t="inlineStr">
        <is>
          <t>JÖNKÖPING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46292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46292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46292</v>
      </c>
      <c r="F309" t="inlineStr">
        <is>
          <t>JÖNKÖPINGS LÄN</t>
        </is>
      </c>
      <c r="G309" t="inlineStr">
        <is>
          <t>JÖNKÖPING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46292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46292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46292</v>
      </c>
      <c r="F312" t="inlineStr">
        <is>
          <t>JÖNKÖPINGS LÄN</t>
        </is>
      </c>
      <c r="G312" t="inlineStr">
        <is>
          <t>JÖNKÖPING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46292</v>
      </c>
      <c r="F313" t="inlineStr">
        <is>
          <t>JÖNKÖPINGS LÄN</t>
        </is>
      </c>
      <c r="G313" t="inlineStr">
        <is>
          <t>JÖNKÖPING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46292</v>
      </c>
      <c r="F314" t="inlineStr">
        <is>
          <t>JÖNKÖPINGS LÄN</t>
        </is>
      </c>
      <c r="G314" t="inlineStr">
        <is>
          <t>JÖNKÖPING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46292</v>
      </c>
      <c r="F315" t="inlineStr">
        <is>
          <t>JÖNKÖPINGS LÄN</t>
        </is>
      </c>
      <c r="G315" t="inlineStr">
        <is>
          <t>JÖNKÖPING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46292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46292</v>
      </c>
      <c r="F317" t="inlineStr">
        <is>
          <t>JÖNKÖPINGS LÄN</t>
        </is>
      </c>
      <c r="G317" t="inlineStr">
        <is>
          <t>JÖNKÖPING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46292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46292</v>
      </c>
      <c r="F319" t="inlineStr">
        <is>
          <t>JÖNKÖPINGS LÄN</t>
        </is>
      </c>
      <c r="G319" t="inlineStr">
        <is>
          <t>JÖNKÖPING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46292</v>
      </c>
      <c r="F320" t="inlineStr">
        <is>
          <t>JÖNKÖPINGS LÄN</t>
        </is>
      </c>
      <c r="G320" t="inlineStr">
        <is>
          <t>JÖNKÖPING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46292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46292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46292</v>
      </c>
      <c r="F323" t="inlineStr">
        <is>
          <t>JÖNKÖPINGS LÄN</t>
        </is>
      </c>
      <c r="G323" t="inlineStr">
        <is>
          <t>JÖNKÖPING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46292</v>
      </c>
      <c r="F324" t="inlineStr">
        <is>
          <t>JÖNKÖPINGS LÄN</t>
        </is>
      </c>
      <c r="G324" t="inlineStr">
        <is>
          <t>JÖNKÖPING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46292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46292</v>
      </c>
      <c r="F326" t="inlineStr">
        <is>
          <t>JÖNKÖPINGS LÄN</t>
        </is>
      </c>
      <c r="G326" t="inlineStr">
        <is>
          <t>JÖNKÖPING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46292</v>
      </c>
      <c r="F327" t="inlineStr">
        <is>
          <t>JÖNKÖPINGS LÄN</t>
        </is>
      </c>
      <c r="G327" t="inlineStr">
        <is>
          <t>JÖNKÖPING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46292</v>
      </c>
      <c r="F328" t="inlineStr">
        <is>
          <t>JÖNKÖPINGS LÄN</t>
        </is>
      </c>
      <c r="G328" t="inlineStr">
        <is>
          <t>JÖNKÖPING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9073-2026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46069</v>
      </c>
      <c r="E329" s="1" t="n">
        <v>46292</v>
      </c>
      <c r="F329" t="inlineStr">
        <is>
          <t>JÖNKÖPINGS LÄN</t>
        </is>
      </c>
      <c r="G329" t="inlineStr">
        <is>
          <t>JÖNKÖPING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9020-2026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46069</v>
      </c>
      <c r="E330" s="1" t="n">
        <v>46292</v>
      </c>
      <c r="F330" t="inlineStr">
        <is>
          <t>JÖNKÖPINGS LÄN</t>
        </is>
      </c>
      <c r="G330" t="inlineStr">
        <is>
          <t>JÖNKÖPING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9067-2026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46069</v>
      </c>
      <c r="E331" s="1" t="n">
        <v>46292</v>
      </c>
      <c r="F331" t="inlineStr">
        <is>
          <t>JÖNKÖPINGS LÄN</t>
        </is>
      </c>
      <c r="G331" t="inlineStr">
        <is>
          <t>JÖNKÖPING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46292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46292</v>
      </c>
      <c r="F333" t="inlineStr">
        <is>
          <t>JÖNKÖPINGS LÄN</t>
        </is>
      </c>
      <c r="G333" t="inlineStr">
        <is>
          <t>JÖNKÖPING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46292</v>
      </c>
      <c r="F334" t="inlineStr">
        <is>
          <t>JÖNKÖPINGS LÄN</t>
        </is>
      </c>
      <c r="G334" t="inlineStr">
        <is>
          <t>JÖNKÖPING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46292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45105</v>
      </c>
      <c r="E336" s="1" t="n">
        <v>46292</v>
      </c>
      <c r="F336" t="inlineStr">
        <is>
          <t>JÖNKÖPINGS LÄN</t>
        </is>
      </c>
      <c r="G336" t="inlineStr">
        <is>
          <t>JÖNKÖPING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46292</v>
      </c>
      <c r="F337" t="inlineStr">
        <is>
          <t>JÖNKÖPINGS LÄN</t>
        </is>
      </c>
      <c r="G337" t="inlineStr">
        <is>
          <t>JÖNKÖPING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45806</v>
      </c>
      <c r="E338" s="1" t="n">
        <v>46292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9926-2026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46073</v>
      </c>
      <c r="E339" s="1" t="n">
        <v>46292</v>
      </c>
      <c r="F339" t="inlineStr">
        <is>
          <t>JÖNKÖPINGS LÄN</t>
        </is>
      </c>
      <c r="G339" t="inlineStr">
        <is>
          <t>JÖNKÖPING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45406-2023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45194</v>
      </c>
      <c r="E340" s="1" t="n">
        <v>46292</v>
      </c>
      <c r="F340" t="inlineStr">
        <is>
          <t>JÖNKÖPINGS LÄN</t>
        </is>
      </c>
      <c r="G340" t="inlineStr">
        <is>
          <t>JÖNKÖPING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46292</v>
      </c>
      <c r="F341" t="inlineStr">
        <is>
          <t>JÖNKÖPINGS LÄN</t>
        </is>
      </c>
      <c r="G341" t="inlineStr">
        <is>
          <t>JÖNKÖPING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46292</v>
      </c>
      <c r="F342" t="inlineStr">
        <is>
          <t>JÖNKÖPINGS LÄN</t>
        </is>
      </c>
      <c r="G342" t="inlineStr">
        <is>
          <t>JÖNKÖPING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46292</v>
      </c>
      <c r="F343" t="inlineStr">
        <is>
          <t>JÖNKÖPINGS LÄN</t>
        </is>
      </c>
      <c r="G343" t="inlineStr">
        <is>
          <t>JÖNKÖPING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46292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44950</v>
      </c>
      <c r="E345" s="1" t="n">
        <v>46292</v>
      </c>
      <c r="F345" t="inlineStr">
        <is>
          <t>JÖNKÖPINGS LÄN</t>
        </is>
      </c>
      <c r="G345" t="inlineStr">
        <is>
          <t>JÖNKÖPING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46292</v>
      </c>
      <c r="F346" t="inlineStr">
        <is>
          <t>JÖNKÖPINGS LÄN</t>
        </is>
      </c>
      <c r="G346" t="inlineStr">
        <is>
          <t>JÖNKÖPING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46292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46292</v>
      </c>
      <c r="F348" t="inlineStr">
        <is>
          <t>JÖNKÖPINGS LÄN</t>
        </is>
      </c>
      <c r="G348" t="inlineStr">
        <is>
          <t>JÖNKÖPING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8346-2023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46292</v>
      </c>
      <c r="F349" t="inlineStr">
        <is>
          <t>JÖNKÖPINGS LÄN</t>
        </is>
      </c>
      <c r="G349" t="inlineStr">
        <is>
          <t>JÖNKÖPING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45597</v>
      </c>
      <c r="E350" s="1" t="n">
        <v>46292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45934</v>
      </c>
      <c r="E351" s="1" t="n">
        <v>46292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46292</v>
      </c>
      <c r="F352" t="inlineStr">
        <is>
          <t>JÖNKÖPINGS LÄN</t>
        </is>
      </c>
      <c r="G352" t="inlineStr">
        <is>
          <t>JÖNKÖPING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46292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46292</v>
      </c>
      <c r="F354" t="inlineStr">
        <is>
          <t>JÖNKÖPINGS LÄN</t>
        </is>
      </c>
      <c r="G354" t="inlineStr">
        <is>
          <t>JÖNKÖPING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46292</v>
      </c>
      <c r="F355" t="inlineStr">
        <is>
          <t>JÖNKÖPINGS LÄN</t>
        </is>
      </c>
      <c r="G355" t="inlineStr">
        <is>
          <t>JÖNKÖPING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46292</v>
      </c>
      <c r="F356" t="inlineStr">
        <is>
          <t>JÖNKÖPINGS LÄN</t>
        </is>
      </c>
      <c r="G356" t="inlineStr">
        <is>
          <t>JÖNKÖPING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46292</v>
      </c>
      <c r="F357" t="inlineStr">
        <is>
          <t>JÖNKÖPINGS LÄN</t>
        </is>
      </c>
      <c r="G357" t="inlineStr">
        <is>
          <t>JÖNKÖPING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46292</v>
      </c>
      <c r="F358" t="inlineStr">
        <is>
          <t>JÖNKÖPINGS LÄN</t>
        </is>
      </c>
      <c r="G358" t="inlineStr">
        <is>
          <t>JÖNKÖPING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46292</v>
      </c>
      <c r="F359" t="inlineStr">
        <is>
          <t>JÖNKÖPINGS LÄN</t>
        </is>
      </c>
      <c r="G359" t="inlineStr">
        <is>
          <t>JÖNKÖPING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44575</v>
      </c>
      <c r="E360" s="1" t="n">
        <v>46292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44950</v>
      </c>
      <c r="E361" s="1" t="n">
        <v>46292</v>
      </c>
      <c r="F361" t="inlineStr">
        <is>
          <t>JÖNKÖPINGS LÄN</t>
        </is>
      </c>
      <c r="G361" t="inlineStr">
        <is>
          <t>JÖNKÖPING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45363</v>
      </c>
      <c r="E362" s="1" t="n">
        <v>46292</v>
      </c>
      <c r="F362" t="inlineStr">
        <is>
          <t>JÖNKÖPINGS LÄN</t>
        </is>
      </c>
      <c r="G362" t="inlineStr">
        <is>
          <t>JÖNKÖPING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45364</v>
      </c>
      <c r="E363" s="1" t="n">
        <v>46292</v>
      </c>
      <c r="F363" t="inlineStr">
        <is>
          <t>JÖNKÖPINGS LÄN</t>
        </is>
      </c>
      <c r="G363" t="inlineStr">
        <is>
          <t>JÖNKÖPING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46292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Kyrkan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50628-2025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46292</v>
      </c>
      <c r="F365" t="inlineStr">
        <is>
          <t>JÖNKÖPINGS LÄN</t>
        </is>
      </c>
      <c r="G365" t="inlineStr">
        <is>
          <t>JÖNKÖPING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46292</v>
      </c>
      <c r="F366" t="inlineStr">
        <is>
          <t>JÖNKÖPINGS LÄN</t>
        </is>
      </c>
      <c r="G366" t="inlineStr">
        <is>
          <t>JÖNKÖPING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46292</v>
      </c>
      <c r="F367" t="inlineStr">
        <is>
          <t>JÖNKÖPINGS LÄN</t>
        </is>
      </c>
      <c r="G367" t="inlineStr">
        <is>
          <t>JÖNKÖPING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46292</v>
      </c>
      <c r="F368" t="inlineStr">
        <is>
          <t>JÖNKÖPINGS LÄN</t>
        </is>
      </c>
      <c r="G368" t="inlineStr">
        <is>
          <t>JÖNKÖPING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50192-2024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45600</v>
      </c>
      <c r="E369" s="1" t="n">
        <v>46292</v>
      </c>
      <c r="F369" t="inlineStr">
        <is>
          <t>JÖNKÖPINGS LÄN</t>
        </is>
      </c>
      <c r="G369" t="inlineStr">
        <is>
          <t>JÖNKÖPING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50193-2024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45600</v>
      </c>
      <c r="E370" s="1" t="n">
        <v>46292</v>
      </c>
      <c r="F370" t="inlineStr">
        <is>
          <t>JÖNKÖPINGS LÄN</t>
        </is>
      </c>
      <c r="G370" t="inlineStr">
        <is>
          <t>JÖNKÖPING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45946</v>
      </c>
      <c r="E371" s="1" t="n">
        <v>46292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46292</v>
      </c>
      <c r="F372" t="inlineStr">
        <is>
          <t>JÖNKÖPINGS LÄN</t>
        </is>
      </c>
      <c r="G372" t="inlineStr">
        <is>
          <t>JÖNKÖPING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46292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12301-2023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44998</v>
      </c>
      <c r="E374" s="1" t="n">
        <v>46292</v>
      </c>
      <c r="F374" t="inlineStr">
        <is>
          <t>JÖNKÖPINGS LÄN</t>
        </is>
      </c>
      <c r="G374" t="inlineStr">
        <is>
          <t>JÖNKÖPING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46292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46292</v>
      </c>
      <c r="F376" t="inlineStr">
        <is>
          <t>JÖNKÖPINGS LÄN</t>
        </is>
      </c>
      <c r="G376" t="inlineStr">
        <is>
          <t>JÖNKÖPING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46292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45295</v>
      </c>
      <c r="E378" s="1" t="n">
        <v>46292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46292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46292</v>
      </c>
      <c r="F380" t="inlineStr">
        <is>
          <t>JÖNKÖPINGS LÄN</t>
        </is>
      </c>
      <c r="G380" t="inlineStr">
        <is>
          <t>JÖNKÖPING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46292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45671</v>
      </c>
      <c r="E382" s="1" t="n">
        <v>46292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45617</v>
      </c>
      <c r="E383" s="1" t="n">
        <v>46292</v>
      </c>
      <c r="F383" t="inlineStr">
        <is>
          <t>JÖNKÖPINGS LÄN</t>
        </is>
      </c>
      <c r="G383" t="inlineStr">
        <is>
          <t>JÖNKÖPING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46292</v>
      </c>
      <c r="F384" t="inlineStr">
        <is>
          <t>JÖNKÖPINGS LÄN</t>
        </is>
      </c>
      <c r="G384" t="inlineStr">
        <is>
          <t>JÖNKÖPING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20388-2024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45435</v>
      </c>
      <c r="E385" s="1" t="n">
        <v>46292</v>
      </c>
      <c r="F385" t="inlineStr">
        <is>
          <t>JÖNKÖPINGS LÄN</t>
        </is>
      </c>
      <c r="G385" t="inlineStr">
        <is>
          <t>JÖNKÖPING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46292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46292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46292</v>
      </c>
      <c r="F388" t="inlineStr">
        <is>
          <t>JÖNKÖPINGS LÄN</t>
        </is>
      </c>
      <c r="G388" t="inlineStr">
        <is>
          <t>JÖNKÖPING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46292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46292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46292</v>
      </c>
      <c r="F391" t="inlineStr">
        <is>
          <t>JÖNKÖPINGS LÄN</t>
        </is>
      </c>
      <c r="G391" t="inlineStr">
        <is>
          <t>JÖNKÖPING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46292</v>
      </c>
      <c r="F392" t="inlineStr">
        <is>
          <t>JÖNKÖPINGS LÄN</t>
        </is>
      </c>
      <c r="G392" t="inlineStr">
        <is>
          <t>JÖNKÖPING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46292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46292</v>
      </c>
      <c r="F394" t="inlineStr">
        <is>
          <t>JÖNKÖPINGS LÄN</t>
        </is>
      </c>
      <c r="G394" t="inlineStr">
        <is>
          <t>JÖNKÖPING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46292</v>
      </c>
      <c r="F395" t="inlineStr">
        <is>
          <t>JÖNKÖPINGS LÄN</t>
        </is>
      </c>
      <c r="G395" t="inlineStr">
        <is>
          <t>JÖNKÖPING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46292</v>
      </c>
      <c r="F396" t="inlineStr">
        <is>
          <t>JÖNKÖPINGS LÄN</t>
        </is>
      </c>
      <c r="G396" t="inlineStr">
        <is>
          <t>JÖNKÖPING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46292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46292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55198-2025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45968</v>
      </c>
      <c r="E399" s="1" t="n">
        <v>46292</v>
      </c>
      <c r="F399" t="inlineStr">
        <is>
          <t>JÖNKÖPINGS LÄN</t>
        </is>
      </c>
      <c r="G399" t="inlineStr">
        <is>
          <t>JÖNKÖPING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46292</v>
      </c>
      <c r="F400" t="inlineStr">
        <is>
          <t>JÖNKÖPINGS LÄN</t>
        </is>
      </c>
      <c r="G400" t="inlineStr">
        <is>
          <t>JÖNKÖPING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46292</v>
      </c>
      <c r="F401" t="inlineStr">
        <is>
          <t>JÖNKÖPINGS LÄN</t>
        </is>
      </c>
      <c r="G401" t="inlineStr">
        <is>
          <t>JÖNKÖPING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46292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26208-2022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44734</v>
      </c>
      <c r="E403" s="1" t="n">
        <v>46292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45671</v>
      </c>
      <c r="E404" s="1" t="n">
        <v>46292</v>
      </c>
      <c r="F404" t="inlineStr">
        <is>
          <t>JÖNKÖPINGS LÄN</t>
        </is>
      </c>
      <c r="G404" t="inlineStr">
        <is>
          <t>JÖNKÖPING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46292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46292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46292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46292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45015</v>
      </c>
      <c r="E409" s="1" t="n">
        <v>46292</v>
      </c>
      <c r="F409" t="inlineStr">
        <is>
          <t>JÖNKÖPINGS LÄN</t>
        </is>
      </c>
      <c r="G409" t="inlineStr">
        <is>
          <t>JÖNKÖPING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46292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46292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46292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46292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46292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45643</v>
      </c>
      <c r="E415" s="1" t="n">
        <v>46292</v>
      </c>
      <c r="F415" t="inlineStr">
        <is>
          <t>JÖNKÖPINGS LÄN</t>
        </is>
      </c>
      <c r="G415" t="inlineStr">
        <is>
          <t>JÖNKÖPING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46292</v>
      </c>
      <c r="F416" t="inlineStr">
        <is>
          <t>JÖNKÖPINGS LÄN</t>
        </is>
      </c>
      <c r="G416" t="inlineStr">
        <is>
          <t>JÖNKÖPING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46292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46292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46292</v>
      </c>
      <c r="F419" t="inlineStr">
        <is>
          <t>JÖNKÖPINGS LÄN</t>
        </is>
      </c>
      <c r="G419" t="inlineStr">
        <is>
          <t>JÖNKÖPING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46292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46292</v>
      </c>
      <c r="F421" t="inlineStr">
        <is>
          <t>JÖNKÖPINGS LÄN</t>
        </is>
      </c>
      <c r="G421" t="inlineStr">
        <is>
          <t>JÖNKÖPING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46292</v>
      </c>
      <c r="F422" t="inlineStr">
        <is>
          <t>JÖNKÖPINGS LÄN</t>
        </is>
      </c>
      <c r="G422" t="inlineStr">
        <is>
          <t>JÖNKÖPING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46292</v>
      </c>
      <c r="F423" t="inlineStr">
        <is>
          <t>JÖNKÖPINGS LÄN</t>
        </is>
      </c>
      <c r="G423" t="inlineStr">
        <is>
          <t>JÖNKÖPING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46292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46292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5661-2025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45693</v>
      </c>
      <c r="E426" s="1" t="n">
        <v>46292</v>
      </c>
      <c r="F426" t="inlineStr">
        <is>
          <t>JÖNKÖPINGS LÄN</t>
        </is>
      </c>
      <c r="G426" t="inlineStr">
        <is>
          <t>JÖNKÖPING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46292</v>
      </c>
      <c r="F427" t="inlineStr">
        <is>
          <t>JÖNKÖPINGS LÄN</t>
        </is>
      </c>
      <c r="G427" t="inlineStr">
        <is>
          <t>JÖNKÖPING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26397-2024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46292</v>
      </c>
      <c r="F428" t="inlineStr">
        <is>
          <t>JÖNKÖPINGS LÄN</t>
        </is>
      </c>
      <c r="G428" t="inlineStr">
        <is>
          <t>JÖNKÖPING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40923-2024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46292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46292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45149</v>
      </c>
      <c r="E431" s="1" t="n">
        <v>46292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46292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46292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Övriga Aktiebolag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46292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46292</v>
      </c>
      <c r="F435" t="inlineStr">
        <is>
          <t>JÖNKÖPINGS LÄN</t>
        </is>
      </c>
      <c r="G435" t="inlineStr">
        <is>
          <t>JÖNKÖPING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45730</v>
      </c>
      <c r="E436" s="1" t="n">
        <v>46292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44719</v>
      </c>
      <c r="E437" s="1" t="n">
        <v>46292</v>
      </c>
      <c r="F437" t="inlineStr">
        <is>
          <t>JÖNKÖPINGS LÄN</t>
        </is>
      </c>
      <c r="G437" t="inlineStr">
        <is>
          <t>JÖNKÖPING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46292</v>
      </c>
      <c r="F438" t="inlineStr">
        <is>
          <t>JÖNKÖPINGS LÄN</t>
        </is>
      </c>
      <c r="G438" t="inlineStr">
        <is>
          <t>JÖNKÖPING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46292</v>
      </c>
      <c r="F439" t="inlineStr">
        <is>
          <t>JÖNKÖPINGS LÄN</t>
        </is>
      </c>
      <c r="G439" t="inlineStr">
        <is>
          <t>JÖNKÖPING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46292</v>
      </c>
      <c r="F440" t="inlineStr">
        <is>
          <t>JÖNKÖPINGS LÄN</t>
        </is>
      </c>
      <c r="G440" t="inlineStr">
        <is>
          <t>JÖNKÖPING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46292</v>
      </c>
      <c r="F441" t="inlineStr">
        <is>
          <t>JÖNKÖPINGS LÄN</t>
        </is>
      </c>
      <c r="G441" t="inlineStr">
        <is>
          <t>JÖNKÖPING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46292</v>
      </c>
      <c r="F442" t="inlineStr">
        <is>
          <t>JÖNKÖPINGS LÄN</t>
        </is>
      </c>
      <c r="G442" t="inlineStr">
        <is>
          <t>JÖNKÖPING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46292</v>
      </c>
      <c r="F443" t="inlineStr">
        <is>
          <t>JÖNKÖPINGS LÄN</t>
        </is>
      </c>
      <c r="G443" t="inlineStr">
        <is>
          <t>JÖNKÖPING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45810</v>
      </c>
      <c r="E444" s="1" t="n">
        <v>46292</v>
      </c>
      <c r="F444" t="inlineStr">
        <is>
          <t>JÖNKÖPINGS LÄN</t>
        </is>
      </c>
      <c r="G444" t="inlineStr">
        <is>
          <t>JÖNKÖPING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46292</v>
      </c>
      <c r="F445" t="inlineStr">
        <is>
          <t>JÖNKÖPINGS LÄN</t>
        </is>
      </c>
      <c r="G445" t="inlineStr">
        <is>
          <t>JÖNKÖPING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46292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46292</v>
      </c>
      <c r="F447" t="inlineStr">
        <is>
          <t>JÖNKÖPINGS LÄN</t>
        </is>
      </c>
      <c r="G447" t="inlineStr">
        <is>
          <t>JÖNKÖPING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46292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46292</v>
      </c>
      <c r="F449" t="inlineStr">
        <is>
          <t>JÖNKÖPINGS LÄN</t>
        </is>
      </c>
      <c r="G449" t="inlineStr">
        <is>
          <t>JÖNKÖPING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46292</v>
      </c>
      <c r="F450" t="inlineStr">
        <is>
          <t>JÖNKÖPINGS LÄN</t>
        </is>
      </c>
      <c r="G450" t="inlineStr">
        <is>
          <t>JÖNKÖPING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44627</v>
      </c>
      <c r="E451" s="1" t="n">
        <v>46292</v>
      </c>
      <c r="F451" t="inlineStr">
        <is>
          <t>JÖNKÖPINGS LÄN</t>
        </is>
      </c>
      <c r="G451" t="inlineStr">
        <is>
          <t>JÖNKÖPING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44985</v>
      </c>
      <c r="E452" s="1" t="n">
        <v>46292</v>
      </c>
      <c r="F452" t="inlineStr">
        <is>
          <t>JÖNKÖPINGS LÄN</t>
        </is>
      </c>
      <c r="G452" t="inlineStr">
        <is>
          <t>JÖNKÖPING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46292</v>
      </c>
      <c r="F453" t="inlineStr">
        <is>
          <t>JÖNKÖPINGS LÄN</t>
        </is>
      </c>
      <c r="G453" t="inlineStr">
        <is>
          <t>JÖNKÖPING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46292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46292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46292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46292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46292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46292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46292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46292</v>
      </c>
      <c r="F461" t="inlineStr">
        <is>
          <t>JÖNKÖPINGS LÄN</t>
        </is>
      </c>
      <c r="G461" t="inlineStr">
        <is>
          <t>JÖNKÖPING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46292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46292</v>
      </c>
      <c r="F463" t="inlineStr">
        <is>
          <t>JÖNKÖPINGS LÄN</t>
        </is>
      </c>
      <c r="G463" t="inlineStr">
        <is>
          <t>JÖNKÖPING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46292</v>
      </c>
      <c r="F464" t="inlineStr">
        <is>
          <t>JÖNKÖPINGS LÄN</t>
        </is>
      </c>
      <c r="G464" t="inlineStr">
        <is>
          <t>JÖNKÖPING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46292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46292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45682</v>
      </c>
      <c r="E467" s="1" t="n">
        <v>46292</v>
      </c>
      <c r="F467" t="inlineStr">
        <is>
          <t>JÖNKÖPINGS LÄN</t>
        </is>
      </c>
      <c r="G467" t="inlineStr">
        <is>
          <t>JÖNKÖPING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46292</v>
      </c>
      <c r="F468" t="inlineStr">
        <is>
          <t>JÖNKÖPINGS LÄN</t>
        </is>
      </c>
      <c r="G468" t="inlineStr">
        <is>
          <t>JÖNKÖPING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46292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46292</v>
      </c>
      <c r="F470" t="inlineStr">
        <is>
          <t>JÖNKÖPINGS LÄN</t>
        </is>
      </c>
      <c r="G470" t="inlineStr">
        <is>
          <t>JÖNKÖPING</t>
        </is>
      </c>
      <c r="I470" t="n">
        <v>7.7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46292</v>
      </c>
      <c r="F471" t="inlineStr">
        <is>
          <t>JÖNKÖPINGS LÄN</t>
        </is>
      </c>
      <c r="G471" t="inlineStr">
        <is>
          <t>JÖNKÖPING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46292</v>
      </c>
      <c r="F472" t="inlineStr">
        <is>
          <t>JÖNKÖPINGS LÄN</t>
        </is>
      </c>
      <c r="G472" t="inlineStr">
        <is>
          <t>JÖNKÖPING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54876-2022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46292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46292</v>
      </c>
      <c r="F474" t="inlineStr">
        <is>
          <t>JÖNKÖPINGS LÄN</t>
        </is>
      </c>
      <c r="G474" t="inlineStr">
        <is>
          <t>JÖNKÖPING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46292</v>
      </c>
      <c r="F475" t="inlineStr">
        <is>
          <t>JÖNKÖPINGS LÄN</t>
        </is>
      </c>
      <c r="G475" t="inlineStr">
        <is>
          <t>JÖNKÖPING</t>
        </is>
      </c>
      <c r="I475" t="n">
        <v>11.9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46292</v>
      </c>
      <c r="F476" t="inlineStr">
        <is>
          <t>JÖNKÖPINGS LÄN</t>
        </is>
      </c>
      <c r="G476" t="inlineStr">
        <is>
          <t>JÖNKÖPING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44741</v>
      </c>
      <c r="E477" s="1" t="n">
        <v>46292</v>
      </c>
      <c r="F477" t="inlineStr">
        <is>
          <t>JÖNKÖPINGS LÄN</t>
        </is>
      </c>
      <c r="G477" t="inlineStr">
        <is>
          <t>JÖNKÖPING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46292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16072-2025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45749</v>
      </c>
      <c r="E479" s="1" t="n">
        <v>46292</v>
      </c>
      <c r="F479" t="inlineStr">
        <is>
          <t>JÖNKÖPINGS LÄN</t>
        </is>
      </c>
      <c r="G479" t="inlineStr">
        <is>
          <t>JÖNKÖPING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46292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45587</v>
      </c>
      <c r="E481" s="1" t="n">
        <v>46292</v>
      </c>
      <c r="F481" t="inlineStr">
        <is>
          <t>JÖNKÖPINGS LÄN</t>
        </is>
      </c>
      <c r="G481" t="inlineStr">
        <is>
          <t>JÖNKÖPING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53256-2021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44468</v>
      </c>
      <c r="E482" s="1" t="n">
        <v>46292</v>
      </c>
      <c r="F482" t="inlineStr">
        <is>
          <t>JÖNKÖPINGS LÄN</t>
        </is>
      </c>
      <c r="G482" t="inlineStr">
        <is>
          <t>JÖNKÖPING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46292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Kommuner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45037</v>
      </c>
      <c r="E484" s="1" t="n">
        <v>46292</v>
      </c>
      <c r="F484" t="inlineStr">
        <is>
          <t>JÖNKÖPINGS LÄN</t>
        </is>
      </c>
      <c r="G484" t="inlineStr">
        <is>
          <t>JÖNKÖPING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46292</v>
      </c>
      <c r="F485" t="inlineStr">
        <is>
          <t>JÖNKÖPINGS LÄN</t>
        </is>
      </c>
      <c r="G485" t="inlineStr">
        <is>
          <t>JÖNKÖPING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44882</v>
      </c>
      <c r="E486" s="1" t="n">
        <v>46292</v>
      </c>
      <c r="F486" t="inlineStr">
        <is>
          <t>JÖNKÖPINGS LÄN</t>
        </is>
      </c>
      <c r="G486" t="inlineStr">
        <is>
          <t>JÖNKÖPING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46292</v>
      </c>
      <c r="F487" t="inlineStr">
        <is>
          <t>JÖNKÖPINGS LÄN</t>
        </is>
      </c>
      <c r="G487" t="inlineStr">
        <is>
          <t>JÖNKÖPING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8554-2024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45355</v>
      </c>
      <c r="E488" s="1" t="n">
        <v>46292</v>
      </c>
      <c r="F488" t="inlineStr">
        <is>
          <t>JÖNKÖPINGS LÄN</t>
        </is>
      </c>
      <c r="G488" t="inlineStr">
        <is>
          <t>JÖNKÖPING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45324</v>
      </c>
      <c r="E489" s="1" t="n">
        <v>46292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Kyrkan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45470</v>
      </c>
      <c r="E490" s="1" t="n">
        <v>46292</v>
      </c>
      <c r="F490" t="inlineStr">
        <is>
          <t>JÖNKÖPINGS LÄN</t>
        </is>
      </c>
      <c r="G490" t="inlineStr">
        <is>
          <t>JÖNKÖPING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46292</v>
      </c>
      <c r="F491" t="inlineStr">
        <is>
          <t>JÖNKÖPINGS LÄN</t>
        </is>
      </c>
      <c r="G491" t="inlineStr">
        <is>
          <t>JÖNKÖPING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46292</v>
      </c>
      <c r="F492" t="inlineStr">
        <is>
          <t>JÖNKÖPINGS LÄN</t>
        </is>
      </c>
      <c r="G492" t="inlineStr">
        <is>
          <t>JÖNKÖPING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46292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45757</v>
      </c>
      <c r="E494" s="1" t="n">
        <v>46292</v>
      </c>
      <c r="F494" t="inlineStr">
        <is>
          <t>JÖNKÖPINGS LÄN</t>
        </is>
      </c>
      <c r="G494" t="inlineStr">
        <is>
          <t>JÖNKÖPING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47067-2023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45201</v>
      </c>
      <c r="E495" s="1" t="n">
        <v>46292</v>
      </c>
      <c r="F495" t="inlineStr">
        <is>
          <t>JÖNKÖPINGS LÄN</t>
        </is>
      </c>
      <c r="G495" t="inlineStr">
        <is>
          <t>JÖNKÖPING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46292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46292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46292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46292</v>
      </c>
      <c r="F499" t="inlineStr">
        <is>
          <t>JÖNKÖPINGS LÄN</t>
        </is>
      </c>
      <c r="G499" t="inlineStr">
        <is>
          <t>JÖNKÖPING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46292</v>
      </c>
      <c r="F500" t="inlineStr">
        <is>
          <t>JÖNKÖPINGS LÄN</t>
        </is>
      </c>
      <c r="G500" t="inlineStr">
        <is>
          <t>JÖNKÖPING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23311-2026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46292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46292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46292</v>
      </c>
      <c r="F503" t="inlineStr">
        <is>
          <t>JÖNKÖPINGS LÄN</t>
        </is>
      </c>
      <c r="G503" t="inlineStr">
        <is>
          <t>JÖNKÖPING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46292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46292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46292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46292</v>
      </c>
      <c r="F507" t="inlineStr">
        <is>
          <t>JÖNKÖPINGS LÄN</t>
        </is>
      </c>
      <c r="G507" t="inlineStr">
        <is>
          <t>JÖNKÖPING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44950</v>
      </c>
      <c r="E508" s="1" t="n">
        <v>46292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46292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45842</v>
      </c>
      <c r="E510" s="1" t="n">
        <v>46292</v>
      </c>
      <c r="F510" t="inlineStr">
        <is>
          <t>JÖNKÖPINGS LÄN</t>
        </is>
      </c>
      <c r="G510" t="inlineStr">
        <is>
          <t>JÖNKÖPING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45349</v>
      </c>
      <c r="E511" s="1" t="n">
        <v>46292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46292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Kyrkan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45846</v>
      </c>
      <c r="E513" s="1" t="n">
        <v>46292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Kyrkan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45756</v>
      </c>
      <c r="E514" s="1" t="n">
        <v>46292</v>
      </c>
      <c r="F514" t="inlineStr">
        <is>
          <t>JÖNKÖPINGS LÄN</t>
        </is>
      </c>
      <c r="G514" t="inlineStr">
        <is>
          <t>JÖNKÖPING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46292</v>
      </c>
      <c r="F515" t="inlineStr">
        <is>
          <t>JÖNKÖPINGS LÄN</t>
        </is>
      </c>
      <c r="G515" t="inlineStr">
        <is>
          <t>JÖNKÖPING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45587</v>
      </c>
      <c r="E516" s="1" t="n">
        <v>46292</v>
      </c>
      <c r="F516" t="inlineStr">
        <is>
          <t>JÖNKÖPINGS LÄN</t>
        </is>
      </c>
      <c r="G516" t="inlineStr">
        <is>
          <t>JÖNKÖPING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46292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46292</v>
      </c>
      <c r="F518" t="inlineStr">
        <is>
          <t>JÖNKÖPINGS LÄN</t>
        </is>
      </c>
      <c r="G518" t="inlineStr">
        <is>
          <t>JÖNKÖPING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46292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46292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45587</v>
      </c>
      <c r="E521" s="1" t="n">
        <v>46292</v>
      </c>
      <c r="F521" t="inlineStr">
        <is>
          <t>JÖNKÖPINGS LÄN</t>
        </is>
      </c>
      <c r="G521" t="inlineStr">
        <is>
          <t>JÖNKÖPING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46292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45118</v>
      </c>
      <c r="E523" s="1" t="n">
        <v>46292</v>
      </c>
      <c r="F523" t="inlineStr">
        <is>
          <t>JÖNKÖPINGS LÄN</t>
        </is>
      </c>
      <c r="G523" t="inlineStr">
        <is>
          <t>JÖNKÖPING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46292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24422-2026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46168</v>
      </c>
      <c r="E525" s="1" t="n">
        <v>46292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46292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46292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46292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45338</v>
      </c>
      <c r="E529" s="1" t="n">
        <v>46292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Kyrkan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42110-2024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46292</v>
      </c>
      <c r="F530" t="inlineStr">
        <is>
          <t>JÖNKÖPINGS LÄN</t>
        </is>
      </c>
      <c r="G530" t="inlineStr">
        <is>
          <t>JÖNKÖPING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45701</v>
      </c>
      <c r="E531" s="1" t="n">
        <v>46292</v>
      </c>
      <c r="F531" t="inlineStr">
        <is>
          <t>JÖNKÖPINGS LÄN</t>
        </is>
      </c>
      <c r="G531" t="inlineStr">
        <is>
          <t>JÖNKÖPING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45788</v>
      </c>
      <c r="E532" s="1" t="n">
        <v>46292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46292</v>
      </c>
      <c r="F533" t="inlineStr">
        <is>
          <t>JÖNKÖPINGS LÄN</t>
        </is>
      </c>
      <c r="G533" t="inlineStr">
        <is>
          <t>JÖNKÖPING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46292</v>
      </c>
      <c r="F534" t="inlineStr">
        <is>
          <t>JÖNKÖPINGS LÄN</t>
        </is>
      </c>
      <c r="G534" t="inlineStr">
        <is>
          <t>JÖNKÖPING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57719-2021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44484</v>
      </c>
      <c r="E535" s="1" t="n">
        <v>46292</v>
      </c>
      <c r="F535" t="inlineStr">
        <is>
          <t>JÖNKÖPINGS LÄN</t>
        </is>
      </c>
      <c r="G535" t="inlineStr">
        <is>
          <t>JÖNKÖPING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64650-2023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46292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63551-2023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46292</v>
      </c>
      <c r="F537" t="inlineStr">
        <is>
          <t>JÖNKÖPINGS LÄN</t>
        </is>
      </c>
      <c r="G537" t="inlineStr">
        <is>
          <t>JÖNKÖPING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46292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46292</v>
      </c>
      <c r="F539" t="inlineStr">
        <is>
          <t>JÖNKÖPINGS LÄN</t>
        </is>
      </c>
      <c r="G539" t="inlineStr">
        <is>
          <t>JÖNKÖPING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11039-2022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44628</v>
      </c>
      <c r="E540" s="1" t="n">
        <v>46292</v>
      </c>
      <c r="F540" t="inlineStr">
        <is>
          <t>JÖNKÖPINGS LÄN</t>
        </is>
      </c>
      <c r="G540" t="inlineStr">
        <is>
          <t>JÖNKÖPING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35820-2025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45861</v>
      </c>
      <c r="E541" s="1" t="n">
        <v>46292</v>
      </c>
      <c r="F541" t="inlineStr">
        <is>
          <t>JÖNKÖPINGS LÄN</t>
        </is>
      </c>
      <c r="G541" t="inlineStr">
        <is>
          <t>JÖNKÖPING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46292</v>
      </c>
      <c r="F542" t="inlineStr">
        <is>
          <t>JÖNKÖPINGS LÄN</t>
        </is>
      </c>
      <c r="G542" t="inlineStr">
        <is>
          <t>JÖNKÖPING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45335</v>
      </c>
      <c r="E543" s="1" t="n">
        <v>46292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46292</v>
      </c>
      <c r="F544" t="inlineStr">
        <is>
          <t>JÖNKÖPINGS LÄN</t>
        </is>
      </c>
      <c r="G544" t="inlineStr">
        <is>
          <t>JÖNKÖPING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45541</v>
      </c>
      <c r="E545" s="1" t="n">
        <v>46292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63207-2021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44507</v>
      </c>
      <c r="E546" s="1" t="n">
        <v>46292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46292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46292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46292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45929</v>
      </c>
      <c r="E550" s="1" t="n">
        <v>46292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45870</v>
      </c>
      <c r="E551" s="1" t="n">
        <v>46292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45124</v>
      </c>
      <c r="E552" s="1" t="n">
        <v>46292</v>
      </c>
      <c r="F552" t="inlineStr">
        <is>
          <t>JÖNKÖPINGS LÄN</t>
        </is>
      </c>
      <c r="G552" t="inlineStr">
        <is>
          <t>JÖNKÖPING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45267</v>
      </c>
      <c r="E553" s="1" t="n">
        <v>46292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15567-2025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45747</v>
      </c>
      <c r="E554" s="1" t="n">
        <v>46292</v>
      </c>
      <c r="F554" t="inlineStr">
        <is>
          <t>JÖNKÖPINGS LÄN</t>
        </is>
      </c>
      <c r="G554" t="inlineStr">
        <is>
          <t>JÖNKÖPING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45460</v>
      </c>
      <c r="E555" s="1" t="n">
        <v>46292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46292</v>
      </c>
      <c r="F556" t="inlineStr">
        <is>
          <t>JÖNKÖPINGS LÄN</t>
        </is>
      </c>
      <c r="G556" t="inlineStr">
        <is>
          <t>JÖNKÖPING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45788</v>
      </c>
      <c r="E557" s="1" t="n">
        <v>46292</v>
      </c>
      <c r="F557" t="inlineStr">
        <is>
          <t>JÖNKÖPINGS LÄN</t>
        </is>
      </c>
      <c r="G557" t="inlineStr">
        <is>
          <t>JÖNKÖPING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7177-2022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44605</v>
      </c>
      <c r="E558" s="1" t="n">
        <v>46292</v>
      </c>
      <c r="F558" t="inlineStr">
        <is>
          <t>JÖNKÖPINGS LÄN</t>
        </is>
      </c>
      <c r="G558" t="inlineStr">
        <is>
          <t>JÖNKÖPING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46292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46292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46292</v>
      </c>
      <c r="F561" t="inlineStr">
        <is>
          <t>JÖNKÖPINGS LÄN</t>
        </is>
      </c>
      <c r="G561" t="inlineStr">
        <is>
          <t>JÖNKÖPING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45405</v>
      </c>
      <c r="E562" s="1" t="n">
        <v>46292</v>
      </c>
      <c r="F562" t="inlineStr">
        <is>
          <t>JÖNKÖPINGS LÄN</t>
        </is>
      </c>
      <c r="G562" t="inlineStr">
        <is>
          <t>JÖNKÖPING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46292</v>
      </c>
      <c r="F563" t="inlineStr">
        <is>
          <t>JÖNKÖPINGS LÄN</t>
        </is>
      </c>
      <c r="G563" t="inlineStr">
        <is>
          <t>JÖNKÖPING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45184</v>
      </c>
      <c r="E564" s="1" t="n">
        <v>46292</v>
      </c>
      <c r="F564" t="inlineStr">
        <is>
          <t>JÖNKÖPINGS LÄN</t>
        </is>
      </c>
      <c r="G564" t="inlineStr">
        <is>
          <t>JÖNKÖPING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38918-2024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46292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44578</v>
      </c>
      <c r="E566" s="1" t="n">
        <v>46292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4592-2022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44592</v>
      </c>
      <c r="E567" s="1" t="n">
        <v>46292</v>
      </c>
      <c r="F567" t="inlineStr">
        <is>
          <t>JÖNKÖPINGS LÄN</t>
        </is>
      </c>
      <c r="G567" t="inlineStr">
        <is>
          <t>JÖNKÖPING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37510-2024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45541</v>
      </c>
      <c r="E568" s="1" t="n">
        <v>46292</v>
      </c>
      <c r="F568" t="inlineStr">
        <is>
          <t>JÖNKÖPINGS LÄN</t>
        </is>
      </c>
      <c r="G568" t="inlineStr">
        <is>
          <t>JÖNKÖPING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46292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45412</v>
      </c>
      <c r="E570" s="1" t="n">
        <v>46292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Övriga Aktiebolag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46292</v>
      </c>
      <c r="F571" t="inlineStr">
        <is>
          <t>JÖNKÖPINGS LÄN</t>
        </is>
      </c>
      <c r="G571" t="inlineStr">
        <is>
          <t>JÖNKÖPING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46292</v>
      </c>
      <c r="F572" t="inlineStr">
        <is>
          <t>JÖNKÖPINGS LÄN</t>
        </is>
      </c>
      <c r="G572" t="inlineStr">
        <is>
          <t>JÖNKÖPING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45462</v>
      </c>
      <c r="E573" s="1" t="n">
        <v>46292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44585</v>
      </c>
      <c r="E574" s="1" t="n">
        <v>46292</v>
      </c>
      <c r="F574" t="inlineStr">
        <is>
          <t>JÖNKÖPINGS LÄN</t>
        </is>
      </c>
      <c r="G574" t="inlineStr">
        <is>
          <t>JÖNKÖPING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45763</v>
      </c>
      <c r="E575" s="1" t="n">
        <v>46292</v>
      </c>
      <c r="F575" t="inlineStr">
        <is>
          <t>JÖNKÖPINGS LÄN</t>
        </is>
      </c>
      <c r="G575" t="inlineStr">
        <is>
          <t>JÖNKÖPING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46292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Kommuner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46292</v>
      </c>
      <c r="F577" t="inlineStr">
        <is>
          <t>JÖNKÖPINGS LÄN</t>
        </is>
      </c>
      <c r="G577" t="inlineStr">
        <is>
          <t>JÖNKÖPING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45184</v>
      </c>
      <c r="E578" s="1" t="n">
        <v>46292</v>
      </c>
      <c r="F578" t="inlineStr">
        <is>
          <t>JÖNKÖPINGS LÄN</t>
        </is>
      </c>
      <c r="G578" t="inlineStr">
        <is>
          <t>JÖNKÖPING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45681</v>
      </c>
      <c r="E579" s="1" t="n">
        <v>46292</v>
      </c>
      <c r="F579" t="inlineStr">
        <is>
          <t>JÖNKÖPINGS LÄN</t>
        </is>
      </c>
      <c r="G579" t="inlineStr">
        <is>
          <t>JÖNKÖPING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29292-2026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46197</v>
      </c>
      <c r="E580" s="1" t="n">
        <v>46292</v>
      </c>
      <c r="F580" t="inlineStr">
        <is>
          <t>JÖNKÖPINGS LÄN</t>
        </is>
      </c>
      <c r="G580" t="inlineStr">
        <is>
          <t>JÖNKÖPING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46292</v>
      </c>
      <c r="F581" t="inlineStr">
        <is>
          <t>JÖNKÖPINGS LÄN</t>
        </is>
      </c>
      <c r="G581" t="inlineStr">
        <is>
          <t>JÖNKÖPING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44591</v>
      </c>
      <c r="E582" s="1" t="n">
        <v>46292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46201</v>
      </c>
      <c r="E583" s="1" t="n">
        <v>46292</v>
      </c>
      <c r="F583" t="inlineStr">
        <is>
          <t>JÖNKÖPINGS LÄN</t>
        </is>
      </c>
      <c r="G583" t="inlineStr">
        <is>
          <t>JÖNKÖPING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44608</v>
      </c>
      <c r="E584" s="1" t="n">
        <v>46292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45169</v>
      </c>
      <c r="E585" s="1" t="n">
        <v>46292</v>
      </c>
      <c r="F585" t="inlineStr">
        <is>
          <t>JÖNKÖPINGS LÄN</t>
        </is>
      </c>
      <c r="G585" t="inlineStr">
        <is>
          <t>JÖNKÖPING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46201</v>
      </c>
      <c r="E586" s="1" t="n">
        <v>46292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44626</v>
      </c>
      <c r="E587" s="1" t="n">
        <v>46292</v>
      </c>
      <c r="F587" t="inlineStr">
        <is>
          <t>JÖNKÖPINGS LÄN</t>
        </is>
      </c>
      <c r="G587" t="inlineStr">
        <is>
          <t>JÖNKÖPING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46201</v>
      </c>
      <c r="E588" s="1" t="n">
        <v>46292</v>
      </c>
      <c r="F588" t="inlineStr">
        <is>
          <t>JÖNKÖPINGS LÄN</t>
        </is>
      </c>
      <c r="G588" t="inlineStr">
        <is>
          <t>JÖNKÖPING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46292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46292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20384-2024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45435</v>
      </c>
      <c r="E591" s="1" t="n">
        <v>46292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Kyrkan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46292</v>
      </c>
      <c r="F592" t="inlineStr">
        <is>
          <t>JÖNKÖPINGS LÄN</t>
        </is>
      </c>
      <c r="G592" t="inlineStr">
        <is>
          <t>JÖNKÖPING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45030</v>
      </c>
      <c r="E593" s="1" t="n">
        <v>46292</v>
      </c>
      <c r="F593" t="inlineStr">
        <is>
          <t>JÖNKÖPINGS LÄN</t>
        </is>
      </c>
      <c r="G593" t="inlineStr">
        <is>
          <t>JÖNKÖPING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11236-2024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45371</v>
      </c>
      <c r="E594" s="1" t="n">
        <v>46292</v>
      </c>
      <c r="F594" t="inlineStr">
        <is>
          <t>JÖNKÖPINGS LÄN</t>
        </is>
      </c>
      <c r="G594" t="inlineStr">
        <is>
          <t>JÖNKÖPING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45617</v>
      </c>
      <c r="E595" s="1" t="n">
        <v>46292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45056</v>
      </c>
      <c r="E596" s="1" t="n">
        <v>46292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44564</v>
      </c>
      <c r="E597" s="1" t="n">
        <v>46292</v>
      </c>
      <c r="F597" t="inlineStr">
        <is>
          <t>JÖNKÖPINGS LÄN</t>
        </is>
      </c>
      <c r="G597" t="inlineStr">
        <is>
          <t>JÖNKÖPING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46292</v>
      </c>
      <c r="F598" t="inlineStr">
        <is>
          <t>JÖNKÖPINGS LÄN</t>
        </is>
      </c>
      <c r="G598" t="inlineStr">
        <is>
          <t>JÖNKÖPING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46292</v>
      </c>
      <c r="F599" t="inlineStr">
        <is>
          <t>JÖNKÖPINGS LÄN</t>
        </is>
      </c>
      <c r="G599" t="inlineStr">
        <is>
          <t>JÖNKÖPING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858-2022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44571</v>
      </c>
      <c r="E600" s="1" t="n">
        <v>46292</v>
      </c>
      <c r="F600" t="inlineStr">
        <is>
          <t>JÖNKÖPINGS LÄN</t>
        </is>
      </c>
      <c r="G600" t="inlineStr">
        <is>
          <t>JÖNKÖPING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46292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45179</v>
      </c>
      <c r="E602" s="1" t="n">
        <v>46292</v>
      </c>
      <c r="F602" t="inlineStr">
        <is>
          <t>JÖNKÖPINGS LÄN</t>
        </is>
      </c>
      <c r="G602" t="inlineStr">
        <is>
          <t>JÖNKÖPING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46292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34038-2026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46252</v>
      </c>
      <c r="E604" s="1" t="n">
        <v>46292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46292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45182</v>
      </c>
      <c r="E606" s="1" t="n">
        <v>46292</v>
      </c>
      <c r="F606" t="inlineStr">
        <is>
          <t>JÖNKÖPINGS LÄN</t>
        </is>
      </c>
      <c r="G606" t="inlineStr">
        <is>
          <t>JÖNKÖPING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46292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46292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14.5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46292</v>
      </c>
      <c r="F609" t="inlineStr">
        <is>
          <t>JÖNKÖPINGS LÄN</t>
        </is>
      </c>
      <c r="G609" t="inlineStr">
        <is>
          <t>JÖNKÖPING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46292</v>
      </c>
      <c r="F610" t="inlineStr">
        <is>
          <t>JÖNKÖPINGS LÄN</t>
        </is>
      </c>
      <c r="G610" t="inlineStr">
        <is>
          <t>JÖNKÖPING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46292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44614</v>
      </c>
      <c r="E612" s="1" t="n">
        <v>46292</v>
      </c>
      <c r="F612" t="inlineStr">
        <is>
          <t>JÖNKÖPINGS LÄN</t>
        </is>
      </c>
      <c r="G612" t="inlineStr">
        <is>
          <t>JÖNKÖPING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46292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46292</v>
      </c>
      <c r="F614" t="inlineStr">
        <is>
          <t>JÖNKÖPINGS LÄN</t>
        </is>
      </c>
      <c r="G614" t="inlineStr">
        <is>
          <t>JÖNKÖPING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46292</v>
      </c>
      <c r="F615" t="inlineStr">
        <is>
          <t>JÖNKÖPINGS LÄN</t>
        </is>
      </c>
      <c r="G615" t="inlineStr">
        <is>
          <t>JÖNKÖPING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46292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46292</v>
      </c>
      <c r="F617" t="inlineStr">
        <is>
          <t>JÖNKÖPINGS LÄN</t>
        </is>
      </c>
      <c r="G617" t="inlineStr">
        <is>
          <t>JÖNKÖPING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44839</v>
      </c>
      <c r="E618" s="1" t="n">
        <v>46292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46292</v>
      </c>
      <c r="F619" t="inlineStr">
        <is>
          <t>JÖNKÖPINGS LÄN</t>
        </is>
      </c>
      <c r="G619" t="inlineStr">
        <is>
          <t>JÖNKÖPING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46292</v>
      </c>
      <c r="F620" t="inlineStr">
        <is>
          <t>JÖNKÖPINGS LÄN</t>
        </is>
      </c>
      <c r="G620" t="inlineStr">
        <is>
          <t>JÖNKÖPING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46292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15384-2022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44659</v>
      </c>
      <c r="E622" s="1" t="n">
        <v>46292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45705</v>
      </c>
      <c r="E623" s="1" t="n">
        <v>46292</v>
      </c>
      <c r="F623" t="inlineStr">
        <is>
          <t>JÖNKÖPINGS LÄN</t>
        </is>
      </c>
      <c r="G623" t="inlineStr">
        <is>
          <t>JÖNKÖPING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46292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30870-2026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46292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46212</v>
      </c>
      <c r="E626" s="1" t="n">
        <v>46292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24146-2024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45456</v>
      </c>
      <c r="E627" s="1" t="n">
        <v>46292</v>
      </c>
      <c r="F627" t="inlineStr">
        <is>
          <t>JÖNKÖPINGS LÄN</t>
        </is>
      </c>
      <c r="G627" t="inlineStr">
        <is>
          <t>JÖNKÖPING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46292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45404</v>
      </c>
      <c r="E629" s="1" t="n">
        <v>46292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46292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46292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21149-2022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44704</v>
      </c>
      <c r="E632" s="1" t="n">
        <v>46292</v>
      </c>
      <c r="F632" t="inlineStr">
        <is>
          <t>JÖNKÖPINGS LÄN</t>
        </is>
      </c>
      <c r="G632" t="inlineStr">
        <is>
          <t>JÖNKÖPING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46738-2023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45198</v>
      </c>
      <c r="E633" s="1" t="n">
        <v>46292</v>
      </c>
      <c r="F633" t="inlineStr">
        <is>
          <t>JÖNKÖPINGS LÄN</t>
        </is>
      </c>
      <c r="G633" t="inlineStr">
        <is>
          <t>JÖNKÖPING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46292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50896-2025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45946</v>
      </c>
      <c r="E635" s="1" t="n">
        <v>46292</v>
      </c>
      <c r="F635" t="inlineStr">
        <is>
          <t>JÖNKÖPINGS LÄN</t>
        </is>
      </c>
      <c r="G635" t="inlineStr">
        <is>
          <t>JÖNKÖPING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44655</v>
      </c>
      <c r="E636" s="1" t="n">
        <v>46292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49343-2023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46292</v>
      </c>
      <c r="F637" t="inlineStr">
        <is>
          <t>JÖNKÖPINGS LÄN</t>
        </is>
      </c>
      <c r="G637" t="inlineStr">
        <is>
          <t>JÖNKÖPING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46219</v>
      </c>
      <c r="E638" s="1" t="n">
        <v>46292</v>
      </c>
      <c r="F638" t="inlineStr">
        <is>
          <t>JÖNKÖPINGS LÄN</t>
        </is>
      </c>
      <c r="G638" t="inlineStr">
        <is>
          <t>JÖNKÖPING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44734</v>
      </c>
      <c r="E639" s="1" t="n">
        <v>46292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46292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45408-2023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45194</v>
      </c>
      <c r="E641" s="1" t="n">
        <v>46292</v>
      </c>
      <c r="F641" t="inlineStr">
        <is>
          <t>JÖNKÖPINGS LÄN</t>
        </is>
      </c>
      <c r="G641" t="inlineStr">
        <is>
          <t>JÖNKÖPING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45412-2023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45194</v>
      </c>
      <c r="E642" s="1" t="n">
        <v>46292</v>
      </c>
      <c r="F642" t="inlineStr">
        <is>
          <t>JÖNKÖPINGS LÄN</t>
        </is>
      </c>
      <c r="G642" t="inlineStr">
        <is>
          <t>JÖNKÖPING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46292</v>
      </c>
      <c r="F643" t="inlineStr">
        <is>
          <t>JÖNKÖPINGS LÄN</t>
        </is>
      </c>
      <c r="G643" t="inlineStr">
        <is>
          <t>JÖNKÖPING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45681</v>
      </c>
      <c r="E644" s="1" t="n">
        <v>46292</v>
      </c>
      <c r="F644" t="inlineStr">
        <is>
          <t>JÖNKÖPINGS LÄN</t>
        </is>
      </c>
      <c r="G644" t="inlineStr">
        <is>
          <t>JÖNKÖPING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35599-2026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46262</v>
      </c>
      <c r="E645" s="1" t="n">
        <v>46292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45756</v>
      </c>
      <c r="E646" s="1" t="n">
        <v>46292</v>
      </c>
      <c r="F646" t="inlineStr">
        <is>
          <t>JÖNKÖPINGS LÄN</t>
        </is>
      </c>
      <c r="G646" t="inlineStr">
        <is>
          <t>JÖNKÖPING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40271-2023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46292</v>
      </c>
      <c r="F647" t="inlineStr">
        <is>
          <t>JÖNKÖPINGS LÄN</t>
        </is>
      </c>
      <c r="G647" t="inlineStr">
        <is>
          <t>JÖNKÖPING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45197</v>
      </c>
      <c r="E648" s="1" t="n">
        <v>46292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45759</v>
      </c>
      <c r="E649" s="1" t="n">
        <v>46292</v>
      </c>
      <c r="F649" t="inlineStr">
        <is>
          <t>JÖNKÖPINGS LÄN</t>
        </is>
      </c>
      <c r="G649" t="inlineStr">
        <is>
          <t>JÖNKÖPING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45314</v>
      </c>
      <c r="E650" s="1" t="n">
        <v>46292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45303</v>
      </c>
      <c r="E651" s="1" t="n">
        <v>46292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45842</v>
      </c>
      <c r="E652" s="1" t="n">
        <v>46292</v>
      </c>
      <c r="F652" t="inlineStr">
        <is>
          <t>JÖNKÖPINGS LÄN</t>
        </is>
      </c>
      <c r="G652" t="inlineStr">
        <is>
          <t>JÖNKÖPING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57180-2023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45245</v>
      </c>
      <c r="E653" s="1" t="n">
        <v>46292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31405-2026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46220</v>
      </c>
      <c r="E654" s="1" t="n">
        <v>46292</v>
      </c>
      <c r="F654" t="inlineStr">
        <is>
          <t>JÖNKÖPINGS LÄN</t>
        </is>
      </c>
      <c r="G654" t="inlineStr">
        <is>
          <t>JÖNKÖPING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45189</v>
      </c>
      <c r="E655" s="1" t="n">
        <v>46292</v>
      </c>
      <c r="F655" t="inlineStr">
        <is>
          <t>JÖNKÖPINGS LÄN</t>
        </is>
      </c>
      <c r="G655" t="inlineStr">
        <is>
          <t>JÖNKÖPING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45294</v>
      </c>
      <c r="E656" s="1" t="n">
        <v>46292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Kyrkan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59269-2022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46292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Kommuner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59293-2022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44897</v>
      </c>
      <c r="E658" s="1" t="n">
        <v>46292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46292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Kommuner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46292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Kyrkan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35776-2026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46265</v>
      </c>
      <c r="E661" s="1" t="n">
        <v>46292</v>
      </c>
      <c r="F661" t="inlineStr">
        <is>
          <t>JÖNKÖPINGS LÄN</t>
        </is>
      </c>
      <c r="G661" t="inlineStr">
        <is>
          <t>JÖNKÖPING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18069-2025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45761</v>
      </c>
      <c r="E662" s="1" t="n">
        <v>46292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45679</v>
      </c>
      <c r="E663" s="1" t="n">
        <v>46292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46292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45226</v>
      </c>
      <c r="E665" s="1" t="n">
        <v>46292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46292</v>
      </c>
      <c r="F666" t="inlineStr">
        <is>
          <t>JÖNKÖPINGS LÄN</t>
        </is>
      </c>
      <c r="G666" t="inlineStr">
        <is>
          <t>JÖNKÖPING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56051-2023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45240</v>
      </c>
      <c r="E667" s="1" t="n">
        <v>46292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36617-2026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46270</v>
      </c>
      <c r="E668" s="1" t="n">
        <v>46292</v>
      </c>
      <c r="F668" t="inlineStr">
        <is>
          <t>JÖNKÖPINGS LÄN</t>
        </is>
      </c>
      <c r="G668" t="inlineStr">
        <is>
          <t>JÖNKÖPING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36781-2026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46272</v>
      </c>
      <c r="E669" s="1" t="n">
        <v>46292</v>
      </c>
      <c r="F669" t="inlineStr">
        <is>
          <t>JÖNKÖPINGS LÄN</t>
        </is>
      </c>
      <c r="G669" t="inlineStr">
        <is>
          <t>JÖNKÖPING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46272</v>
      </c>
      <c r="E670" s="1" t="n">
        <v>46292</v>
      </c>
      <c r="F670" t="inlineStr">
        <is>
          <t>JÖNKÖPINGS LÄN</t>
        </is>
      </c>
      <c r="G670" t="inlineStr">
        <is>
          <t>JÖNKÖPING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36793-2026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46292</v>
      </c>
      <c r="F671" t="inlineStr">
        <is>
          <t>JÖNKÖPINGS LÄN</t>
        </is>
      </c>
      <c r="G671" t="inlineStr">
        <is>
          <t>JÖNKÖPING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36774-2026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46272</v>
      </c>
      <c r="E672" s="1" t="n">
        <v>46292</v>
      </c>
      <c r="F672" t="inlineStr">
        <is>
          <t>JÖNKÖPINGS LÄN</t>
        </is>
      </c>
      <c r="G672" t="inlineStr">
        <is>
          <t>JÖNKÖPING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46272</v>
      </c>
      <c r="E673" s="1" t="n">
        <v>46292</v>
      </c>
      <c r="F673" t="inlineStr">
        <is>
          <t>JÖNKÖPINGS LÄN</t>
        </is>
      </c>
      <c r="G673" t="inlineStr">
        <is>
          <t>JÖNKÖPING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46230</v>
      </c>
      <c r="E674" s="1" t="n">
        <v>46292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46230</v>
      </c>
      <c r="E675" s="1" t="n">
        <v>46292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36940-2026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46273</v>
      </c>
      <c r="E676" s="1" t="n">
        <v>46292</v>
      </c>
      <c r="F676" t="inlineStr">
        <is>
          <t>JÖNKÖPINGS LÄN</t>
        </is>
      </c>
      <c r="G676" t="inlineStr">
        <is>
          <t>JÖNKÖPING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46292</v>
      </c>
      <c r="F677" t="inlineStr">
        <is>
          <t>JÖNKÖPINGS LÄN</t>
        </is>
      </c>
      <c r="G677" t="inlineStr">
        <is>
          <t>JÖNKÖPING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46276</v>
      </c>
      <c r="E678" s="1" t="n">
        <v>46292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37316-2026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46274</v>
      </c>
      <c r="E679" s="1" t="n">
        <v>46292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56131-2022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44889</v>
      </c>
      <c r="E680" s="1" t="n">
        <v>46292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46292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46628-2023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46292</v>
      </c>
      <c r="F682" t="inlineStr">
        <is>
          <t>JÖNKÖPINGS LÄN</t>
        </is>
      </c>
      <c r="G682" t="inlineStr">
        <is>
          <t>JÖNKÖPING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46971-2023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46292</v>
      </c>
      <c r="F683" t="inlineStr">
        <is>
          <t>JÖNKÖPINGS LÄN</t>
        </is>
      </c>
      <c r="G683" t="inlineStr">
        <is>
          <t>JÖNKÖPING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45534</v>
      </c>
      <c r="E684" s="1" t="n">
        <v>46292</v>
      </c>
      <c r="F684" t="inlineStr">
        <is>
          <t>JÖNKÖPINGS LÄN</t>
        </is>
      </c>
      <c r="G684" t="inlineStr">
        <is>
          <t>JÖNKÖPING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32147-2026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46234</v>
      </c>
      <c r="E685" s="1" t="n">
        <v>46292</v>
      </c>
      <c r="F685" t="inlineStr">
        <is>
          <t>JÖNKÖPINGS LÄN</t>
        </is>
      </c>
      <c r="G685" t="inlineStr">
        <is>
          <t>JÖNKÖPING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46292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46279</v>
      </c>
      <c r="E687" s="1" t="n">
        <v>46292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37883-2026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46279</v>
      </c>
      <c r="E688" s="1" t="n">
        <v>46292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46292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46292</v>
      </c>
      <c r="F690" t="inlineStr">
        <is>
          <t>JÖNKÖPINGS LÄN</t>
        </is>
      </c>
      <c r="G690" t="inlineStr">
        <is>
          <t>JÖNKÖPING</t>
        </is>
      </c>
      <c r="I690" t="n">
        <v>7.7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46292</v>
      </c>
      <c r="F691" t="inlineStr">
        <is>
          <t>JÖNKÖPINGS LÄN</t>
        </is>
      </c>
      <c r="G691" t="inlineStr">
        <is>
          <t>JÖNKÖPING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46292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45300</v>
      </c>
      <c r="E693" s="1" t="n">
        <v>46292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50168-2023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45215</v>
      </c>
      <c r="E694" s="1" t="n">
        <v>46292</v>
      </c>
      <c r="F694" t="inlineStr">
        <is>
          <t>JÖNKÖPINGS LÄN</t>
        </is>
      </c>
      <c r="G694" t="inlineStr">
        <is>
          <t>JÖNKÖPING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46292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46292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46234</v>
      </c>
      <c r="E697" s="1" t="n">
        <v>46292</v>
      </c>
      <c r="F697" t="inlineStr">
        <is>
          <t>JÖNKÖPINGS LÄN</t>
        </is>
      </c>
      <c r="G697" t="inlineStr">
        <is>
          <t>JÖNKÖPING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46292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46292</v>
      </c>
      <c r="F699" t="inlineStr">
        <is>
          <t>JÖNKÖPINGS LÄN</t>
        </is>
      </c>
      <c r="G699" t="inlineStr">
        <is>
          <t>JÖNKÖPING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46292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46292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28232-2024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45477</v>
      </c>
      <c r="E702" s="1" t="n">
        <v>46292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28234-2024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46292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59312-2022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44904</v>
      </c>
      <c r="E704" s="1" t="n">
        <v>46292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46239</v>
      </c>
      <c r="E705" s="1" t="n">
        <v>46292</v>
      </c>
      <c r="F705" t="inlineStr">
        <is>
          <t>JÖNKÖPINGS LÄN</t>
        </is>
      </c>
      <c r="G705" t="inlineStr">
        <is>
          <t>JÖNKÖPING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46292</v>
      </c>
      <c r="F706" t="inlineStr">
        <is>
          <t>JÖNKÖPINGS LÄN</t>
        </is>
      </c>
      <c r="G706" t="inlineStr">
        <is>
          <t>JÖNKÖPING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38337-2026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46282</v>
      </c>
      <c r="E707" s="1" t="n">
        <v>46292</v>
      </c>
      <c r="F707" t="inlineStr">
        <is>
          <t>JÖNKÖPINGS LÄN</t>
        </is>
      </c>
      <c r="G707" t="inlineStr">
        <is>
          <t>JÖNKÖPING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38862-2026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46292</v>
      </c>
      <c r="F708" t="inlineStr">
        <is>
          <t>JÖNKÖPINGS LÄN</t>
        </is>
      </c>
      <c r="G708" t="inlineStr">
        <is>
          <t>JÖNKÖPING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45302</v>
      </c>
      <c r="E709" s="1" t="n">
        <v>46292</v>
      </c>
      <c r="F709" t="inlineStr">
        <is>
          <t>JÖNKÖPINGS LÄN</t>
        </is>
      </c>
      <c r="G709" t="inlineStr">
        <is>
          <t>JÖNKÖPING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46292</v>
      </c>
      <c r="F710" t="inlineStr">
        <is>
          <t>JÖNKÖPINGS LÄN</t>
        </is>
      </c>
      <c r="G710" t="inlineStr">
        <is>
          <t>JÖNKÖPING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46292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38904-2026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46292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46292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56599-2022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46292</v>
      </c>
      <c r="F714" t="inlineStr">
        <is>
          <t>JÖNKÖPINGS LÄN</t>
        </is>
      </c>
      <c r="G714" t="inlineStr">
        <is>
          <t>JÖNKÖPING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46292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45406</v>
      </c>
      <c r="E716" s="1" t="n">
        <v>46292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46286</v>
      </c>
      <c r="E717" s="1" t="n">
        <v>46292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48308-2022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46292</v>
      </c>
      <c r="F718" t="inlineStr">
        <is>
          <t>JÖNKÖPINGS LÄN</t>
        </is>
      </c>
      <c r="G718" t="inlineStr">
        <is>
          <t>JÖNKÖPING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57715-2021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44484</v>
      </c>
      <c r="E719" s="1" t="n">
        <v>46292</v>
      </c>
      <c r="F719" t="inlineStr">
        <is>
          <t>JÖNKÖPINGS LÄN</t>
        </is>
      </c>
      <c r="G719" t="inlineStr">
        <is>
          <t>JÖNKÖPING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44949</v>
      </c>
      <c r="E720" s="1" t="n">
        <v>46292</v>
      </c>
      <c r="F720" t="inlineStr">
        <is>
          <t>JÖNKÖPINGS LÄN</t>
        </is>
      </c>
      <c r="G720" t="inlineStr">
        <is>
          <t>JÖNKÖPING</t>
        </is>
      </c>
      <c r="I720" t="n">
        <v>14.5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13691-2022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44648</v>
      </c>
      <c r="E721" s="1" t="n">
        <v>46292</v>
      </c>
      <c r="F721" t="inlineStr">
        <is>
          <t>JÖNKÖPINGS LÄN</t>
        </is>
      </c>
      <c r="G721" t="inlineStr">
        <is>
          <t>JÖNKÖPING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46286</v>
      </c>
      <c r="E722" s="1" t="n">
        <v>46292</v>
      </c>
      <c r="F722" t="inlineStr">
        <is>
          <t>JÖNKÖPINGS LÄN</t>
        </is>
      </c>
      <c r="G722" t="inlineStr">
        <is>
          <t>JÖNKÖPING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49392-2022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44861</v>
      </c>
      <c r="E723" s="1" t="n">
        <v>46292</v>
      </c>
      <c r="F723" t="inlineStr">
        <is>
          <t>JÖNKÖPINGS LÄN</t>
        </is>
      </c>
      <c r="G723" t="inlineStr">
        <is>
          <t>JÖNKÖPING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46292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11801-2024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45375</v>
      </c>
      <c r="E725" s="1" t="n">
        <v>46292</v>
      </c>
      <c r="F725" t="inlineStr">
        <is>
          <t>JÖNKÖPINGS LÄN</t>
        </is>
      </c>
      <c r="G725" t="inlineStr">
        <is>
          <t>JÖNKÖPING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43251-2023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45180</v>
      </c>
      <c r="E726" s="1" t="n">
        <v>46292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46292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44943</v>
      </c>
      <c r="E728" s="1" t="n">
        <v>46292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8864-2022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44614</v>
      </c>
      <c r="E729" s="1" t="n">
        <v>46292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21935-2022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44711</v>
      </c>
      <c r="E730" s="1" t="n">
        <v>46292</v>
      </c>
      <c r="F730" t="inlineStr">
        <is>
          <t>JÖNKÖPINGS LÄN</t>
        </is>
      </c>
      <c r="G730" t="inlineStr">
        <is>
          <t>JÖNKÖPING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46279</v>
      </c>
      <c r="E731" s="1" t="n">
        <v>46292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46292</v>
      </c>
      <c r="F732" t="inlineStr">
        <is>
          <t>JÖNKÖPINGS LÄN</t>
        </is>
      </c>
      <c r="G732" t="inlineStr">
        <is>
          <t>JÖNKÖPING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46292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46292</v>
      </c>
      <c r="F734" t="inlineStr">
        <is>
          <t>JÖNKÖPINGS LÄN</t>
        </is>
      </c>
      <c r="G734" t="inlineStr">
        <is>
          <t>JÖNKÖPING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46292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46292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46292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46292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15605-2022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44662</v>
      </c>
      <c r="E739" s="1" t="n">
        <v>46292</v>
      </c>
      <c r="F739" t="inlineStr">
        <is>
          <t>JÖNKÖPINGS LÄN</t>
        </is>
      </c>
      <c r="G739" t="inlineStr">
        <is>
          <t>JÖNKÖPING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46292</v>
      </c>
      <c r="F740" t="inlineStr">
        <is>
          <t>JÖNKÖPINGS LÄN</t>
        </is>
      </c>
      <c r="G740" t="inlineStr">
        <is>
          <t>JÖNKÖPING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46246</v>
      </c>
      <c r="E741" s="1" t="n">
        <v>46292</v>
      </c>
      <c r="F741" t="inlineStr">
        <is>
          <t>JÖNKÖPINGS LÄN</t>
        </is>
      </c>
      <c r="G741" t="inlineStr">
        <is>
          <t>JÖNKÖPING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46292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39847-2026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46290</v>
      </c>
      <c r="E743" s="1" t="n">
        <v>46292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62909-2023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45271</v>
      </c>
      <c r="E744" s="1" t="n">
        <v>46292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49379-2022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44861</v>
      </c>
      <c r="E745" s="1" t="n">
        <v>46292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49396-2022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44861</v>
      </c>
      <c r="E746" s="1" t="n">
        <v>46292</v>
      </c>
      <c r="F746" t="inlineStr">
        <is>
          <t>JÖNKÖPINGS LÄN</t>
        </is>
      </c>
      <c r="G746" t="inlineStr">
        <is>
          <t>JÖNKÖPING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46292</v>
      </c>
      <c r="F747" t="inlineStr">
        <is>
          <t>JÖNKÖPINGS LÄN</t>
        </is>
      </c>
      <c r="G747" t="inlineStr">
        <is>
          <t>JÖNKÖPING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46247</v>
      </c>
      <c r="E748" s="1" t="n">
        <v>46292</v>
      </c>
      <c r="F748" t="inlineStr">
        <is>
          <t>JÖNKÖPINGS LÄN</t>
        </is>
      </c>
      <c r="G748" t="inlineStr">
        <is>
          <t>JÖNKÖPING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46292</v>
      </c>
      <c r="F749" t="inlineStr">
        <is>
          <t>JÖNKÖPINGS LÄN</t>
        </is>
      </c>
      <c r="G749" t="inlineStr">
        <is>
          <t>JÖNKÖPING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45461</v>
      </c>
      <c r="E750" s="1" t="n">
        <v>46292</v>
      </c>
      <c r="F750" t="inlineStr">
        <is>
          <t>JÖNKÖPINGS LÄN</t>
        </is>
      </c>
      <c r="G750" t="inlineStr">
        <is>
          <t>JÖNKÖPING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39844-2026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46290</v>
      </c>
      <c r="E751" s="1" t="n">
        <v>46292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46292</v>
      </c>
      <c r="F752" t="inlineStr">
        <is>
          <t>JÖNKÖPINGS LÄN</t>
        </is>
      </c>
      <c r="G752" t="inlineStr">
        <is>
          <t>JÖNKÖPING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18606-2023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46292</v>
      </c>
      <c r="F753" t="inlineStr">
        <is>
          <t>JÖNKÖPINGS LÄN</t>
        </is>
      </c>
      <c r="G753" t="inlineStr">
        <is>
          <t>JÖNKÖPING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57620-2022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44897</v>
      </c>
      <c r="E754" s="1" t="n">
        <v>46292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23783-2024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45455</v>
      </c>
      <c r="E755" s="1" t="n">
        <v>46292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63176-2021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44507</v>
      </c>
      <c r="E756" s="1" t="n">
        <v>46292</v>
      </c>
      <c r="F756" t="inlineStr">
        <is>
          <t>JÖNKÖPINGS LÄN</t>
        </is>
      </c>
      <c r="G756" t="inlineStr">
        <is>
          <t>JÖNKÖPING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43573-2024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45569</v>
      </c>
      <c r="E757" s="1" t="n">
        <v>46292</v>
      </c>
      <c r="F757" t="inlineStr">
        <is>
          <t>JÖNKÖPINGS LÄN</t>
        </is>
      </c>
      <c r="G757" t="inlineStr">
        <is>
          <t>JÖNKÖPING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44943</v>
      </c>
      <c r="E758" s="1" t="n">
        <v>46292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44943</v>
      </c>
      <c r="E759" s="1" t="n">
        <v>46292</v>
      </c>
      <c r="F759" t="inlineStr">
        <is>
          <t>JÖNKÖPINGS LÄN</t>
        </is>
      </c>
      <c r="G759" t="inlineStr">
        <is>
          <t>JÖNKÖPING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45920-2024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46292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28307-2024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45477</v>
      </c>
      <c r="E761" s="1" t="n">
        <v>46292</v>
      </c>
      <c r="F761" t="inlineStr">
        <is>
          <t>JÖNKÖPINGS LÄN</t>
        </is>
      </c>
      <c r="G761" t="inlineStr">
        <is>
          <t>JÖNKÖPING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46292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17171-2023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45034</v>
      </c>
      <c r="E763" s="1" t="n">
        <v>46292</v>
      </c>
      <c r="F763" t="inlineStr">
        <is>
          <t>JÖNKÖPINGS LÄN</t>
        </is>
      </c>
      <c r="G763" t="inlineStr">
        <is>
          <t>JÖNKÖPING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17203-2022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44677</v>
      </c>
      <c r="E764" s="1" t="n">
        <v>46292</v>
      </c>
      <c r="F764" t="inlineStr">
        <is>
          <t>JÖNKÖPINGS LÄN</t>
        </is>
      </c>
      <c r="G764" t="inlineStr">
        <is>
          <t>JÖNKÖPING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15190-2022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44658</v>
      </c>
      <c r="E765" s="1" t="n">
        <v>46292</v>
      </c>
      <c r="F765" t="inlineStr">
        <is>
          <t>JÖNKÖPINGS LÄN</t>
        </is>
      </c>
      <c r="G765" t="inlineStr">
        <is>
          <t>JÖNKÖPING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19388-2023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45048</v>
      </c>
      <c r="E766" s="1" t="n">
        <v>46292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46292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45976-2022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44846</v>
      </c>
      <c r="E768" s="1" t="n">
        <v>46292</v>
      </c>
      <c r="F768" t="inlineStr">
        <is>
          <t>JÖNKÖPINGS LÄN</t>
        </is>
      </c>
      <c r="G768" t="inlineStr">
        <is>
          <t>JÖNKÖPING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33448-2023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45130</v>
      </c>
      <c r="E769" s="1" t="n">
        <v>46292</v>
      </c>
      <c r="F769" t="inlineStr">
        <is>
          <t>JÖNKÖPINGS LÄN</t>
        </is>
      </c>
      <c r="G769" t="inlineStr">
        <is>
          <t>JÖNKÖPING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18774-2025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45764</v>
      </c>
      <c r="E770" s="1" t="n">
        <v>46292</v>
      </c>
      <c r="F770" t="inlineStr">
        <is>
          <t>JÖNKÖPINGS LÄN</t>
        </is>
      </c>
      <c r="G770" t="inlineStr">
        <is>
          <t>JÖNKÖPING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27012-2024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45471</v>
      </c>
      <c r="E771" s="1" t="n">
        <v>46292</v>
      </c>
      <c r="F771" t="inlineStr">
        <is>
          <t>JÖNKÖPINGS LÄN</t>
        </is>
      </c>
      <c r="G771" t="inlineStr">
        <is>
          <t>JÖNKÖPING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8347-2023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44977</v>
      </c>
      <c r="E772" s="1" t="n">
        <v>46292</v>
      </c>
      <c r="F772" t="inlineStr">
        <is>
          <t>JÖNKÖPINGS LÄN</t>
        </is>
      </c>
      <c r="G772" t="inlineStr">
        <is>
          <t>JÖNKÖPING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12092-2023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44998</v>
      </c>
      <c r="E773" s="1" t="n">
        <v>46292</v>
      </c>
      <c r="F773" t="inlineStr">
        <is>
          <t>JÖNKÖPINGS LÄN</t>
        </is>
      </c>
      <c r="G773" t="inlineStr">
        <is>
          <t>JÖNKÖPING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46292</v>
      </c>
      <c r="F774" t="inlineStr">
        <is>
          <t>JÖNKÖPINGS LÄN</t>
        </is>
      </c>
      <c r="G774" t="inlineStr">
        <is>
          <t>JÖNKÖPING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45152</v>
      </c>
      <c r="E775" s="1" t="n">
        <v>46292</v>
      </c>
      <c r="F775" t="inlineStr">
        <is>
          <t>JÖNKÖPINGS LÄN</t>
        </is>
      </c>
      <c r="G775" t="inlineStr">
        <is>
          <t>JÖNKÖPING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15455-2024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46292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Kommuner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11700-2024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46292</v>
      </c>
      <c r="F777" t="inlineStr">
        <is>
          <t>JÖNKÖPINGS LÄN</t>
        </is>
      </c>
      <c r="G777" t="inlineStr">
        <is>
          <t>JÖNKÖPING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33256-2023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45127</v>
      </c>
      <c r="E778" s="1" t="n">
        <v>46292</v>
      </c>
      <c r="F778" t="inlineStr">
        <is>
          <t>JÖNKÖPINGS LÄN</t>
        </is>
      </c>
      <c r="G778" t="inlineStr">
        <is>
          <t>JÖNKÖPING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46292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51643-2024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45605</v>
      </c>
      <c r="E780" s="1" t="n">
        <v>46292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36346-2023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45152</v>
      </c>
      <c r="E781" s="1" t="n">
        <v>46292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26512-2023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45092</v>
      </c>
      <c r="E782" s="1" t="n">
        <v>46292</v>
      </c>
      <c r="F782" t="inlineStr">
        <is>
          <t>JÖNKÖPINGS LÄN</t>
        </is>
      </c>
      <c r="G782" t="inlineStr">
        <is>
          <t>JÖNKÖPING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17381-2025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45757</v>
      </c>
      <c r="E783" s="1" t="n">
        <v>46292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53938-2024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45615</v>
      </c>
      <c r="E784" s="1" t="n">
        <v>46292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11497-2022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44631</v>
      </c>
      <c r="E785" s="1" t="n">
        <v>46292</v>
      </c>
      <c r="F785" t="inlineStr">
        <is>
          <t>JÖNKÖPINGS LÄN</t>
        </is>
      </c>
      <c r="G785" t="inlineStr">
        <is>
          <t>JÖNKÖPING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56062-2023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45240</v>
      </c>
      <c r="E786" s="1" t="n">
        <v>46292</v>
      </c>
      <c r="F786" t="inlineStr">
        <is>
          <t>JÖNKÖPINGS LÄN</t>
        </is>
      </c>
      <c r="G786" t="inlineStr">
        <is>
          <t>JÖNKÖPING</t>
        </is>
      </c>
      <c r="I786" t="n">
        <v>13.6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60284-2024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45642</v>
      </c>
      <c r="E787" s="1" t="n">
        <v>46292</v>
      </c>
      <c r="F787" t="inlineStr">
        <is>
          <t>JÖNKÖPINGS LÄN</t>
        </is>
      </c>
      <c r="G787" t="inlineStr">
        <is>
          <t>JÖNKÖPING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14372-2023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45012</v>
      </c>
      <c r="E788" s="1" t="n">
        <v>46292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45300</v>
      </c>
      <c r="E789" s="1" t="n">
        <v>46292</v>
      </c>
      <c r="F789" t="inlineStr">
        <is>
          <t>JÖNKÖPINGS LÄN</t>
        </is>
      </c>
      <c r="G789" t="inlineStr">
        <is>
          <t>JÖNKÖPING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47740-2024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45588</v>
      </c>
      <c r="E790" s="1" t="n">
        <v>46292</v>
      </c>
      <c r="F790" t="inlineStr">
        <is>
          <t>JÖNKÖPINGS LÄN</t>
        </is>
      </c>
      <c r="G790" t="inlineStr">
        <is>
          <t>JÖNKÖPING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9924-2023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44985</v>
      </c>
      <c r="E791" s="1" t="n">
        <v>46292</v>
      </c>
      <c r="F791" t="inlineStr">
        <is>
          <t>JÖNKÖPINGS LÄN</t>
        </is>
      </c>
      <c r="G791" t="inlineStr">
        <is>
          <t>JÖNKÖPING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28337-2023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45099</v>
      </c>
      <c r="E792" s="1" t="n">
        <v>46292</v>
      </c>
      <c r="F792" t="inlineStr">
        <is>
          <t>JÖNKÖPINGS LÄN</t>
        </is>
      </c>
      <c r="G792" t="inlineStr">
        <is>
          <t>JÖNKÖPING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9883-2024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45363</v>
      </c>
      <c r="E793" s="1" t="n">
        <v>46292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42047-2023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45177</v>
      </c>
      <c r="E794" s="1" t="n">
        <v>46292</v>
      </c>
      <c r="F794" t="inlineStr">
        <is>
          <t>JÖNKÖPINGS LÄN</t>
        </is>
      </c>
      <c r="G794" t="inlineStr">
        <is>
          <t>JÖNKÖPING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52058-2023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45223</v>
      </c>
      <c r="E795" s="1" t="n">
        <v>46292</v>
      </c>
      <c r="F795" t="inlineStr">
        <is>
          <t>JÖNKÖPINGS LÄN</t>
        </is>
      </c>
      <c r="G795" t="inlineStr">
        <is>
          <t>JÖNKÖPING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45181</v>
      </c>
      <c r="E796" s="1" t="n">
        <v>46292</v>
      </c>
      <c r="F796" t="inlineStr">
        <is>
          <t>JÖNKÖPINGS LÄN</t>
        </is>
      </c>
      <c r="G796" t="inlineStr">
        <is>
          <t>JÖNKÖPING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57930-2021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44487</v>
      </c>
      <c r="E797" s="1" t="n">
        <v>46292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8809-2024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45356</v>
      </c>
      <c r="E798" s="1" t="n">
        <v>46292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29880-2023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45107</v>
      </c>
      <c r="E799" s="1" t="n">
        <v>46292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4154-2022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44588</v>
      </c>
      <c r="E800" s="1" t="n">
        <v>46292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48404-2023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45201</v>
      </c>
      <c r="E801" s="1" t="n">
        <v>46292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45545</v>
      </c>
      <c r="E802" s="1" t="n">
        <v>46292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45169</v>
      </c>
      <c r="E803" s="1" t="n">
        <v>46292</v>
      </c>
      <c r="F803" t="inlineStr">
        <is>
          <t>JÖNKÖPINGS LÄN</t>
        </is>
      </c>
      <c r="G803" t="inlineStr">
        <is>
          <t>JÖNKÖPING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26108-2024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45468</v>
      </c>
      <c r="E804" s="1" t="n">
        <v>46292</v>
      </c>
      <c r="F804" t="inlineStr">
        <is>
          <t>JÖNKÖPINGS LÄN</t>
        </is>
      </c>
      <c r="G804" t="inlineStr">
        <is>
          <t>JÖNKÖPING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59195-2022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44904</v>
      </c>
      <c r="E805" s="1" t="n">
        <v>46292</v>
      </c>
      <c r="F805" t="inlineStr">
        <is>
          <t>JÖNKÖPINGS LÄN</t>
        </is>
      </c>
      <c r="G805" t="inlineStr">
        <is>
          <t>JÖNKÖPING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59218-2022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46292</v>
      </c>
      <c r="F806" t="inlineStr">
        <is>
          <t>JÖNKÖPINGS LÄN</t>
        </is>
      </c>
      <c r="G806" t="inlineStr">
        <is>
          <t>JÖNKÖPING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62332-2022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44923</v>
      </c>
      <c r="E807" s="1" t="n">
        <v>46292</v>
      </c>
      <c r="F807" t="inlineStr">
        <is>
          <t>JÖNKÖPINGS LÄN</t>
        </is>
      </c>
      <c r="G807" t="inlineStr">
        <is>
          <t>JÖNKÖPING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45414</v>
      </c>
      <c r="E808" s="1" t="n">
        <v>46292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12042-2024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45377</v>
      </c>
      <c r="E809" s="1" t="n">
        <v>46292</v>
      </c>
      <c r="F809" t="inlineStr">
        <is>
          <t>JÖNKÖPINGS LÄN</t>
        </is>
      </c>
      <c r="G809" t="inlineStr">
        <is>
          <t>JÖNKÖPING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8185-2024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45351</v>
      </c>
      <c r="E810" s="1" t="n">
        <v>46292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51188-2023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45219</v>
      </c>
      <c r="E811" s="1" t="n">
        <v>46292</v>
      </c>
      <c r="F811" t="inlineStr">
        <is>
          <t>JÖNKÖPINGS LÄN</t>
        </is>
      </c>
      <c r="G811" t="inlineStr">
        <is>
          <t>JÖNKÖPING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45477</v>
      </c>
      <c r="E812" s="1" t="n">
        <v>46292</v>
      </c>
      <c r="F812" t="inlineStr">
        <is>
          <t>JÖNKÖPINGS LÄN</t>
        </is>
      </c>
      <c r="G812" t="inlineStr">
        <is>
          <t>JÖNKÖPING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16214-2024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45406</v>
      </c>
      <c r="E813" s="1" t="n">
        <v>46292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30547-2024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45492</v>
      </c>
      <c r="E814" s="1" t="n">
        <v>46292</v>
      </c>
      <c r="F814" t="inlineStr">
        <is>
          <t>JÖNKÖPINGS LÄN</t>
        </is>
      </c>
      <c r="G814" t="inlineStr">
        <is>
          <t>JÖNKÖPING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42734-2024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46292</v>
      </c>
      <c r="F815" t="inlineStr">
        <is>
          <t>JÖNKÖPINGS LÄN</t>
        </is>
      </c>
      <c r="G815" t="inlineStr">
        <is>
          <t>JÖNKÖPING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13061-2025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45734</v>
      </c>
      <c r="E816" s="1" t="n">
        <v>46292</v>
      </c>
      <c r="F816" t="inlineStr">
        <is>
          <t>JÖNKÖPINGS LÄN</t>
        </is>
      </c>
      <c r="G816" t="inlineStr">
        <is>
          <t>JÖNKÖPING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53936-2024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45615</v>
      </c>
      <c r="E817" s="1" t="n">
        <v>46292</v>
      </c>
      <c r="F817" t="inlineStr">
        <is>
          <t>JÖNKÖPINGS LÄN</t>
        </is>
      </c>
      <c r="G817" t="inlineStr">
        <is>
          <t>JÖNKÖPING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45701</v>
      </c>
      <c r="E818" s="1" t="n">
        <v>46292</v>
      </c>
      <c r="F818" t="inlineStr">
        <is>
          <t>JÖNKÖPINGS LÄN</t>
        </is>
      </c>
      <c r="G818" t="inlineStr">
        <is>
          <t>JÖNKÖPING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45758</v>
      </c>
      <c r="E819" s="1" t="n">
        <v>46292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2636-2023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44944</v>
      </c>
      <c r="E820" s="1" t="n">
        <v>46292</v>
      </c>
      <c r="F820" t="inlineStr">
        <is>
          <t>JÖNKÖPINGS LÄN</t>
        </is>
      </c>
      <c r="G820" t="inlineStr">
        <is>
          <t>JÖNKÖPING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18836-2025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45764</v>
      </c>
      <c r="E821" s="1" t="n">
        <v>46292</v>
      </c>
      <c r="F821" t="inlineStr">
        <is>
          <t>JÖNKÖPINGS LÄN</t>
        </is>
      </c>
      <c r="G821" t="inlineStr">
        <is>
          <t>JÖNKÖPING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45307</v>
      </c>
      <c r="E822" s="1" t="n">
        <v>46292</v>
      </c>
      <c r="F822" t="inlineStr">
        <is>
          <t>JÖNKÖPINGS LÄN</t>
        </is>
      </c>
      <c r="G822" t="inlineStr">
        <is>
          <t>JÖNKÖPING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28334-2023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46292</v>
      </c>
      <c r="F823" t="inlineStr">
        <is>
          <t>JÖNKÖPINGS LÄN</t>
        </is>
      </c>
      <c r="G823" t="inlineStr">
        <is>
          <t>JÖNKÖPING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45667</v>
      </c>
      <c r="E824" s="1" t="n">
        <v>46292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47190-2024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45586</v>
      </c>
      <c r="E825" s="1" t="n">
        <v>46292</v>
      </c>
      <c r="F825" t="inlineStr">
        <is>
          <t>JÖNKÖPINGS LÄN</t>
        </is>
      </c>
      <c r="G825" t="inlineStr">
        <is>
          <t>JÖNKÖPING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33398-2024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45519</v>
      </c>
      <c r="E826" s="1" t="n">
        <v>46292</v>
      </c>
      <c r="F826" t="inlineStr">
        <is>
          <t>JÖNKÖPINGS LÄN</t>
        </is>
      </c>
      <c r="G826" t="inlineStr">
        <is>
          <t>JÖNKÖPING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61523-2024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45646</v>
      </c>
      <c r="E827" s="1" t="n">
        <v>46292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39280-2024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45551</v>
      </c>
      <c r="E828" s="1" t="n">
        <v>46292</v>
      </c>
      <c r="F828" t="inlineStr">
        <is>
          <t>JÖNKÖPINGS LÄN</t>
        </is>
      </c>
      <c r="G828" t="inlineStr">
        <is>
          <t>JÖNKÖPING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37515-2024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46292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7959-2024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45350</v>
      </c>
      <c r="E830" s="1" t="n">
        <v>46292</v>
      </c>
      <c r="F830" t="inlineStr">
        <is>
          <t>JÖNKÖPINGS LÄN</t>
        </is>
      </c>
      <c r="G830" t="inlineStr">
        <is>
          <t>JÖNKÖPING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46292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46292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46292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46292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46292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46292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46292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46292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46292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46292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46292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46292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46292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46292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46292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46292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46292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46292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46292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46292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46292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2026-09-27T02:03:00Z</dcterms:created>
  <dcterms:modified xmlns:dcterms="http://purl.org/dc/terms/" xmlns:xsi="http://www.w3.org/2001/XMLSchema-instance" xsi:type="dcterms:W3CDTF">2026-09-27T02:03:01Z</dcterms:modified>
</cp:coreProperties>
</file>