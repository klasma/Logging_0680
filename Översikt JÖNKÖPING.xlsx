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46203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46203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46203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46203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Praktvaxing
Blodvaxing
Gulvaxing
Igelkottsröksvamp
Svart trolldruva
Vitvaxing agg.
Västlig hakmossa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46203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7521-2024</t>
        </is>
      </c>
      <c r="B10" s="1" t="n">
        <v>45348</v>
      </c>
      <c r="C10" s="1" t="n">
        <v>46203</v>
      </c>
      <c r="D10" t="inlineStr">
        <is>
          <t>JÖNKÖPINGS LÄN</t>
        </is>
      </c>
      <c r="E10" t="inlineStr">
        <is>
          <t>JÖNKÖPING</t>
        </is>
      </c>
      <c r="G10" t="n">
        <v>8.199999999999999</v>
      </c>
      <c r="H10" t="n">
        <v>2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8</v>
      </c>
      <c r="R10" s="2" t="inlineStr">
        <is>
          <t>Blåmossa
Bronshjon
Grovticka
Stor revmossa
Vedticka
Västlig hakmossa
Spillkråka
Revlummer</t>
        </is>
      </c>
      <c r="S10">
        <f>HYPERLINK("https://klasma.github.io/Logging_0680/artfynd/A 7521-2024 artfynd.xlsx", "A 7521-2024")</f>
        <v/>
      </c>
      <c r="T10">
        <f>HYPERLINK("https://klasma.github.io/Logging_0680/kartor/A 7521-2024 karta.png", "A 7521-2024")</f>
        <v/>
      </c>
      <c r="V10">
        <f>HYPERLINK("https://klasma.github.io/Logging_0680/klagomål/A 7521-2024 FSC-klagomål.docx", "A 7521-2024")</f>
        <v/>
      </c>
      <c r="W10">
        <f>HYPERLINK("https://klasma.github.io/Logging_0680/klagomålsmail/A 7521-2024 FSC-klagomål mail.docx", "A 7521-2024")</f>
        <v/>
      </c>
      <c r="X10">
        <f>HYPERLINK("https://klasma.github.io/Logging_0680/tillsyn/A 7521-2024 tillsynsbegäran.docx", "A 7521-2024")</f>
        <v/>
      </c>
      <c r="Y10">
        <f>HYPERLINK("https://klasma.github.io/Logging_0680/tillsynsmail/A 7521-2024 tillsynsbegäran mail.docx", "A 7521-2024")</f>
        <v/>
      </c>
      <c r="Z10">
        <f>HYPERLINK("https://klasma.github.io/Logging_0680/fåglar/A 7521-2024 prioriterade fågelarter.docx", "A 7521-2024")</f>
        <v/>
      </c>
    </row>
    <row r="11" ht="15" customHeight="1">
      <c r="A11" t="inlineStr">
        <is>
          <t>A 6205-2025</t>
        </is>
      </c>
      <c r="B11" s="1" t="n">
        <v>45698</v>
      </c>
      <c r="C11" s="1" t="n">
        <v>46203</v>
      </c>
      <c r="D11" t="inlineStr">
        <is>
          <t>JÖNKÖPINGS LÄN</t>
        </is>
      </c>
      <c r="E11" t="inlineStr">
        <is>
          <t>JÖNKÖPING</t>
        </is>
      </c>
      <c r="G11" t="n">
        <v>5.2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Backstarr
Vårstarr
Hasselsopp
Kruskantarell
Blåsippa
Mattlummer
Gullviva</t>
        </is>
      </c>
      <c r="S11">
        <f>HYPERLINK("https://klasma.github.io/Logging_0680/artfynd/A 6205-2025 artfynd.xlsx", "A 6205-2025")</f>
        <v/>
      </c>
      <c r="T11">
        <f>HYPERLINK("https://klasma.github.io/Logging_0680/kartor/A 6205-2025 karta.png", "A 6205-2025")</f>
        <v/>
      </c>
      <c r="V11">
        <f>HYPERLINK("https://klasma.github.io/Logging_0680/klagomål/A 6205-2025 FSC-klagomål.docx", "A 6205-2025")</f>
        <v/>
      </c>
      <c r="W11">
        <f>HYPERLINK("https://klasma.github.io/Logging_0680/klagomålsmail/A 6205-2025 FSC-klagomål mail.docx", "A 6205-2025")</f>
        <v/>
      </c>
      <c r="X11">
        <f>HYPERLINK("https://klasma.github.io/Logging_0680/tillsyn/A 6205-2025 tillsynsbegäran.docx", "A 6205-2025")</f>
        <v/>
      </c>
      <c r="Y11">
        <f>HYPERLINK("https://klasma.github.io/Logging_0680/tillsynsmail/A 6205-2025 tillsynsbegäran mail.docx", "A 6205-2025")</f>
        <v/>
      </c>
    </row>
    <row r="12" ht="15" customHeight="1">
      <c r="A12" t="inlineStr">
        <is>
          <t>A 1244-2024</t>
        </is>
      </c>
      <c r="B12" s="1" t="n">
        <v>45302</v>
      </c>
      <c r="C12" s="1" t="n">
        <v>46203</v>
      </c>
      <c r="D12" t="inlineStr">
        <is>
          <t>JÖNKÖPINGS LÄN</t>
        </is>
      </c>
      <c r="E12" t="inlineStr">
        <is>
          <t>JÖNKÖPING</t>
        </is>
      </c>
      <c r="G12" t="n">
        <v>1.4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Stickelfrö
Sårläka
Vippärt
Vårärt
Kransrams
Skogsbräsma
Brudsporre</t>
        </is>
      </c>
      <c r="S12">
        <f>HYPERLINK("https://klasma.github.io/Logging_0680/artfynd/A 1244-2024 artfynd.xlsx", "A 1244-2024")</f>
        <v/>
      </c>
      <c r="T12">
        <f>HYPERLINK("https://klasma.github.io/Logging_0680/kartor/A 1244-2024 karta.png", "A 1244-2024")</f>
        <v/>
      </c>
      <c r="V12">
        <f>HYPERLINK("https://klasma.github.io/Logging_0680/klagomål/A 1244-2024 FSC-klagomål.docx", "A 1244-2024")</f>
        <v/>
      </c>
      <c r="W12">
        <f>HYPERLINK("https://klasma.github.io/Logging_0680/klagomålsmail/A 1244-2024 FSC-klagomål mail.docx", "A 1244-2024")</f>
        <v/>
      </c>
      <c r="X12">
        <f>HYPERLINK("https://klasma.github.io/Logging_0680/tillsyn/A 1244-2024 tillsynsbegäran.docx", "A 1244-2024")</f>
        <v/>
      </c>
      <c r="Y12">
        <f>HYPERLINK("https://klasma.github.io/Logging_0680/tillsynsmail/A 1244-2024 tillsynsbegäran mail.docx", "A 1244-2024")</f>
        <v/>
      </c>
    </row>
    <row r="13" ht="15" customHeight="1">
      <c r="A13" t="inlineStr">
        <is>
          <t>A 47412-2025</t>
        </is>
      </c>
      <c r="B13" s="1" t="n">
        <v>45930</v>
      </c>
      <c r="C13" s="1" t="n">
        <v>46203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Knärot
Vedsäckmossa
Bronshjon
Grönpyrola
Thomsons trägnagare
Västlig hakmossa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62414-2023</t>
        </is>
      </c>
      <c r="B14" s="1" t="n">
        <v>45268</v>
      </c>
      <c r="C14" s="1" t="n">
        <v>46203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5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Grönsångare
Talltita
Grovticka
Spillkråka
Kungsfågel
Svartvit flugsnappare</t>
        </is>
      </c>
      <c r="S14">
        <f>HYPERLINK("https://klasma.github.io/Logging_0680/artfynd/A 62414-2023 artfynd.xlsx", "A 62414-2023")</f>
        <v/>
      </c>
      <c r="T14">
        <f>HYPERLINK("https://klasma.github.io/Logging_0680/kartor/A 62414-2023 karta.png", "A 62414-2023")</f>
        <v/>
      </c>
      <c r="V14">
        <f>HYPERLINK("https://klasma.github.io/Logging_0680/klagomål/A 62414-2023 FSC-klagomål.docx", "A 62414-2023")</f>
        <v/>
      </c>
      <c r="W14">
        <f>HYPERLINK("https://klasma.github.io/Logging_0680/klagomålsmail/A 62414-2023 FSC-klagomål mail.docx", "A 62414-2023")</f>
        <v/>
      </c>
      <c r="X14">
        <f>HYPERLINK("https://klasma.github.io/Logging_0680/tillsyn/A 62414-2023 tillsynsbegäran.docx", "A 62414-2023")</f>
        <v/>
      </c>
      <c r="Y14">
        <f>HYPERLINK("https://klasma.github.io/Logging_0680/tillsynsmail/A 62414-2023 tillsynsbegäran mail.docx", "A 62414-2023")</f>
        <v/>
      </c>
      <c r="Z14">
        <f>HYPERLINK("https://klasma.github.io/Logging_0680/fåglar/A 62414-2023 prioriterade fågelarter.docx", "A 62414-2023")</f>
        <v/>
      </c>
    </row>
    <row r="15" ht="15" customHeight="1">
      <c r="A15" t="inlineStr">
        <is>
          <t>A 22555-2025</t>
        </is>
      </c>
      <c r="B15" s="1" t="n">
        <v>45788</v>
      </c>
      <c r="C15" s="1" t="n">
        <v>46203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Borsttåg
Jungfrulin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46203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Backtimjan
Mattlummer
Dvärgpipistrell
Större brunfladdermus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47402-2025</t>
        </is>
      </c>
      <c r="B17" s="1" t="n">
        <v>45930</v>
      </c>
      <c r="C17" s="1" t="n">
        <v>46203</v>
      </c>
      <c r="D17" t="inlineStr">
        <is>
          <t>JÖNKÖPINGS LÄN</t>
        </is>
      </c>
      <c r="E17" t="inlineStr">
        <is>
          <t>JÖNKÖPING</t>
        </is>
      </c>
      <c r="G17" t="n">
        <v>2.1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Vedsäckmossa
Bronshjon
Granbarkgnagare
Västlig hakmossa
Vågbandad barkbock</t>
        </is>
      </c>
      <c r="S17">
        <f>HYPERLINK("https://klasma.github.io/Logging_0680/artfynd/A 47402-2025 artfynd.xlsx", "A 47402-2025")</f>
        <v/>
      </c>
      <c r="T17">
        <f>HYPERLINK("https://klasma.github.io/Logging_0680/kartor/A 47402-2025 karta.png", "A 47402-2025")</f>
        <v/>
      </c>
      <c r="V17">
        <f>HYPERLINK("https://klasma.github.io/Logging_0680/klagomål/A 47402-2025 FSC-klagomål.docx", "A 47402-2025")</f>
        <v/>
      </c>
      <c r="W17">
        <f>HYPERLINK("https://klasma.github.io/Logging_0680/klagomålsmail/A 47402-2025 FSC-klagomål mail.docx", "A 47402-2025")</f>
        <v/>
      </c>
      <c r="X17">
        <f>HYPERLINK("https://klasma.github.io/Logging_0680/tillsyn/A 47402-2025 tillsynsbegäran.docx", "A 47402-2025")</f>
        <v/>
      </c>
      <c r="Y17">
        <f>HYPERLINK("https://klasma.github.io/Logging_0680/tillsynsmail/A 47402-2025 tillsynsbegäran mail.docx", "A 47402-2025")</f>
        <v/>
      </c>
    </row>
    <row r="18" ht="15" customHeight="1">
      <c r="A18" t="inlineStr">
        <is>
          <t>A 28820-2026</t>
        </is>
      </c>
      <c r="B18" s="1" t="n">
        <v>46198</v>
      </c>
      <c r="C18" s="1" t="n">
        <v>46203</v>
      </c>
      <c r="D18" t="inlineStr">
        <is>
          <t>JÖNKÖPINGS LÄN</t>
        </is>
      </c>
      <c r="E18" t="inlineStr">
        <is>
          <t>JÖNKÖPING</t>
        </is>
      </c>
      <c r="G18" t="n">
        <v>6.2</v>
      </c>
      <c r="H18" t="n">
        <v>4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Spillkråka
Kungsfågel
Lopplummer (aggregat)
Revlummer</t>
        </is>
      </c>
      <c r="S18">
        <f>HYPERLINK("https://klasma.github.io/Logging_0680/artfynd/A 28820-2026 artfynd.xlsx", "A 28820-2026")</f>
        <v/>
      </c>
      <c r="T18">
        <f>HYPERLINK("https://klasma.github.io/Logging_0680/kartor/A 28820-2026 karta.png", "A 28820-2026")</f>
        <v/>
      </c>
      <c r="V18">
        <f>HYPERLINK("https://klasma.github.io/Logging_0680/klagomål/A 28820-2026 FSC-klagomål.docx", "A 28820-2026")</f>
        <v/>
      </c>
      <c r="W18">
        <f>HYPERLINK("https://klasma.github.io/Logging_0680/klagomålsmail/A 28820-2026 FSC-klagomål mail.docx", "A 28820-2026")</f>
        <v/>
      </c>
      <c r="X18">
        <f>HYPERLINK("https://klasma.github.io/Logging_0680/tillsyn/A 28820-2026 tillsynsbegäran.docx", "A 28820-2026")</f>
        <v/>
      </c>
      <c r="Y18">
        <f>HYPERLINK("https://klasma.github.io/Logging_0680/tillsynsmail/A 28820-2026 tillsynsbegäran mail.docx", "A 28820-2026")</f>
        <v/>
      </c>
      <c r="Z18">
        <f>HYPERLINK("https://klasma.github.io/Logging_0680/fåglar/A 28820-2026 prioriterade fågelarter.docx", "A 28820-2026")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46203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4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Nötkråka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  <c r="Z19">
        <f>HYPERLINK("https://klasma.github.io/Logging_0680/fåglar/A 11258-2023 prioriterade fågelarter.docx", "A 11258-2023")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46203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46203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25362-2026</t>
        </is>
      </c>
      <c r="B22" s="1" t="n">
        <v>46176</v>
      </c>
      <c r="C22" s="1" t="n">
        <v>46203</v>
      </c>
      <c r="D22" t="inlineStr">
        <is>
          <t>JÖNKÖPINGS LÄN</t>
        </is>
      </c>
      <c r="E22" t="inlineStr">
        <is>
          <t>JÖNKÖPING</t>
        </is>
      </c>
      <c r="G22" t="n">
        <v>2.2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Grönfink
Entita
Grönsångare
Sädesärla</t>
        </is>
      </c>
      <c r="S22">
        <f>HYPERLINK("https://klasma.github.io/Logging_0680/artfynd/A 25362-2026 artfynd.xlsx", "A 25362-2026")</f>
        <v/>
      </c>
      <c r="T22">
        <f>HYPERLINK("https://klasma.github.io/Logging_0680/kartor/A 25362-2026 karta.png", "A 25362-2026")</f>
        <v/>
      </c>
      <c r="V22">
        <f>HYPERLINK("https://klasma.github.io/Logging_0680/klagomål/A 25362-2026 FSC-klagomål.docx", "A 25362-2026")</f>
        <v/>
      </c>
      <c r="W22">
        <f>HYPERLINK("https://klasma.github.io/Logging_0680/klagomålsmail/A 25362-2026 FSC-klagomål mail.docx", "A 25362-2026")</f>
        <v/>
      </c>
      <c r="X22">
        <f>HYPERLINK("https://klasma.github.io/Logging_0680/tillsyn/A 25362-2026 tillsynsbegäran.docx", "A 25362-2026")</f>
        <v/>
      </c>
      <c r="Y22">
        <f>HYPERLINK("https://klasma.github.io/Logging_0680/tillsynsmail/A 25362-2026 tillsynsbegäran mail.docx", "A 25362-2026")</f>
        <v/>
      </c>
      <c r="Z22">
        <f>HYPERLINK("https://klasma.github.io/Logging_0680/fåglar/A 25362-2026 prioriterade fågelarter.docx", "A 25362-2026")</f>
        <v/>
      </c>
    </row>
    <row r="23" ht="15" customHeight="1">
      <c r="A23" t="inlineStr">
        <is>
          <t>A 51492-2024</t>
        </is>
      </c>
      <c r="B23" s="1" t="n">
        <v>45604</v>
      </c>
      <c r="C23" s="1" t="n">
        <v>46203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Vanlig padda
Grönvit nattviol
Revlummer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46203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46203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46203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20088-2025</t>
        </is>
      </c>
      <c r="B27" s="1" t="n">
        <v>45772</v>
      </c>
      <c r="C27" s="1" t="n">
        <v>46203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Backsippa
Jungfrulin
Spindelört</t>
        </is>
      </c>
      <c r="S27">
        <f>HYPERLINK("https://klasma.github.io/Logging_0680/artfynd/A 20088-2025 artfynd.xlsx", "A 20088-2025")</f>
        <v/>
      </c>
      <c r="T27">
        <f>HYPERLINK("https://klasma.github.io/Logging_0680/kartor/A 20088-2025 karta.png", "A 20088-2025")</f>
        <v/>
      </c>
      <c r="V27">
        <f>HYPERLINK("https://klasma.github.io/Logging_0680/klagomål/A 20088-2025 FSC-klagomål.docx", "A 20088-2025")</f>
        <v/>
      </c>
      <c r="W27">
        <f>HYPERLINK("https://klasma.github.io/Logging_0680/klagomålsmail/A 20088-2025 FSC-klagomål mail.docx", "A 20088-2025")</f>
        <v/>
      </c>
      <c r="X27">
        <f>HYPERLINK("https://klasma.github.io/Logging_0680/tillsyn/A 20088-2025 tillsynsbegäran.docx", "A 20088-2025")</f>
        <v/>
      </c>
      <c r="Y27">
        <f>HYPERLINK("https://klasma.github.io/Logging_0680/tillsynsmail/A 20088-2025 tillsynsbegäran mail.docx", "A 20088-2025")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46203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46203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46203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46203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46203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46203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51385-2025</t>
        </is>
      </c>
      <c r="B35" s="1" t="n">
        <v>45947</v>
      </c>
      <c r="C35" s="1" t="n">
        <v>46203</v>
      </c>
      <c r="D35" t="inlineStr">
        <is>
          <t>JÖNKÖPINGS LÄN</t>
        </is>
      </c>
      <c r="E35" t="inlineStr">
        <is>
          <t>JÖNKÖPING</t>
        </is>
      </c>
      <c r="G35" t="n">
        <v>5.2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Klofibbla</t>
        </is>
      </c>
      <c r="S35">
        <f>HYPERLINK("https://klasma.github.io/Logging_0680/artfynd/A 51385-2025 artfynd.xlsx", "A 51385-2025")</f>
        <v/>
      </c>
      <c r="T35">
        <f>HYPERLINK("https://klasma.github.io/Logging_0680/kartor/A 51385-2025 karta.png", "A 51385-2025")</f>
        <v/>
      </c>
      <c r="V35">
        <f>HYPERLINK("https://klasma.github.io/Logging_0680/klagomål/A 51385-2025 FSC-klagomål.docx", "A 51385-2025")</f>
        <v/>
      </c>
      <c r="W35">
        <f>HYPERLINK("https://klasma.github.io/Logging_0680/klagomålsmail/A 51385-2025 FSC-klagomål mail.docx", "A 51385-2025")</f>
        <v/>
      </c>
      <c r="X35">
        <f>HYPERLINK("https://klasma.github.io/Logging_0680/tillsyn/A 51385-2025 tillsynsbegäran.docx", "A 51385-2025")</f>
        <v/>
      </c>
      <c r="Y35">
        <f>HYPERLINK("https://klasma.github.io/Logging_0680/tillsynsmail/A 51385-2025 tillsynsbegäran mail.docx", "A 51385-2025")</f>
        <v/>
      </c>
    </row>
    <row r="36" ht="15" customHeight="1">
      <c r="A36" t="inlineStr">
        <is>
          <t>A 23066-2025</t>
        </is>
      </c>
      <c r="B36" s="1" t="n">
        <v>45790</v>
      </c>
      <c r="C36" s="1" t="n">
        <v>46203</v>
      </c>
      <c r="D36" t="inlineStr">
        <is>
          <t>JÖNKÖPINGS LÄN</t>
        </is>
      </c>
      <c r="E36" t="inlineStr">
        <is>
          <t>JÖNKÖPING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Slåttergubbe
Nattviol</t>
        </is>
      </c>
      <c r="S36">
        <f>HYPERLINK("https://klasma.github.io/Logging_0680/artfynd/A 23066-2025 artfynd.xlsx", "A 23066-2025")</f>
        <v/>
      </c>
      <c r="T36">
        <f>HYPERLINK("https://klasma.github.io/Logging_0680/kartor/A 23066-2025 karta.png", "A 23066-2025")</f>
        <v/>
      </c>
      <c r="V36">
        <f>HYPERLINK("https://klasma.github.io/Logging_0680/klagomål/A 23066-2025 FSC-klagomål.docx", "A 23066-2025")</f>
        <v/>
      </c>
      <c r="W36">
        <f>HYPERLINK("https://klasma.github.io/Logging_0680/klagomålsmail/A 23066-2025 FSC-klagomål mail.docx", "A 23066-2025")</f>
        <v/>
      </c>
      <c r="X36">
        <f>HYPERLINK("https://klasma.github.io/Logging_0680/tillsyn/A 23066-2025 tillsynsbegäran.docx", "A 23066-2025")</f>
        <v/>
      </c>
      <c r="Y36">
        <f>HYPERLINK("https://klasma.github.io/Logging_0680/tillsynsmail/A 23066-2025 tillsynsbegäran mail.docx", "A 23066-2025")</f>
        <v/>
      </c>
    </row>
    <row r="37" ht="15" customHeight="1">
      <c r="A37" t="inlineStr">
        <is>
          <t>A 3361-2025</t>
        </is>
      </c>
      <c r="B37" s="1" t="n">
        <v>45679</v>
      </c>
      <c r="C37" s="1" t="n">
        <v>46203</v>
      </c>
      <c r="D37" t="inlineStr">
        <is>
          <t>JÖNKÖPINGS LÄN</t>
        </is>
      </c>
      <c r="E37" t="inlineStr">
        <is>
          <t>JÖNKÖPING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Blåsippa</t>
        </is>
      </c>
      <c r="S37">
        <f>HYPERLINK("https://klasma.github.io/Logging_0680/artfynd/A 3361-2025 artfynd.xlsx", "A 3361-2025")</f>
        <v/>
      </c>
      <c r="T37">
        <f>HYPERLINK("https://klasma.github.io/Logging_0680/kartor/A 3361-2025 karta.png", "A 3361-2025")</f>
        <v/>
      </c>
      <c r="V37">
        <f>HYPERLINK("https://klasma.github.io/Logging_0680/klagomål/A 3361-2025 FSC-klagomål.docx", "A 3361-2025")</f>
        <v/>
      </c>
      <c r="W37">
        <f>HYPERLINK("https://klasma.github.io/Logging_0680/klagomålsmail/A 3361-2025 FSC-klagomål mail.docx", "A 3361-2025")</f>
        <v/>
      </c>
      <c r="X37">
        <f>HYPERLINK("https://klasma.github.io/Logging_0680/tillsyn/A 3361-2025 tillsynsbegäran.docx", "A 3361-2025")</f>
        <v/>
      </c>
      <c r="Y37">
        <f>HYPERLINK("https://klasma.github.io/Logging_0680/tillsynsmail/A 3361-2025 tillsynsbegäran mail.docx", "A 3361-2025")</f>
        <v/>
      </c>
    </row>
    <row r="38" ht="15" customHeight="1">
      <c r="A38" t="inlineStr">
        <is>
          <t>A 38072-2021</t>
        </is>
      </c>
      <c r="B38" s="1" t="n">
        <v>44404</v>
      </c>
      <c r="C38" s="1" t="n">
        <v>46203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Jungfrulin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51183-2024</t>
        </is>
      </c>
      <c r="B39" s="1" t="n">
        <v>45603</v>
      </c>
      <c r="C39" s="1" t="n">
        <v>46203</v>
      </c>
      <c r="D39" t="inlineStr">
        <is>
          <t>JÖNKÖPINGS LÄN</t>
        </is>
      </c>
      <c r="E39" t="inlineStr">
        <is>
          <t>JÖNKÖPING</t>
        </is>
      </c>
      <c r="G39" t="n">
        <v>5.9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Sångsvan
Trana</t>
        </is>
      </c>
      <c r="S39">
        <f>HYPERLINK("https://klasma.github.io/Logging_0680/artfynd/A 51183-2024 artfynd.xlsx", "A 51183-2024")</f>
        <v/>
      </c>
      <c r="T39">
        <f>HYPERLINK("https://klasma.github.io/Logging_0680/kartor/A 51183-2024 karta.png", "A 51183-2024")</f>
        <v/>
      </c>
      <c r="V39">
        <f>HYPERLINK("https://klasma.github.io/Logging_0680/klagomål/A 51183-2024 FSC-klagomål.docx", "A 51183-2024")</f>
        <v/>
      </c>
      <c r="W39">
        <f>HYPERLINK("https://klasma.github.io/Logging_0680/klagomålsmail/A 51183-2024 FSC-klagomål mail.docx", "A 51183-2024")</f>
        <v/>
      </c>
      <c r="X39">
        <f>HYPERLINK("https://klasma.github.io/Logging_0680/tillsyn/A 51183-2024 tillsynsbegäran.docx", "A 51183-2024")</f>
        <v/>
      </c>
      <c r="Y39">
        <f>HYPERLINK("https://klasma.github.io/Logging_0680/tillsynsmail/A 51183-2024 tillsynsbegäran mail.docx", "A 51183-2024")</f>
        <v/>
      </c>
      <c r="Z39">
        <f>HYPERLINK("https://klasma.github.io/Logging_0680/fåglar/A 51183-2024 prioriterade fågelarter.docx", "A 51183-2024")</f>
        <v/>
      </c>
    </row>
    <row r="40" ht="15" customHeight="1">
      <c r="A40" t="inlineStr">
        <is>
          <t>A 35567-2025</t>
        </is>
      </c>
      <c r="B40" s="1" t="n">
        <v>45856</v>
      </c>
      <c r="C40" s="1" t="n">
        <v>46203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Kambräken</t>
        </is>
      </c>
      <c r="S40">
        <f>HYPERLINK("https://klasma.github.io/Logging_0680/artfynd/A 35567-2025 artfynd.xlsx", "A 35567-2025")</f>
        <v/>
      </c>
      <c r="T40">
        <f>HYPERLINK("https://klasma.github.io/Logging_0680/kartor/A 35567-2025 karta.png", "A 35567-2025")</f>
        <v/>
      </c>
      <c r="U40">
        <f>HYPERLINK("https://klasma.github.io/Logging_0680/knärot/A 35567-2025 karta knärot.png", "A 35567-2025")</f>
        <v/>
      </c>
      <c r="V40">
        <f>HYPERLINK("https://klasma.github.io/Logging_0680/klagomål/A 35567-2025 FSC-klagomål.docx", "A 35567-2025")</f>
        <v/>
      </c>
      <c r="W40">
        <f>HYPERLINK("https://klasma.github.io/Logging_0680/klagomålsmail/A 35567-2025 FSC-klagomål mail.docx", "A 35567-2025")</f>
        <v/>
      </c>
      <c r="X40">
        <f>HYPERLINK("https://klasma.github.io/Logging_0680/tillsyn/A 35567-2025 tillsynsbegäran.docx", "A 35567-2025")</f>
        <v/>
      </c>
      <c r="Y40">
        <f>HYPERLINK("https://klasma.github.io/Logging_0680/tillsynsmail/A 35567-2025 tillsynsbegäran mail.docx", "A 35567-2025")</f>
        <v/>
      </c>
    </row>
    <row r="41" ht="15" customHeight="1">
      <c r="A41" t="inlineStr">
        <is>
          <t>A 4810-2026</t>
        </is>
      </c>
      <c r="B41" s="1" t="n">
        <v>46048</v>
      </c>
      <c r="C41" s="1" t="n">
        <v>46203</v>
      </c>
      <c r="D41" t="inlineStr">
        <is>
          <t>JÖNKÖPINGS LÄN</t>
        </is>
      </c>
      <c r="E41" t="inlineStr">
        <is>
          <t>JÖNKÖPING</t>
        </is>
      </c>
      <c r="G41" t="n">
        <v>0.4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Gullviva</t>
        </is>
      </c>
      <c r="S41">
        <f>HYPERLINK("https://klasma.github.io/Logging_0680/artfynd/A 4810-2026 artfynd.xlsx", "A 4810-2026")</f>
        <v/>
      </c>
      <c r="T41">
        <f>HYPERLINK("https://klasma.github.io/Logging_0680/kartor/A 4810-2026 karta.png", "A 4810-2026")</f>
        <v/>
      </c>
      <c r="V41">
        <f>HYPERLINK("https://klasma.github.io/Logging_0680/klagomål/A 4810-2026 FSC-klagomål.docx", "A 4810-2026")</f>
        <v/>
      </c>
      <c r="W41">
        <f>HYPERLINK("https://klasma.github.io/Logging_0680/klagomålsmail/A 4810-2026 FSC-klagomål mail.docx", "A 4810-2026")</f>
        <v/>
      </c>
      <c r="X41">
        <f>HYPERLINK("https://klasma.github.io/Logging_0680/tillsyn/A 4810-2026 tillsynsbegäran.docx", "A 4810-2026")</f>
        <v/>
      </c>
      <c r="Y41">
        <f>HYPERLINK("https://klasma.github.io/Logging_0680/tillsynsmail/A 4810-2026 tillsynsbegäran mail.docx", "A 4810-2026")</f>
        <v/>
      </c>
    </row>
    <row r="42" ht="15" customHeight="1">
      <c r="A42" t="inlineStr">
        <is>
          <t>A 5125-2026</t>
        </is>
      </c>
      <c r="B42" s="1" t="n">
        <v>46049</v>
      </c>
      <c r="C42" s="1" t="n">
        <v>46203</v>
      </c>
      <c r="D42" t="inlineStr">
        <is>
          <t>JÖNKÖPINGS LÄN</t>
        </is>
      </c>
      <c r="E42" t="inlineStr">
        <is>
          <t>JÖNKÖPING</t>
        </is>
      </c>
      <c r="G42" t="n">
        <v>0.6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HYPERLINK("https://klasma.github.io/Logging_0680/artfynd/A 5125-2026 artfynd.xlsx", "A 5125-2026")</f>
        <v/>
      </c>
      <c r="T42">
        <f>HYPERLINK("https://klasma.github.io/Logging_0680/kartor/A 5125-2026 karta.png", "A 5125-2026")</f>
        <v/>
      </c>
      <c r="V42">
        <f>HYPERLINK("https://klasma.github.io/Logging_0680/klagomål/A 5125-2026 FSC-klagomål.docx", "A 5125-2026")</f>
        <v/>
      </c>
      <c r="W42">
        <f>HYPERLINK("https://klasma.github.io/Logging_0680/klagomålsmail/A 5125-2026 FSC-klagomål mail.docx", "A 5125-2026")</f>
        <v/>
      </c>
      <c r="X42">
        <f>HYPERLINK("https://klasma.github.io/Logging_0680/tillsyn/A 5125-2026 tillsynsbegäran.docx", "A 5125-2026")</f>
        <v/>
      </c>
      <c r="Y42">
        <f>HYPERLINK("https://klasma.github.io/Logging_0680/tillsynsmail/A 5125-2026 tillsynsbegäran mail.docx", "A 5125-2026")</f>
        <v/>
      </c>
    </row>
    <row r="43" ht="15" customHeight="1">
      <c r="A43" t="inlineStr">
        <is>
          <t>A 45917-2024</t>
        </is>
      </c>
      <c r="B43" s="1" t="n">
        <v>45580</v>
      </c>
      <c r="C43" s="1" t="n">
        <v>46203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Grön sköldmossa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10991-2023</t>
        </is>
      </c>
      <c r="B44" s="1" t="n">
        <v>44991</v>
      </c>
      <c r="C44" s="1" t="n">
        <v>46203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Kornig nållav</t>
        </is>
      </c>
      <c r="S44">
        <f>HYPERLINK("https://klasma.github.io/Logging_0680/artfynd/A 10991-2023 artfynd.xlsx", "A 10991-2023")</f>
        <v/>
      </c>
      <c r="T44">
        <f>HYPERLINK("https://klasma.github.io/Logging_0680/kartor/A 10991-2023 karta.png", "A 10991-2023")</f>
        <v/>
      </c>
      <c r="V44">
        <f>HYPERLINK("https://klasma.github.io/Logging_0680/klagomål/A 10991-2023 FSC-klagomål.docx", "A 10991-2023")</f>
        <v/>
      </c>
      <c r="W44">
        <f>HYPERLINK("https://klasma.github.io/Logging_0680/klagomålsmail/A 10991-2023 FSC-klagomål mail.docx", "A 10991-2023")</f>
        <v/>
      </c>
      <c r="X44">
        <f>HYPERLINK("https://klasma.github.io/Logging_0680/tillsyn/A 10991-2023 tillsynsbegäran.docx", "A 10991-2023")</f>
        <v/>
      </c>
      <c r="Y44">
        <f>HYPERLINK("https://klasma.github.io/Logging_0680/tillsynsmail/A 10991-2023 tillsynsbegäran mail.docx", "A 10991-2023")</f>
        <v/>
      </c>
    </row>
    <row r="45" ht="15" customHeight="1">
      <c r="A45" t="inlineStr">
        <is>
          <t>A 25071-2026</t>
        </is>
      </c>
      <c r="B45" s="1" t="n">
        <v>46174</v>
      </c>
      <c r="C45" s="1" t="n">
        <v>46203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4.9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Nattskärra
Tjäder</t>
        </is>
      </c>
      <c r="S45">
        <f>HYPERLINK("https://klasma.github.io/Logging_0680/artfynd/A 25071-2026 artfynd.xlsx", "A 25071-2026")</f>
        <v/>
      </c>
      <c r="T45">
        <f>HYPERLINK("https://klasma.github.io/Logging_0680/kartor/A 25071-2026 karta.png", "A 25071-2026")</f>
        <v/>
      </c>
      <c r="V45">
        <f>HYPERLINK("https://klasma.github.io/Logging_0680/klagomål/A 25071-2026 FSC-klagomål.docx", "A 25071-2026")</f>
        <v/>
      </c>
      <c r="W45">
        <f>HYPERLINK("https://klasma.github.io/Logging_0680/klagomålsmail/A 25071-2026 FSC-klagomål mail.docx", "A 25071-2026")</f>
        <v/>
      </c>
      <c r="X45">
        <f>HYPERLINK("https://klasma.github.io/Logging_0680/tillsyn/A 25071-2026 tillsynsbegäran.docx", "A 25071-2026")</f>
        <v/>
      </c>
      <c r="Y45">
        <f>HYPERLINK("https://klasma.github.io/Logging_0680/tillsynsmail/A 25071-2026 tillsynsbegäran mail.docx", "A 25071-2026")</f>
        <v/>
      </c>
      <c r="Z45">
        <f>HYPERLINK("https://klasma.github.io/Logging_0680/fåglar/A 25071-2026 prioriterade fågelarter.docx", "A 25071-2026")</f>
        <v/>
      </c>
    </row>
    <row r="46" ht="15" customHeight="1">
      <c r="A46" t="inlineStr">
        <is>
          <t>A 28211-2026</t>
        </is>
      </c>
      <c r="B46" s="1" t="n">
        <v>46196</v>
      </c>
      <c r="C46" s="1" t="n">
        <v>46203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Backtimjan
Solvända</t>
        </is>
      </c>
      <c r="S46">
        <f>HYPERLINK("https://klasma.github.io/Logging_0680/artfynd/A 28211-2026 artfynd.xlsx", "A 28211-2026")</f>
        <v/>
      </c>
      <c r="T46">
        <f>HYPERLINK("https://klasma.github.io/Logging_0680/kartor/A 28211-2026 karta.png", "A 28211-2026")</f>
        <v/>
      </c>
      <c r="V46">
        <f>HYPERLINK("https://klasma.github.io/Logging_0680/klagomål/A 28211-2026 FSC-klagomål.docx", "A 28211-2026")</f>
        <v/>
      </c>
      <c r="W46">
        <f>HYPERLINK("https://klasma.github.io/Logging_0680/klagomålsmail/A 28211-2026 FSC-klagomål mail.docx", "A 28211-2026")</f>
        <v/>
      </c>
      <c r="X46">
        <f>HYPERLINK("https://klasma.github.io/Logging_0680/tillsyn/A 28211-2026 tillsynsbegäran.docx", "A 28211-2026")</f>
        <v/>
      </c>
      <c r="Y46">
        <f>HYPERLINK("https://klasma.github.io/Logging_0680/tillsynsmail/A 28211-2026 tillsynsbegäran mail.docx", "A 28211-2026")</f>
        <v/>
      </c>
    </row>
    <row r="47" ht="15" customHeight="1">
      <c r="A47" t="inlineStr">
        <is>
          <t>A 58082-2025</t>
        </is>
      </c>
      <c r="B47" s="1" t="n">
        <v>45982</v>
      </c>
      <c r="C47" s="1" t="n">
        <v>46203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Storgröe
Springkorn</t>
        </is>
      </c>
      <c r="S47">
        <f>HYPERLINK("https://klasma.github.io/Logging_0680/artfynd/A 58082-2025 artfynd.xlsx", "A 58082-2025")</f>
        <v/>
      </c>
      <c r="T47">
        <f>HYPERLINK("https://klasma.github.io/Logging_0680/kartor/A 58082-2025 karta.png", "A 58082-2025")</f>
        <v/>
      </c>
      <c r="V47">
        <f>HYPERLINK("https://klasma.github.io/Logging_0680/klagomål/A 58082-2025 FSC-klagomål.docx", "A 58082-2025")</f>
        <v/>
      </c>
      <c r="W47">
        <f>HYPERLINK("https://klasma.github.io/Logging_0680/klagomålsmail/A 58082-2025 FSC-klagomål mail.docx", "A 58082-2025")</f>
        <v/>
      </c>
      <c r="X47">
        <f>HYPERLINK("https://klasma.github.io/Logging_0680/tillsyn/A 58082-2025 tillsynsbegäran.docx", "A 58082-2025")</f>
        <v/>
      </c>
      <c r="Y47">
        <f>HYPERLINK("https://klasma.github.io/Logging_0680/tillsynsmail/A 58082-2025 tillsynsbegäran mail.docx", "A 58082-2025")</f>
        <v/>
      </c>
    </row>
    <row r="48" ht="15" customHeight="1">
      <c r="A48" t="inlineStr">
        <is>
          <t>A 22303-2024</t>
        </is>
      </c>
      <c r="B48" s="1" t="n">
        <v>45446</v>
      </c>
      <c r="C48" s="1" t="n">
        <v>46203</v>
      </c>
      <c r="D48" t="inlineStr">
        <is>
          <t>JÖNKÖPINGS LÄN</t>
        </is>
      </c>
      <c r="E48" t="inlineStr">
        <is>
          <t>JÖNKÖPING</t>
        </is>
      </c>
      <c r="G48" t="n">
        <v>4.1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Jungfrulin
Grönvit nattviol</t>
        </is>
      </c>
      <c r="S48">
        <f>HYPERLINK("https://klasma.github.io/Logging_0680/artfynd/A 22303-2024 artfynd.xlsx", "A 22303-2024")</f>
        <v/>
      </c>
      <c r="T48">
        <f>HYPERLINK("https://klasma.github.io/Logging_0680/kartor/A 22303-2024 karta.png", "A 22303-2024")</f>
        <v/>
      </c>
      <c r="V48">
        <f>HYPERLINK("https://klasma.github.io/Logging_0680/klagomål/A 22303-2024 FSC-klagomål.docx", "A 22303-2024")</f>
        <v/>
      </c>
      <c r="W48">
        <f>HYPERLINK("https://klasma.github.io/Logging_0680/klagomålsmail/A 22303-2024 FSC-klagomål mail.docx", "A 22303-2024")</f>
        <v/>
      </c>
      <c r="X48">
        <f>HYPERLINK("https://klasma.github.io/Logging_0680/tillsyn/A 22303-2024 tillsynsbegäran.docx", "A 22303-2024")</f>
        <v/>
      </c>
      <c r="Y48">
        <f>HYPERLINK("https://klasma.github.io/Logging_0680/tillsynsmail/A 22303-2024 tillsynsbegäran mail.docx", "A 22303-2024")</f>
        <v/>
      </c>
    </row>
    <row r="49" ht="15" customHeight="1">
      <c r="A49" t="inlineStr">
        <is>
          <t>A 9221-2024</t>
        </is>
      </c>
      <c r="B49" s="1" t="n">
        <v>45358</v>
      </c>
      <c r="C49" s="1" t="n">
        <v>46203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Blomkålssvamp</t>
        </is>
      </c>
      <c r="S49">
        <f>HYPERLINK("https://klasma.github.io/Logging_0680/artfynd/A 9221-2024 artfynd.xlsx", "A 9221-2024")</f>
        <v/>
      </c>
      <c r="T49">
        <f>HYPERLINK("https://klasma.github.io/Logging_0680/kartor/A 9221-2024 karta.png", "A 9221-2024")</f>
        <v/>
      </c>
      <c r="V49">
        <f>HYPERLINK("https://klasma.github.io/Logging_0680/klagomål/A 9221-2024 FSC-klagomål.docx", "A 9221-2024")</f>
        <v/>
      </c>
      <c r="W49">
        <f>HYPERLINK("https://klasma.github.io/Logging_0680/klagomålsmail/A 9221-2024 FSC-klagomål mail.docx", "A 9221-2024")</f>
        <v/>
      </c>
      <c r="X49">
        <f>HYPERLINK("https://klasma.github.io/Logging_0680/tillsyn/A 9221-2024 tillsynsbegäran.docx", "A 9221-2024")</f>
        <v/>
      </c>
      <c r="Y49">
        <f>HYPERLINK("https://klasma.github.io/Logging_0680/tillsynsmail/A 9221-2024 tillsynsbegäran mail.docx", "A 9221-2024")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46203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Större vattensalamander
Mindre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36799-2024</t>
        </is>
      </c>
      <c r="B51" s="1" t="n">
        <v>45538</v>
      </c>
      <c r="C51" s="1" t="n">
        <v>46203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Grönpyrola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1235-2024</t>
        </is>
      </c>
      <c r="B52" s="1" t="n">
        <v>45302</v>
      </c>
      <c r="C52" s="1" t="n">
        <v>46203</v>
      </c>
      <c r="D52" t="inlineStr">
        <is>
          <t>JÖNKÖPINGS LÄN</t>
        </is>
      </c>
      <c r="E52" t="inlineStr">
        <is>
          <t>JÖNKÖPING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Lakritsmusseron
Dropptaggsvamp</t>
        </is>
      </c>
      <c r="S52">
        <f>HYPERLINK("https://klasma.github.io/Logging_0680/artfynd/A 1235-2024 artfynd.xlsx", "A 1235-2024")</f>
        <v/>
      </c>
      <c r="T52">
        <f>HYPERLINK("https://klasma.github.io/Logging_0680/kartor/A 1235-2024 karta.png", "A 1235-2024")</f>
        <v/>
      </c>
      <c r="V52">
        <f>HYPERLINK("https://klasma.github.io/Logging_0680/klagomål/A 1235-2024 FSC-klagomål.docx", "A 1235-2024")</f>
        <v/>
      </c>
      <c r="W52">
        <f>HYPERLINK("https://klasma.github.io/Logging_0680/klagomålsmail/A 1235-2024 FSC-klagomål mail.docx", "A 1235-2024")</f>
        <v/>
      </c>
      <c r="X52">
        <f>HYPERLINK("https://klasma.github.io/Logging_0680/tillsyn/A 1235-2024 tillsynsbegäran.docx", "A 1235-2024")</f>
        <v/>
      </c>
      <c r="Y52">
        <f>HYPERLINK("https://klasma.github.io/Logging_0680/tillsynsmail/A 1235-2024 tillsynsbegäran mail.docx", "A 1235-2024")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46203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Fällmossa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37016-2024</t>
        </is>
      </c>
      <c r="B54" s="1" t="n">
        <v>45539</v>
      </c>
      <c r="C54" s="1" t="n">
        <v>46203</v>
      </c>
      <c r="D54" t="inlineStr">
        <is>
          <t>JÖNKÖPINGS LÄN</t>
        </is>
      </c>
      <c r="E54" t="inlineStr">
        <is>
          <t>JÖNKÖPING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Vårärt
Tibast</t>
        </is>
      </c>
      <c r="S54">
        <f>HYPERLINK("https://klasma.github.io/Logging_0680/artfynd/A 37016-2024 artfynd.xlsx", "A 37016-2024")</f>
        <v/>
      </c>
      <c r="T54">
        <f>HYPERLINK("https://klasma.github.io/Logging_0680/kartor/A 37016-2024 karta.png", "A 37016-2024")</f>
        <v/>
      </c>
      <c r="V54">
        <f>HYPERLINK("https://klasma.github.io/Logging_0680/klagomål/A 37016-2024 FSC-klagomål.docx", "A 37016-2024")</f>
        <v/>
      </c>
      <c r="W54">
        <f>HYPERLINK("https://klasma.github.io/Logging_0680/klagomålsmail/A 37016-2024 FSC-klagomål mail.docx", "A 37016-2024")</f>
        <v/>
      </c>
      <c r="X54">
        <f>HYPERLINK("https://klasma.github.io/Logging_0680/tillsyn/A 37016-2024 tillsynsbegäran.docx", "A 37016-2024")</f>
        <v/>
      </c>
      <c r="Y54">
        <f>HYPERLINK("https://klasma.github.io/Logging_0680/tillsynsmail/A 37016-2024 tillsynsbegäran mail.docx", "A 37016-2024")</f>
        <v/>
      </c>
    </row>
    <row r="55" ht="15" customHeight="1">
      <c r="A55" t="inlineStr">
        <is>
          <t>A 9974-2023</t>
        </is>
      </c>
      <c r="B55" s="1" t="n">
        <v>44979</v>
      </c>
      <c r="C55" s="1" t="n">
        <v>46203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Entita
Kungsfågel</t>
        </is>
      </c>
      <c r="S55">
        <f>HYPERLINK("https://klasma.github.io/Logging_0680/artfynd/A 9974-2023 artfynd.xlsx", "A 9974-2023")</f>
        <v/>
      </c>
      <c r="T55">
        <f>HYPERLINK("https://klasma.github.io/Logging_0680/kartor/A 9974-2023 karta.png", "A 9974-2023")</f>
        <v/>
      </c>
      <c r="V55">
        <f>HYPERLINK("https://klasma.github.io/Logging_0680/klagomål/A 9974-2023 FSC-klagomål.docx", "A 9974-2023")</f>
        <v/>
      </c>
      <c r="W55">
        <f>HYPERLINK("https://klasma.github.io/Logging_0680/klagomålsmail/A 9974-2023 FSC-klagomål mail.docx", "A 9974-2023")</f>
        <v/>
      </c>
      <c r="X55">
        <f>HYPERLINK("https://klasma.github.io/Logging_0680/tillsyn/A 9974-2023 tillsynsbegäran.docx", "A 9974-2023")</f>
        <v/>
      </c>
      <c r="Y55">
        <f>HYPERLINK("https://klasma.github.io/Logging_0680/tillsynsmail/A 9974-2023 tillsynsbegäran mail.docx", "A 9974-2023")</f>
        <v/>
      </c>
      <c r="Z55">
        <f>HYPERLINK("https://klasma.github.io/Logging_0680/fåglar/A 9974-2023 prioriterade fågelarter.docx", "A 9974-2023")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46203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46203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46203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46203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12518-2025</t>
        </is>
      </c>
      <c r="B60" s="1" t="n">
        <v>45730</v>
      </c>
      <c r="C60" s="1" t="n">
        <v>46203</v>
      </c>
      <c r="D60" t="inlineStr">
        <is>
          <t>JÖNKÖPINGS LÄN</t>
        </is>
      </c>
      <c r="E60" t="inlineStr">
        <is>
          <t>JÖNKÖPING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12518-2025 artfynd.xlsx", "A 12518-2025")</f>
        <v/>
      </c>
      <c r="T60">
        <f>HYPERLINK("https://klasma.github.io/Logging_0680/kartor/A 12518-2025 karta.png", "A 12518-2025")</f>
        <v/>
      </c>
      <c r="V60">
        <f>HYPERLINK("https://klasma.github.io/Logging_0680/klagomål/A 12518-2025 FSC-klagomål.docx", "A 12518-2025")</f>
        <v/>
      </c>
      <c r="W60">
        <f>HYPERLINK("https://klasma.github.io/Logging_0680/klagomålsmail/A 12518-2025 FSC-klagomål mail.docx", "A 12518-2025")</f>
        <v/>
      </c>
      <c r="X60">
        <f>HYPERLINK("https://klasma.github.io/Logging_0680/tillsyn/A 12518-2025 tillsynsbegäran.docx", "A 12518-2025")</f>
        <v/>
      </c>
      <c r="Y60">
        <f>HYPERLINK("https://klasma.github.io/Logging_0680/tillsynsmail/A 12518-2025 tillsynsbegäran mail.docx", "A 12518-2025")</f>
        <v/>
      </c>
    </row>
    <row r="61" ht="15" customHeight="1">
      <c r="A61" t="inlineStr">
        <is>
          <t>A 40795-2024</t>
        </is>
      </c>
      <c r="B61" s="1" t="n">
        <v>45558</v>
      </c>
      <c r="C61" s="1" t="n">
        <v>46203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HYPERLINK("https://klasma.github.io/Logging_0680/artfynd/A 40795-2024 artfynd.xlsx", "A 40795-2024")</f>
        <v/>
      </c>
      <c r="T61">
        <f>HYPERLINK("https://klasma.github.io/Logging_0680/kartor/A 40795-2024 karta.png", "A 40795-2024")</f>
        <v/>
      </c>
      <c r="V61">
        <f>HYPERLINK("https://klasma.github.io/Logging_0680/klagomål/A 40795-2024 FSC-klagomål.docx", "A 40795-2024")</f>
        <v/>
      </c>
      <c r="W61">
        <f>HYPERLINK("https://klasma.github.io/Logging_0680/klagomålsmail/A 40795-2024 FSC-klagomål mail.docx", "A 40795-2024")</f>
        <v/>
      </c>
      <c r="X61">
        <f>HYPERLINK("https://klasma.github.io/Logging_0680/tillsyn/A 40795-2024 tillsynsbegäran.docx", "A 40795-2024")</f>
        <v/>
      </c>
      <c r="Y61">
        <f>HYPERLINK("https://klasma.github.io/Logging_0680/tillsynsmail/A 40795-2024 tillsynsbegäran mail.docx", "A 40795-2024")</f>
        <v/>
      </c>
    </row>
    <row r="62" ht="15" customHeight="1">
      <c r="A62" t="inlineStr">
        <is>
          <t>A 10455-2025</t>
        </is>
      </c>
      <c r="B62" s="1" t="n">
        <v>45720</v>
      </c>
      <c r="C62" s="1" t="n">
        <v>46203</v>
      </c>
      <c r="D62" t="inlineStr">
        <is>
          <t>JÖNKÖPINGS LÄN</t>
        </is>
      </c>
      <c r="E62" t="inlineStr">
        <is>
          <t>JÖNKÖPING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HYPERLINK("https://klasma.github.io/Logging_0680/artfynd/A 10455-2025 artfynd.xlsx", "A 10455-2025")</f>
        <v/>
      </c>
      <c r="T62">
        <f>HYPERLINK("https://klasma.github.io/Logging_0680/kartor/A 10455-2025 karta.png", "A 10455-2025")</f>
        <v/>
      </c>
      <c r="V62">
        <f>HYPERLINK("https://klasma.github.io/Logging_0680/klagomål/A 10455-2025 FSC-klagomål.docx", "A 10455-2025")</f>
        <v/>
      </c>
      <c r="W62">
        <f>HYPERLINK("https://klasma.github.io/Logging_0680/klagomålsmail/A 10455-2025 FSC-klagomål mail.docx", "A 10455-2025")</f>
        <v/>
      </c>
      <c r="X62">
        <f>HYPERLINK("https://klasma.github.io/Logging_0680/tillsyn/A 10455-2025 tillsynsbegäran.docx", "A 10455-2025")</f>
        <v/>
      </c>
      <c r="Y62">
        <f>HYPERLINK("https://klasma.github.io/Logging_0680/tillsynsmail/A 10455-2025 tillsynsbegäran mail.docx", "A 10455-2025")</f>
        <v/>
      </c>
    </row>
    <row r="63" ht="15" customHeight="1">
      <c r="A63" t="inlineStr">
        <is>
          <t>A 14221-2025</t>
        </is>
      </c>
      <c r="B63" s="1" t="n">
        <v>45740</v>
      </c>
      <c r="C63" s="1" t="n">
        <v>46203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20740-2024</t>
        </is>
      </c>
      <c r="B64" s="1" t="n">
        <v>45436</v>
      </c>
      <c r="C64" s="1" t="n">
        <v>46203</v>
      </c>
      <c r="D64" t="inlineStr">
        <is>
          <t>JÖNKÖPINGS LÄN</t>
        </is>
      </c>
      <c r="E64" t="inlineStr">
        <is>
          <t>JÖNKÖPING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HYPERLINK("https://klasma.github.io/Logging_0680/artfynd/A 20740-2024 artfynd.xlsx", "A 20740-2024")</f>
        <v/>
      </c>
      <c r="T64">
        <f>HYPERLINK("https://klasma.github.io/Logging_0680/kartor/A 20740-2024 karta.png", "A 20740-2024")</f>
        <v/>
      </c>
      <c r="V64">
        <f>HYPERLINK("https://klasma.github.io/Logging_0680/klagomål/A 20740-2024 FSC-klagomål.docx", "A 20740-2024")</f>
        <v/>
      </c>
      <c r="W64">
        <f>HYPERLINK("https://klasma.github.io/Logging_0680/klagomålsmail/A 20740-2024 FSC-klagomål mail.docx", "A 20740-2024")</f>
        <v/>
      </c>
      <c r="X64">
        <f>HYPERLINK("https://klasma.github.io/Logging_0680/tillsyn/A 20740-2024 tillsynsbegäran.docx", "A 20740-2024")</f>
        <v/>
      </c>
      <c r="Y64">
        <f>HYPERLINK("https://klasma.github.io/Logging_0680/tillsynsmail/A 20740-2024 tillsynsbegäran mail.docx", "A 20740-2024")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46203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46816-2025</t>
        </is>
      </c>
      <c r="B66" s="1" t="n">
        <v>45926</v>
      </c>
      <c r="C66" s="1" t="n">
        <v>46203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46816-2025 artfynd.xlsx", "A 46816-2025")</f>
        <v/>
      </c>
      <c r="T66">
        <f>HYPERLINK("https://klasma.github.io/Logging_0680/kartor/A 46816-2025 karta.png", "A 46816-2025")</f>
        <v/>
      </c>
      <c r="V66">
        <f>HYPERLINK("https://klasma.github.io/Logging_0680/klagomål/A 46816-2025 FSC-klagomål.docx", "A 46816-2025")</f>
        <v/>
      </c>
      <c r="W66">
        <f>HYPERLINK("https://klasma.github.io/Logging_0680/klagomålsmail/A 46816-2025 FSC-klagomål mail.docx", "A 46816-2025")</f>
        <v/>
      </c>
      <c r="X66">
        <f>HYPERLINK("https://klasma.github.io/Logging_0680/tillsyn/A 46816-2025 tillsynsbegäran.docx", "A 46816-2025")</f>
        <v/>
      </c>
      <c r="Y66">
        <f>HYPERLINK("https://klasma.github.io/Logging_0680/tillsynsmail/A 46816-2025 tillsynsbegäran mail.docx", "A 46816-2025")</f>
        <v/>
      </c>
    </row>
    <row r="67" ht="15" customHeight="1">
      <c r="A67" t="inlineStr">
        <is>
          <t>A 28230-2024</t>
        </is>
      </c>
      <c r="B67" s="1" t="n">
        <v>45477</v>
      </c>
      <c r="C67" s="1" t="n">
        <v>46203</v>
      </c>
      <c r="D67" t="inlineStr">
        <is>
          <t>JÖNKÖPINGS LÄN</t>
        </is>
      </c>
      <c r="E67" t="inlineStr">
        <is>
          <t>JÖNKÖPING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28230-2024 artfynd.xlsx", "A 28230-2024")</f>
        <v/>
      </c>
      <c r="T67">
        <f>HYPERLINK("https://klasma.github.io/Logging_0680/kartor/A 28230-2024 karta.png", "A 28230-2024")</f>
        <v/>
      </c>
      <c r="V67">
        <f>HYPERLINK("https://klasma.github.io/Logging_0680/klagomål/A 28230-2024 FSC-klagomål.docx", "A 28230-2024")</f>
        <v/>
      </c>
      <c r="W67">
        <f>HYPERLINK("https://klasma.github.io/Logging_0680/klagomålsmail/A 28230-2024 FSC-klagomål mail.docx", "A 28230-2024")</f>
        <v/>
      </c>
      <c r="X67">
        <f>HYPERLINK("https://klasma.github.io/Logging_0680/tillsyn/A 28230-2024 tillsynsbegäran.docx", "A 28230-2024")</f>
        <v/>
      </c>
      <c r="Y67">
        <f>HYPERLINK("https://klasma.github.io/Logging_0680/tillsynsmail/A 28230-2024 tillsynsbegäran mail.docx", "A 28230-2024")</f>
        <v/>
      </c>
    </row>
    <row r="68" ht="15" customHeight="1">
      <c r="A68" t="inlineStr">
        <is>
          <t>A 33405-2025</t>
        </is>
      </c>
      <c r="B68" s="1" t="n">
        <v>45841</v>
      </c>
      <c r="C68" s="1" t="n">
        <v>46203</v>
      </c>
      <c r="D68" t="inlineStr">
        <is>
          <t>JÖNKÖPINGS LÄN</t>
        </is>
      </c>
      <c r="E68" t="inlineStr">
        <is>
          <t>JÖNKÖPING</t>
        </is>
      </c>
      <c r="G68" t="n">
        <v>3.9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Läkeögontröst</t>
        </is>
      </c>
      <c r="S68">
        <f>HYPERLINK("https://klasma.github.io/Logging_0680/artfynd/A 33405-2025 artfynd.xlsx", "A 33405-2025")</f>
        <v/>
      </c>
      <c r="T68">
        <f>HYPERLINK("https://klasma.github.io/Logging_0680/kartor/A 33405-2025 karta.png", "A 33405-2025")</f>
        <v/>
      </c>
      <c r="V68">
        <f>HYPERLINK("https://klasma.github.io/Logging_0680/klagomål/A 33405-2025 FSC-klagomål.docx", "A 33405-2025")</f>
        <v/>
      </c>
      <c r="W68">
        <f>HYPERLINK("https://klasma.github.io/Logging_0680/klagomålsmail/A 33405-2025 FSC-klagomål mail.docx", "A 33405-2025")</f>
        <v/>
      </c>
      <c r="X68">
        <f>HYPERLINK("https://klasma.github.io/Logging_0680/tillsyn/A 33405-2025 tillsynsbegäran.docx", "A 33405-2025")</f>
        <v/>
      </c>
      <c r="Y68">
        <f>HYPERLINK("https://klasma.github.io/Logging_0680/tillsynsmail/A 33405-2025 tillsynsbegäran mail.docx", "A 33405-2025")</f>
        <v/>
      </c>
    </row>
    <row r="69" ht="15" customHeight="1">
      <c r="A69" t="inlineStr">
        <is>
          <t>A 54325-2024</t>
        </is>
      </c>
      <c r="B69" s="1" t="n">
        <v>45616</v>
      </c>
      <c r="C69" s="1" t="n">
        <v>46203</v>
      </c>
      <c r="D69" t="inlineStr">
        <is>
          <t>JÖNKÖPINGS LÄN</t>
        </is>
      </c>
      <c r="E69" t="inlineStr">
        <is>
          <t>JÖNKÖPING</t>
        </is>
      </c>
      <c r="G69" t="n">
        <v>8.699999999999999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HYPERLINK("https://klasma.github.io/Logging_0680/artfynd/A 54325-2024 artfynd.xlsx", "A 54325-2024")</f>
        <v/>
      </c>
      <c r="T69">
        <f>HYPERLINK("https://klasma.github.io/Logging_0680/kartor/A 54325-2024 karta.png", "A 54325-2024")</f>
        <v/>
      </c>
      <c r="V69">
        <f>HYPERLINK("https://klasma.github.io/Logging_0680/klagomål/A 54325-2024 FSC-klagomål.docx", "A 54325-2024")</f>
        <v/>
      </c>
      <c r="W69">
        <f>HYPERLINK("https://klasma.github.io/Logging_0680/klagomålsmail/A 54325-2024 FSC-klagomål mail.docx", "A 54325-2024")</f>
        <v/>
      </c>
      <c r="X69">
        <f>HYPERLINK("https://klasma.github.io/Logging_0680/tillsyn/A 54325-2024 tillsynsbegäran.docx", "A 54325-2024")</f>
        <v/>
      </c>
      <c r="Y69">
        <f>HYPERLINK("https://klasma.github.io/Logging_0680/tillsynsmail/A 54325-2024 tillsynsbegäran mail.docx", "A 54325-2024")</f>
        <v/>
      </c>
      <c r="Z69">
        <f>HYPERLINK("https://klasma.github.io/Logging_0680/fåglar/A 54325-2024 prioriterade fågelarter.docx", "A 54325-2024")</f>
        <v/>
      </c>
    </row>
    <row r="70" ht="15" customHeight="1">
      <c r="A70" t="inlineStr">
        <is>
          <t>A 63550-2025</t>
        </is>
      </c>
      <c r="B70" s="1" t="n">
        <v>46013</v>
      </c>
      <c r="C70" s="1" t="n">
        <v>46203</v>
      </c>
      <c r="D70" t="inlineStr">
        <is>
          <t>JÖNKÖPINGS LÄN</t>
        </is>
      </c>
      <c r="E70" t="inlineStr">
        <is>
          <t>JÖNKÖPING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HYPERLINK("https://klasma.github.io/Logging_0680/artfynd/A 63550-2025 artfynd.xlsx", "A 63550-2025")</f>
        <v/>
      </c>
      <c r="T70">
        <f>HYPERLINK("https://klasma.github.io/Logging_0680/kartor/A 63550-2025 karta.png", "A 63550-2025")</f>
        <v/>
      </c>
      <c r="V70">
        <f>HYPERLINK("https://klasma.github.io/Logging_0680/klagomål/A 63550-2025 FSC-klagomål.docx", "A 63550-2025")</f>
        <v/>
      </c>
      <c r="W70">
        <f>HYPERLINK("https://klasma.github.io/Logging_0680/klagomålsmail/A 63550-2025 FSC-klagomål mail.docx", "A 63550-2025")</f>
        <v/>
      </c>
      <c r="X70">
        <f>HYPERLINK("https://klasma.github.io/Logging_0680/tillsyn/A 63550-2025 tillsynsbegäran.docx", "A 63550-2025")</f>
        <v/>
      </c>
      <c r="Y70">
        <f>HYPERLINK("https://klasma.github.io/Logging_0680/tillsynsmail/A 63550-2025 tillsynsbegäran mail.docx", "A 63550-2025")</f>
        <v/>
      </c>
    </row>
    <row r="71" ht="15" customHeight="1">
      <c r="A71" t="inlineStr">
        <is>
          <t>A 45366-2022</t>
        </is>
      </c>
      <c r="B71" s="1" t="n">
        <v>44840</v>
      </c>
      <c r="C71" s="1" t="n">
        <v>46203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HYPERLINK("https://klasma.github.io/Logging_0680/artfynd/A 45366-2022 artfynd.xlsx", "A 45366-2022")</f>
        <v/>
      </c>
      <c r="T71">
        <f>HYPERLINK("https://klasma.github.io/Logging_0680/kartor/A 45366-2022 karta.png", "A 45366-2022")</f>
        <v/>
      </c>
      <c r="V71">
        <f>HYPERLINK("https://klasma.github.io/Logging_0680/klagomål/A 45366-2022 FSC-klagomål.docx", "A 45366-2022")</f>
        <v/>
      </c>
      <c r="W71">
        <f>HYPERLINK("https://klasma.github.io/Logging_0680/klagomålsmail/A 45366-2022 FSC-klagomål mail.docx", "A 45366-2022")</f>
        <v/>
      </c>
      <c r="X71">
        <f>HYPERLINK("https://klasma.github.io/Logging_0680/tillsyn/A 45366-2022 tillsynsbegäran.docx", "A 45366-2022")</f>
        <v/>
      </c>
      <c r="Y71">
        <f>HYPERLINK("https://klasma.github.io/Logging_0680/tillsynsmail/A 45366-2022 tillsynsbegäran mail.docx", "A 45366-2022")</f>
        <v/>
      </c>
    </row>
    <row r="72" ht="15" customHeight="1">
      <c r="A72" t="inlineStr">
        <is>
          <t>A 2037-2026</t>
        </is>
      </c>
      <c r="B72" s="1" t="n">
        <v>46035</v>
      </c>
      <c r="C72" s="1" t="n">
        <v>46203</v>
      </c>
      <c r="D72" t="inlineStr">
        <is>
          <t>JÖNKÖPINGS LÄN</t>
        </is>
      </c>
      <c r="E72" t="inlineStr">
        <is>
          <t>JÖNKÖPING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Borsttåg</t>
        </is>
      </c>
      <c r="S72">
        <f>HYPERLINK("https://klasma.github.io/Logging_0680/artfynd/A 2037-2026 artfynd.xlsx", "A 2037-2026")</f>
        <v/>
      </c>
      <c r="T72">
        <f>HYPERLINK("https://klasma.github.io/Logging_0680/kartor/A 2037-2026 karta.png", "A 2037-2026")</f>
        <v/>
      </c>
      <c r="V72">
        <f>HYPERLINK("https://klasma.github.io/Logging_0680/klagomål/A 2037-2026 FSC-klagomål.docx", "A 2037-2026")</f>
        <v/>
      </c>
      <c r="W72">
        <f>HYPERLINK("https://klasma.github.io/Logging_0680/klagomålsmail/A 2037-2026 FSC-klagomål mail.docx", "A 2037-2026")</f>
        <v/>
      </c>
      <c r="X72">
        <f>HYPERLINK("https://klasma.github.io/Logging_0680/tillsyn/A 2037-2026 tillsynsbegäran.docx", "A 2037-2026")</f>
        <v/>
      </c>
      <c r="Y72">
        <f>HYPERLINK("https://klasma.github.io/Logging_0680/tillsynsmail/A 2037-2026 tillsynsbegäran mail.docx", "A 2037-2026")</f>
        <v/>
      </c>
    </row>
    <row r="73" ht="15" customHeight="1">
      <c r="A73" t="inlineStr">
        <is>
          <t>A 34597-2025</t>
        </is>
      </c>
      <c r="B73" s="1" t="n">
        <v>45846</v>
      </c>
      <c r="C73" s="1" t="n">
        <v>46203</v>
      </c>
      <c r="D73" t="inlineStr">
        <is>
          <t>JÖNKÖPINGS LÄN</t>
        </is>
      </c>
      <c r="E73" t="inlineStr">
        <is>
          <t>JÖNKÖPING</t>
        </is>
      </c>
      <c r="F73" t="inlineStr">
        <is>
          <t>Kyrkan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34597-2025 artfynd.xlsx", "A 34597-2025")</f>
        <v/>
      </c>
      <c r="T73">
        <f>HYPERLINK("https://klasma.github.io/Logging_0680/kartor/A 34597-2025 karta.png", "A 34597-2025")</f>
        <v/>
      </c>
      <c r="U73">
        <f>HYPERLINK("https://klasma.github.io/Logging_0680/knärot/A 34597-2025 karta knärot.png", "A 34597-2025")</f>
        <v/>
      </c>
      <c r="V73">
        <f>HYPERLINK("https://klasma.github.io/Logging_0680/klagomål/A 34597-2025 FSC-klagomål.docx", "A 34597-2025")</f>
        <v/>
      </c>
      <c r="W73">
        <f>HYPERLINK("https://klasma.github.io/Logging_0680/klagomålsmail/A 34597-2025 FSC-klagomål mail.docx", "A 34597-2025")</f>
        <v/>
      </c>
      <c r="X73">
        <f>HYPERLINK("https://klasma.github.io/Logging_0680/tillsyn/A 34597-2025 tillsynsbegäran.docx", "A 34597-2025")</f>
        <v/>
      </c>
      <c r="Y73">
        <f>HYPERLINK("https://klasma.github.io/Logging_0680/tillsynsmail/A 34597-2025 tillsynsbegäran mail.docx", "A 34597-2025")</f>
        <v/>
      </c>
    </row>
    <row r="74" ht="15" customHeight="1">
      <c r="A74" t="inlineStr">
        <is>
          <t>A 4582-2026</t>
        </is>
      </c>
      <c r="B74" s="1" t="n">
        <v>46048</v>
      </c>
      <c r="C74" s="1" t="n">
        <v>46203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HYPERLINK("https://klasma.github.io/Logging_0680/artfynd/A 4582-2026 artfynd.xlsx", "A 4582-2026")</f>
        <v/>
      </c>
      <c r="T74">
        <f>HYPERLINK("https://klasma.github.io/Logging_0680/kartor/A 4582-2026 karta.png", "A 4582-2026")</f>
        <v/>
      </c>
      <c r="V74">
        <f>HYPERLINK("https://klasma.github.io/Logging_0680/klagomål/A 4582-2026 FSC-klagomål.docx", "A 4582-2026")</f>
        <v/>
      </c>
      <c r="W74">
        <f>HYPERLINK("https://klasma.github.io/Logging_0680/klagomålsmail/A 4582-2026 FSC-klagomål mail.docx", "A 4582-2026")</f>
        <v/>
      </c>
      <c r="X74">
        <f>HYPERLINK("https://klasma.github.io/Logging_0680/tillsyn/A 4582-2026 tillsynsbegäran.docx", "A 4582-2026")</f>
        <v/>
      </c>
      <c r="Y74">
        <f>HYPERLINK("https://klasma.github.io/Logging_0680/tillsynsmail/A 4582-2026 tillsynsbegäran mail.docx", "A 4582-2026")</f>
        <v/>
      </c>
    </row>
    <row r="75" ht="15" customHeight="1">
      <c r="A75" t="inlineStr">
        <is>
          <t>A 6157-2026</t>
        </is>
      </c>
      <c r="B75" s="1" t="n">
        <v>46055</v>
      </c>
      <c r="C75" s="1" t="n">
        <v>46203</v>
      </c>
      <c r="D75" t="inlineStr">
        <is>
          <t>JÖNKÖPINGS LÄN</t>
        </is>
      </c>
      <c r="E75" t="inlineStr">
        <is>
          <t>JÖNKÖPING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HYPERLINK("https://klasma.github.io/Logging_0680/artfynd/A 6157-2026 artfynd.xlsx", "A 6157-2026")</f>
        <v/>
      </c>
      <c r="T75">
        <f>HYPERLINK("https://klasma.github.io/Logging_0680/kartor/A 6157-2026 karta.png", "A 6157-2026")</f>
        <v/>
      </c>
      <c r="V75">
        <f>HYPERLINK("https://klasma.github.io/Logging_0680/klagomål/A 6157-2026 FSC-klagomål.docx", "A 6157-2026")</f>
        <v/>
      </c>
      <c r="W75">
        <f>HYPERLINK("https://klasma.github.io/Logging_0680/klagomålsmail/A 6157-2026 FSC-klagomål mail.docx", "A 6157-2026")</f>
        <v/>
      </c>
      <c r="X75">
        <f>HYPERLINK("https://klasma.github.io/Logging_0680/tillsyn/A 6157-2026 tillsynsbegäran.docx", "A 6157-2026")</f>
        <v/>
      </c>
      <c r="Y75">
        <f>HYPERLINK("https://klasma.github.io/Logging_0680/tillsynsmail/A 6157-2026 tillsynsbegäran mail.docx", "A 6157-2026")</f>
        <v/>
      </c>
    </row>
    <row r="76" ht="15" customHeight="1">
      <c r="A76" t="inlineStr">
        <is>
          <t>A 6168-2026</t>
        </is>
      </c>
      <c r="B76" s="1" t="n">
        <v>46055</v>
      </c>
      <c r="C76" s="1" t="n">
        <v>46203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HYPERLINK("https://klasma.github.io/Logging_0680/artfynd/A 6168-2026 artfynd.xlsx", "A 6168-2026")</f>
        <v/>
      </c>
      <c r="T76">
        <f>HYPERLINK("https://klasma.github.io/Logging_0680/kartor/A 6168-2026 karta.png", "A 6168-2026")</f>
        <v/>
      </c>
      <c r="V76">
        <f>HYPERLINK("https://klasma.github.io/Logging_0680/klagomål/A 6168-2026 FSC-klagomål.docx", "A 6168-2026")</f>
        <v/>
      </c>
      <c r="W76">
        <f>HYPERLINK("https://klasma.github.io/Logging_0680/klagomålsmail/A 6168-2026 FSC-klagomål mail.docx", "A 6168-2026")</f>
        <v/>
      </c>
      <c r="X76">
        <f>HYPERLINK("https://klasma.github.io/Logging_0680/tillsyn/A 6168-2026 tillsynsbegäran.docx", "A 6168-2026")</f>
        <v/>
      </c>
      <c r="Y76">
        <f>HYPERLINK("https://klasma.github.io/Logging_0680/tillsynsmail/A 6168-2026 tillsynsbegäran mail.docx", "A 6168-2026")</f>
        <v/>
      </c>
    </row>
    <row r="77" ht="15" customHeight="1">
      <c r="A77" t="inlineStr">
        <is>
          <t>A 7511-2026</t>
        </is>
      </c>
      <c r="B77" s="1" t="n">
        <v>46059</v>
      </c>
      <c r="C77" s="1" t="n">
        <v>46203</v>
      </c>
      <c r="D77" t="inlineStr">
        <is>
          <t>JÖNKÖPINGS LÄN</t>
        </is>
      </c>
      <c r="E77" t="inlineStr">
        <is>
          <t>JÖNKÖPING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HYPERLINK("https://klasma.github.io/Logging_0680/artfynd/A 7511-2026 artfynd.xlsx", "A 7511-2026")</f>
        <v/>
      </c>
      <c r="T77">
        <f>HYPERLINK("https://klasma.github.io/Logging_0680/kartor/A 7511-2026 karta.png", "A 7511-2026")</f>
        <v/>
      </c>
      <c r="V77">
        <f>HYPERLINK("https://klasma.github.io/Logging_0680/klagomål/A 7511-2026 FSC-klagomål.docx", "A 7511-2026")</f>
        <v/>
      </c>
      <c r="W77">
        <f>HYPERLINK("https://klasma.github.io/Logging_0680/klagomålsmail/A 7511-2026 FSC-klagomål mail.docx", "A 7511-2026")</f>
        <v/>
      </c>
      <c r="X77">
        <f>HYPERLINK("https://klasma.github.io/Logging_0680/tillsyn/A 7511-2026 tillsynsbegäran.docx", "A 7511-2026")</f>
        <v/>
      </c>
      <c r="Y77">
        <f>HYPERLINK("https://klasma.github.io/Logging_0680/tillsynsmail/A 7511-2026 tillsynsbegäran mail.docx", "A 7511-2026")</f>
        <v/>
      </c>
    </row>
    <row r="78" ht="15" customHeight="1">
      <c r="A78" t="inlineStr">
        <is>
          <t>A 47040-2023</t>
        </is>
      </c>
      <c r="B78" s="1" t="n">
        <v>45201</v>
      </c>
      <c r="C78" s="1" t="n">
        <v>46203</v>
      </c>
      <c r="D78" t="inlineStr">
        <is>
          <t>JÖNKÖPINGS LÄN</t>
        </is>
      </c>
      <c r="E78" t="inlineStr">
        <is>
          <t>JÖNKÖPING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HYPERLINK("https://klasma.github.io/Logging_0680/artfynd/A 47040-2023 artfynd.xlsx", "A 47040-2023")</f>
        <v/>
      </c>
      <c r="T78">
        <f>HYPERLINK("https://klasma.github.io/Logging_0680/kartor/A 47040-2023 karta.png", "A 47040-2023")</f>
        <v/>
      </c>
      <c r="V78">
        <f>HYPERLINK("https://klasma.github.io/Logging_0680/klagomål/A 47040-2023 FSC-klagomål.docx", "A 47040-2023")</f>
        <v/>
      </c>
      <c r="W78">
        <f>HYPERLINK("https://klasma.github.io/Logging_0680/klagomålsmail/A 47040-2023 FSC-klagomål mail.docx", "A 47040-2023")</f>
        <v/>
      </c>
      <c r="X78">
        <f>HYPERLINK("https://klasma.github.io/Logging_0680/tillsyn/A 47040-2023 tillsynsbegäran.docx", "A 47040-2023")</f>
        <v/>
      </c>
      <c r="Y78">
        <f>HYPERLINK("https://klasma.github.io/Logging_0680/tillsynsmail/A 47040-2023 tillsynsbegäran mail.docx", "A 47040-2023")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46203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7092-2024</t>
        </is>
      </c>
      <c r="B80" s="1" t="n">
        <v>45343</v>
      </c>
      <c r="C80" s="1" t="n">
        <v>46203</v>
      </c>
      <c r="D80" t="inlineStr">
        <is>
          <t>JÖNKÖPINGS LÄN</t>
        </is>
      </c>
      <c r="E80" t="inlineStr">
        <is>
          <t>JÖNKÖPING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HYPERLINK("https://klasma.github.io/Logging_0680/artfynd/A 7092-2024 artfynd.xlsx", "A 7092-2024")</f>
        <v/>
      </c>
      <c r="T80">
        <f>HYPERLINK("https://klasma.github.io/Logging_0680/kartor/A 7092-2024 karta.png", "A 7092-2024")</f>
        <v/>
      </c>
      <c r="V80">
        <f>HYPERLINK("https://klasma.github.io/Logging_0680/klagomål/A 7092-2024 FSC-klagomål.docx", "A 7092-2024")</f>
        <v/>
      </c>
      <c r="W80">
        <f>HYPERLINK("https://klasma.github.io/Logging_0680/klagomålsmail/A 7092-2024 FSC-klagomål mail.docx", "A 7092-2024")</f>
        <v/>
      </c>
      <c r="X80">
        <f>HYPERLINK("https://klasma.github.io/Logging_0680/tillsyn/A 7092-2024 tillsynsbegäran.docx", "A 7092-2024")</f>
        <v/>
      </c>
      <c r="Y80">
        <f>HYPERLINK("https://klasma.github.io/Logging_0680/tillsynsmail/A 7092-2024 tillsynsbegäran mail.docx", "A 7092-2024")</f>
        <v/>
      </c>
    </row>
    <row r="81" ht="15" customHeight="1">
      <c r="A81" t="inlineStr">
        <is>
          <t>A 15516-2026</t>
        </is>
      </c>
      <c r="B81" s="1" t="n">
        <v>46106</v>
      </c>
      <c r="C81" s="1" t="n">
        <v>46203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15516-2026 artfynd.xlsx", "A 15516-2026")</f>
        <v/>
      </c>
      <c r="T81">
        <f>HYPERLINK("https://klasma.github.io/Logging_0680/kartor/A 15516-2026 karta.png", "A 15516-2026")</f>
        <v/>
      </c>
      <c r="V81">
        <f>HYPERLINK("https://klasma.github.io/Logging_0680/klagomål/A 15516-2026 FSC-klagomål.docx", "A 15516-2026")</f>
        <v/>
      </c>
      <c r="W81">
        <f>HYPERLINK("https://klasma.github.io/Logging_0680/klagomålsmail/A 15516-2026 FSC-klagomål mail.docx", "A 15516-2026")</f>
        <v/>
      </c>
      <c r="X81">
        <f>HYPERLINK("https://klasma.github.io/Logging_0680/tillsyn/A 15516-2026 tillsynsbegäran.docx", "A 15516-2026")</f>
        <v/>
      </c>
      <c r="Y81">
        <f>HYPERLINK("https://klasma.github.io/Logging_0680/tillsynsmail/A 15516-2026 tillsynsbegäran mail.docx", "A 15516-2026")</f>
        <v/>
      </c>
    </row>
    <row r="82" ht="15" customHeight="1">
      <c r="A82" t="inlineStr">
        <is>
          <t>A 29056-2022</t>
        </is>
      </c>
      <c r="B82" s="1" t="n">
        <v>44750</v>
      </c>
      <c r="C82" s="1" t="n">
        <v>46203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Toppvaxing</t>
        </is>
      </c>
      <c r="S82">
        <f>HYPERLINK("https://klasma.github.io/Logging_0680/artfynd/A 29056-2022 artfynd.xlsx", "A 29056-2022")</f>
        <v/>
      </c>
      <c r="T82">
        <f>HYPERLINK("https://klasma.github.io/Logging_0680/kartor/A 29056-2022 karta.png", "A 29056-2022")</f>
        <v/>
      </c>
      <c r="V82">
        <f>HYPERLINK("https://klasma.github.io/Logging_0680/klagomål/A 29056-2022 FSC-klagomål.docx", "A 29056-2022")</f>
        <v/>
      </c>
      <c r="W82">
        <f>HYPERLINK("https://klasma.github.io/Logging_0680/klagomålsmail/A 29056-2022 FSC-klagomål mail.docx", "A 29056-2022")</f>
        <v/>
      </c>
      <c r="X82">
        <f>HYPERLINK("https://klasma.github.io/Logging_0680/tillsyn/A 29056-2022 tillsynsbegäran.docx", "A 29056-2022")</f>
        <v/>
      </c>
      <c r="Y82">
        <f>HYPERLINK("https://klasma.github.io/Logging_0680/tillsynsmail/A 29056-2022 tillsynsbegäran mail.docx", "A 29056-2022")</f>
        <v/>
      </c>
    </row>
    <row r="83" ht="15" customHeight="1">
      <c r="A83" t="inlineStr">
        <is>
          <t>A 23234-2026</t>
        </is>
      </c>
      <c r="B83" s="1" t="n">
        <v>46162</v>
      </c>
      <c r="C83" s="1" t="n">
        <v>46203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Klasefibbla</t>
        </is>
      </c>
      <c r="S83">
        <f>HYPERLINK("https://klasma.github.io/Logging_0680/artfynd/A 23234-2026 artfynd.xlsx", "A 23234-2026")</f>
        <v/>
      </c>
      <c r="T83">
        <f>HYPERLINK("https://klasma.github.io/Logging_0680/kartor/A 23234-2026 karta.png", "A 23234-2026")</f>
        <v/>
      </c>
      <c r="V83">
        <f>HYPERLINK("https://klasma.github.io/Logging_0680/klagomål/A 23234-2026 FSC-klagomål.docx", "A 23234-2026")</f>
        <v/>
      </c>
      <c r="W83">
        <f>HYPERLINK("https://klasma.github.io/Logging_0680/klagomålsmail/A 23234-2026 FSC-klagomål mail.docx", "A 23234-2026")</f>
        <v/>
      </c>
      <c r="X83">
        <f>HYPERLINK("https://klasma.github.io/Logging_0680/tillsyn/A 23234-2026 tillsynsbegäran.docx", "A 23234-2026")</f>
        <v/>
      </c>
      <c r="Y83">
        <f>HYPERLINK("https://klasma.github.io/Logging_0680/tillsynsmail/A 23234-2026 tillsynsbegäran mail.docx", "A 23234-2026")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46203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43538-2021</t>
        </is>
      </c>
      <c r="B85" s="1" t="n">
        <v>44433</v>
      </c>
      <c r="C85" s="1" t="n">
        <v>46203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HYPERLINK("https://klasma.github.io/Logging_0680/artfynd/A 43538-2021 artfynd.xlsx", "A 43538-2021")</f>
        <v/>
      </c>
      <c r="T85">
        <f>HYPERLINK("https://klasma.github.io/Logging_0680/kartor/A 43538-2021 karta.png", "A 43538-2021")</f>
        <v/>
      </c>
      <c r="V85">
        <f>HYPERLINK("https://klasma.github.io/Logging_0680/klagomål/A 43538-2021 FSC-klagomål.docx", "A 43538-2021")</f>
        <v/>
      </c>
      <c r="W85">
        <f>HYPERLINK("https://klasma.github.io/Logging_0680/klagomålsmail/A 43538-2021 FSC-klagomål mail.docx", "A 43538-2021")</f>
        <v/>
      </c>
      <c r="X85">
        <f>HYPERLINK("https://klasma.github.io/Logging_0680/tillsyn/A 43538-2021 tillsynsbegäran.docx", "A 43538-2021")</f>
        <v/>
      </c>
      <c r="Y85">
        <f>HYPERLINK("https://klasma.github.io/Logging_0680/tillsynsmail/A 43538-2021 tillsynsbegäran mail.docx", "A 43538-2021")</f>
        <v/>
      </c>
    </row>
    <row r="86" ht="15" customHeight="1">
      <c r="A86" t="inlineStr">
        <is>
          <t>A 18770-2025</t>
        </is>
      </c>
      <c r="B86" s="1" t="n">
        <v>45764</v>
      </c>
      <c r="C86" s="1" t="n">
        <v>46203</v>
      </c>
      <c r="D86" t="inlineStr">
        <is>
          <t>JÖNKÖPINGS LÄN</t>
        </is>
      </c>
      <c r="E86" t="inlineStr">
        <is>
          <t>JÖNKÖPING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Gullpudra</t>
        </is>
      </c>
      <c r="S86">
        <f>HYPERLINK("https://klasma.github.io/Logging_0680/artfynd/A 18770-2025 artfynd.xlsx", "A 18770-2025")</f>
        <v/>
      </c>
      <c r="T86">
        <f>HYPERLINK("https://klasma.github.io/Logging_0680/kartor/A 18770-2025 karta.png", "A 18770-2025")</f>
        <v/>
      </c>
      <c r="V86">
        <f>HYPERLINK("https://klasma.github.io/Logging_0680/klagomål/A 18770-2025 FSC-klagomål.docx", "A 18770-2025")</f>
        <v/>
      </c>
      <c r="W86">
        <f>HYPERLINK("https://klasma.github.io/Logging_0680/klagomålsmail/A 18770-2025 FSC-klagomål mail.docx", "A 18770-2025")</f>
        <v/>
      </c>
      <c r="X86">
        <f>HYPERLINK("https://klasma.github.io/Logging_0680/tillsyn/A 18770-2025 tillsynsbegäran.docx", "A 18770-2025")</f>
        <v/>
      </c>
      <c r="Y86">
        <f>HYPERLINK("https://klasma.github.io/Logging_0680/tillsynsmail/A 18770-2025 tillsynsbegäran mail.docx", "A 18770-2025")</f>
        <v/>
      </c>
    </row>
    <row r="87" ht="15" customHeight="1">
      <c r="A87" t="inlineStr">
        <is>
          <t>A 16455-2025</t>
        </is>
      </c>
      <c r="B87" s="1" t="n">
        <v>45751</v>
      </c>
      <c r="C87" s="1" t="n">
        <v>46203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HYPERLINK("https://klasma.github.io/Logging_0680/artfynd/A 16455-2025 artfynd.xlsx", "A 16455-2025")</f>
        <v/>
      </c>
      <c r="T87">
        <f>HYPERLINK("https://klasma.github.io/Logging_0680/kartor/A 16455-2025 karta.png", "A 16455-2025")</f>
        <v/>
      </c>
      <c r="V87">
        <f>HYPERLINK("https://klasma.github.io/Logging_0680/klagomål/A 16455-2025 FSC-klagomål.docx", "A 16455-2025")</f>
        <v/>
      </c>
      <c r="W87">
        <f>HYPERLINK("https://klasma.github.io/Logging_0680/klagomålsmail/A 16455-2025 FSC-klagomål mail.docx", "A 16455-2025")</f>
        <v/>
      </c>
      <c r="X87">
        <f>HYPERLINK("https://klasma.github.io/Logging_0680/tillsyn/A 16455-2025 tillsynsbegäran.docx", "A 16455-2025")</f>
        <v/>
      </c>
      <c r="Y87">
        <f>HYPERLINK("https://klasma.github.io/Logging_0680/tillsynsmail/A 16455-2025 tillsynsbegäran mail.docx", "A 16455-2025")</f>
        <v/>
      </c>
    </row>
    <row r="88" ht="15" customHeight="1">
      <c r="A88" t="inlineStr">
        <is>
          <t>A 58346-2022</t>
        </is>
      </c>
      <c r="B88" s="1" t="n">
        <v>44893</v>
      </c>
      <c r="C88" s="1" t="n">
        <v>46203</v>
      </c>
      <c r="D88" t="inlineStr">
        <is>
          <t>JÖNKÖPINGS LÄN</t>
        </is>
      </c>
      <c r="E88" t="inlineStr">
        <is>
          <t>JÖNKÖPING</t>
        </is>
      </c>
      <c r="F88" t="inlineStr">
        <is>
          <t>Övriga statliga verk och myndigheter</t>
        </is>
      </c>
      <c r="G88" t="n">
        <v>1.9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Gyllensopp</t>
        </is>
      </c>
      <c r="S88">
        <f>HYPERLINK("https://klasma.github.io/Logging_0680/artfynd/A 58346-2022 artfynd.xlsx", "A 58346-2022")</f>
        <v/>
      </c>
      <c r="T88">
        <f>HYPERLINK("https://klasma.github.io/Logging_0680/kartor/A 58346-2022 karta.png", "A 58346-2022")</f>
        <v/>
      </c>
      <c r="V88">
        <f>HYPERLINK("https://klasma.github.io/Logging_0680/klagomål/A 58346-2022 FSC-klagomål.docx", "A 58346-2022")</f>
        <v/>
      </c>
      <c r="W88">
        <f>HYPERLINK("https://klasma.github.io/Logging_0680/klagomålsmail/A 58346-2022 FSC-klagomål mail.docx", "A 58346-2022")</f>
        <v/>
      </c>
      <c r="X88">
        <f>HYPERLINK("https://klasma.github.io/Logging_0680/tillsyn/A 58346-2022 tillsynsbegäran.docx", "A 58346-2022")</f>
        <v/>
      </c>
      <c r="Y88">
        <f>HYPERLINK("https://klasma.github.io/Logging_0680/tillsynsmail/A 58346-2022 tillsynsbegäran mail.docx", "A 58346-2022")</f>
        <v/>
      </c>
    </row>
    <row r="89" ht="15" customHeight="1">
      <c r="A89" t="inlineStr">
        <is>
          <t>A 42038-2023</t>
        </is>
      </c>
      <c r="B89" s="1" t="n">
        <v>45177</v>
      </c>
      <c r="C89" s="1" t="n">
        <v>46203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42038-2023 artfynd.xlsx", "A 42038-2023")</f>
        <v/>
      </c>
      <c r="T89">
        <f>HYPERLINK("https://klasma.github.io/Logging_0680/kartor/A 42038-2023 karta.png", "A 42038-2023")</f>
        <v/>
      </c>
      <c r="V89">
        <f>HYPERLINK("https://klasma.github.io/Logging_0680/klagomål/A 42038-2023 FSC-klagomål.docx", "A 42038-2023")</f>
        <v/>
      </c>
      <c r="W89">
        <f>HYPERLINK("https://klasma.github.io/Logging_0680/klagomålsmail/A 42038-2023 FSC-klagomål mail.docx", "A 42038-2023")</f>
        <v/>
      </c>
      <c r="X89">
        <f>HYPERLINK("https://klasma.github.io/Logging_0680/tillsyn/A 42038-2023 tillsynsbegäran.docx", "A 42038-2023")</f>
        <v/>
      </c>
      <c r="Y89">
        <f>HYPERLINK("https://klasma.github.io/Logging_0680/tillsynsmail/A 42038-2023 tillsynsbegäran mail.docx", "A 42038-2023")</f>
        <v/>
      </c>
    </row>
    <row r="90" ht="15" customHeight="1">
      <c r="A90" t="inlineStr">
        <is>
          <t>A 50190-2024</t>
        </is>
      </c>
      <c r="B90" s="1" t="n">
        <v>45600</v>
      </c>
      <c r="C90" s="1" t="n">
        <v>46203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HYPERLINK("https://klasma.github.io/Logging_0680/artfynd/A 50190-2024 artfynd.xlsx", "A 50190-2024")</f>
        <v/>
      </c>
      <c r="T90">
        <f>HYPERLINK("https://klasma.github.io/Logging_0680/kartor/A 50190-2024 karta.png", "A 50190-2024")</f>
        <v/>
      </c>
      <c r="V90">
        <f>HYPERLINK("https://klasma.github.io/Logging_0680/klagomål/A 50190-2024 FSC-klagomål.docx", "A 50190-2024")</f>
        <v/>
      </c>
      <c r="W90">
        <f>HYPERLINK("https://klasma.github.io/Logging_0680/klagomålsmail/A 50190-2024 FSC-klagomål mail.docx", "A 50190-2024")</f>
        <v/>
      </c>
      <c r="X90">
        <f>HYPERLINK("https://klasma.github.io/Logging_0680/tillsyn/A 50190-2024 tillsynsbegäran.docx", "A 50190-2024")</f>
        <v/>
      </c>
      <c r="Y90">
        <f>HYPERLINK("https://klasma.github.io/Logging_0680/tillsynsmail/A 50190-2024 tillsynsbegäran mail.docx", "A 50190-2024")</f>
        <v/>
      </c>
    </row>
    <row r="91" ht="15" customHeight="1">
      <c r="A91" t="inlineStr">
        <is>
          <t>A 48371-2023</t>
        </is>
      </c>
      <c r="B91" s="1" t="n">
        <v>45205</v>
      </c>
      <c r="C91" s="1" t="n">
        <v>46203</v>
      </c>
      <c r="D91" t="inlineStr">
        <is>
          <t>JÖNKÖPINGS LÄN</t>
        </is>
      </c>
      <c r="E91" t="inlineStr">
        <is>
          <t>JÖNKÖPING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Älg</t>
        </is>
      </c>
      <c r="S91">
        <f>HYPERLINK("https://klasma.github.io/Logging_0680/artfynd/A 48371-2023 artfynd.xlsx", "A 48371-2023")</f>
        <v/>
      </c>
      <c r="T91">
        <f>HYPERLINK("https://klasma.github.io/Logging_0680/kartor/A 48371-2023 karta.png", "A 48371-2023")</f>
        <v/>
      </c>
      <c r="V91">
        <f>HYPERLINK("https://klasma.github.io/Logging_0680/klagomål/A 48371-2023 FSC-klagomål.docx", "A 48371-2023")</f>
        <v/>
      </c>
      <c r="W91">
        <f>HYPERLINK("https://klasma.github.io/Logging_0680/klagomålsmail/A 48371-2023 FSC-klagomål mail.docx", "A 48371-2023")</f>
        <v/>
      </c>
      <c r="X91">
        <f>HYPERLINK("https://klasma.github.io/Logging_0680/tillsyn/A 48371-2023 tillsynsbegäran.docx", "A 48371-2023")</f>
        <v/>
      </c>
      <c r="Y91">
        <f>HYPERLINK("https://klasma.github.io/Logging_0680/tillsynsmail/A 48371-2023 tillsynsbegäran mail.docx", "A 48371-2023")</f>
        <v/>
      </c>
    </row>
    <row r="92" ht="15" customHeight="1">
      <c r="A92" t="inlineStr">
        <is>
          <t>A 62844-2023</t>
        </is>
      </c>
      <c r="B92" s="1" t="n">
        <v>45272</v>
      </c>
      <c r="C92" s="1" t="n">
        <v>46203</v>
      </c>
      <c r="D92" t="inlineStr">
        <is>
          <t>JÖNKÖPINGS LÄN</t>
        </is>
      </c>
      <c r="E92" t="inlineStr">
        <is>
          <t>JÖNKÖPING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62844-2023 artfynd.xlsx", "A 62844-2023")</f>
        <v/>
      </c>
      <c r="T92">
        <f>HYPERLINK("https://klasma.github.io/Logging_0680/kartor/A 62844-2023 karta.png", "A 62844-2023")</f>
        <v/>
      </c>
      <c r="V92">
        <f>HYPERLINK("https://klasma.github.io/Logging_0680/klagomål/A 62844-2023 FSC-klagomål.docx", "A 62844-2023")</f>
        <v/>
      </c>
      <c r="W92">
        <f>HYPERLINK("https://klasma.github.io/Logging_0680/klagomålsmail/A 62844-2023 FSC-klagomål mail.docx", "A 62844-2023")</f>
        <v/>
      </c>
      <c r="X92">
        <f>HYPERLINK("https://klasma.github.io/Logging_0680/tillsyn/A 62844-2023 tillsynsbegäran.docx", "A 62844-2023")</f>
        <v/>
      </c>
      <c r="Y92">
        <f>HYPERLINK("https://klasma.github.io/Logging_0680/tillsynsmail/A 62844-2023 tillsynsbegäran mail.docx", "A 62844-2023")</f>
        <v/>
      </c>
    </row>
    <row r="93" ht="15" customHeight="1">
      <c r="A93" t="inlineStr">
        <is>
          <t>A 71504-2021</t>
        </is>
      </c>
      <c r="B93" s="1" t="n">
        <v>44540</v>
      </c>
      <c r="C93" s="1" t="n">
        <v>46203</v>
      </c>
      <c r="D93" t="inlineStr">
        <is>
          <t>JÖNKÖPINGS LÄN</t>
        </is>
      </c>
      <c r="E93" t="inlineStr">
        <is>
          <t>JÖNKÖPING</t>
        </is>
      </c>
      <c r="G93" t="n">
        <v>6.9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HYPERLINK("https://klasma.github.io/Logging_0680/artfynd/A 71504-2021 artfynd.xlsx", "A 71504-2021")</f>
        <v/>
      </c>
      <c r="T93">
        <f>HYPERLINK("https://klasma.github.io/Logging_0680/kartor/A 71504-2021 karta.png", "A 71504-2021")</f>
        <v/>
      </c>
      <c r="V93">
        <f>HYPERLINK("https://klasma.github.io/Logging_0680/klagomål/A 71504-2021 FSC-klagomål.docx", "A 71504-2021")</f>
        <v/>
      </c>
      <c r="W93">
        <f>HYPERLINK("https://klasma.github.io/Logging_0680/klagomålsmail/A 71504-2021 FSC-klagomål mail.docx", "A 71504-2021")</f>
        <v/>
      </c>
      <c r="X93">
        <f>HYPERLINK("https://klasma.github.io/Logging_0680/tillsyn/A 71504-2021 tillsynsbegäran.docx", "A 71504-2021")</f>
        <v/>
      </c>
      <c r="Y93">
        <f>HYPERLINK("https://klasma.github.io/Logging_0680/tillsynsmail/A 71504-2021 tillsynsbegäran mail.docx", "A 71504-2021")</f>
        <v/>
      </c>
    </row>
    <row r="94" ht="15" customHeight="1">
      <c r="A94" t="inlineStr">
        <is>
          <t>A 53601-2022</t>
        </is>
      </c>
      <c r="B94" s="1" t="n">
        <v>44879</v>
      </c>
      <c r="C94" s="1" t="n">
        <v>46203</v>
      </c>
      <c r="D94" t="inlineStr">
        <is>
          <t>JÖNKÖPINGS LÄN</t>
        </is>
      </c>
      <c r="E94" t="inlineStr">
        <is>
          <t>JÖNKÖPING</t>
        </is>
      </c>
      <c r="G94" t="n">
        <v>3.8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53601-2022 artfynd.xlsx", "A 53601-2022")</f>
        <v/>
      </c>
      <c r="T94">
        <f>HYPERLINK("https://klasma.github.io/Logging_0680/kartor/A 53601-2022 karta.png", "A 53601-2022")</f>
        <v/>
      </c>
      <c r="U94">
        <f>HYPERLINK("https://klasma.github.io/Logging_0680/knärot/A 53601-2022 karta knärot.png", "A 53601-2022")</f>
        <v/>
      </c>
      <c r="V94">
        <f>HYPERLINK("https://klasma.github.io/Logging_0680/klagomål/A 53601-2022 FSC-klagomål.docx", "A 53601-2022")</f>
        <v/>
      </c>
      <c r="W94">
        <f>HYPERLINK("https://klasma.github.io/Logging_0680/klagomålsmail/A 53601-2022 FSC-klagomål mail.docx", "A 53601-2022")</f>
        <v/>
      </c>
      <c r="X94">
        <f>HYPERLINK("https://klasma.github.io/Logging_0680/tillsyn/A 53601-2022 tillsynsbegäran.docx", "A 53601-2022")</f>
        <v/>
      </c>
      <c r="Y94">
        <f>HYPERLINK("https://klasma.github.io/Logging_0680/tillsynsmail/A 53601-2022 tillsynsbegäran mail.docx", "A 53601-2022")</f>
        <v/>
      </c>
    </row>
    <row r="95" ht="15" customHeight="1">
      <c r="A95" t="inlineStr">
        <is>
          <t>A 43624-2023</t>
        </is>
      </c>
      <c r="B95" s="1" t="n">
        <v>45184</v>
      </c>
      <c r="C95" s="1" t="n">
        <v>46203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Gullpudra</t>
        </is>
      </c>
      <c r="S95">
        <f>HYPERLINK("https://klasma.github.io/Logging_0680/artfynd/A 43624-2023 artfynd.xlsx", "A 43624-2023")</f>
        <v/>
      </c>
      <c r="T95">
        <f>HYPERLINK("https://klasma.github.io/Logging_0680/kartor/A 43624-2023 karta.png", "A 43624-2023")</f>
        <v/>
      </c>
      <c r="V95">
        <f>HYPERLINK("https://klasma.github.io/Logging_0680/klagomål/A 43624-2023 FSC-klagomål.docx", "A 43624-2023")</f>
        <v/>
      </c>
      <c r="W95">
        <f>HYPERLINK("https://klasma.github.io/Logging_0680/klagomålsmail/A 43624-2023 FSC-klagomål mail.docx", "A 43624-2023")</f>
        <v/>
      </c>
      <c r="X95">
        <f>HYPERLINK("https://klasma.github.io/Logging_0680/tillsyn/A 43624-2023 tillsynsbegäran.docx", "A 43624-2023")</f>
        <v/>
      </c>
      <c r="Y95">
        <f>HYPERLINK("https://klasma.github.io/Logging_0680/tillsynsmail/A 43624-2023 tillsynsbegäran mail.docx", "A 43624-2023")</f>
        <v/>
      </c>
    </row>
    <row r="96" ht="15" customHeight="1">
      <c r="A96" t="inlineStr">
        <is>
          <t>A 5898-2023</t>
        </is>
      </c>
      <c r="B96" s="1" t="n">
        <v>44963</v>
      </c>
      <c r="C96" s="1" t="n">
        <v>46203</v>
      </c>
      <c r="D96" t="inlineStr">
        <is>
          <t>JÖNKÖPINGS LÄN</t>
        </is>
      </c>
      <c r="E96" t="inlineStr">
        <is>
          <t>JÖNKÖPING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HYPERLINK("https://klasma.github.io/Logging_0680/artfynd/A 5898-2023 artfynd.xlsx", "A 5898-2023")</f>
        <v/>
      </c>
      <c r="T96">
        <f>HYPERLINK("https://klasma.github.io/Logging_0680/kartor/A 5898-2023 karta.png", "A 5898-2023")</f>
        <v/>
      </c>
      <c r="V96">
        <f>HYPERLINK("https://klasma.github.io/Logging_0680/klagomål/A 5898-2023 FSC-klagomål.docx", "A 5898-2023")</f>
        <v/>
      </c>
      <c r="W96">
        <f>HYPERLINK("https://klasma.github.io/Logging_0680/klagomålsmail/A 5898-2023 FSC-klagomål mail.docx", "A 5898-2023")</f>
        <v/>
      </c>
      <c r="X96">
        <f>HYPERLINK("https://klasma.github.io/Logging_0680/tillsyn/A 5898-2023 tillsynsbegäran.docx", "A 5898-2023")</f>
        <v/>
      </c>
      <c r="Y96">
        <f>HYPERLINK("https://klasma.github.io/Logging_0680/tillsynsmail/A 5898-2023 tillsynsbegäran mail.docx", "A 5898-2023")</f>
        <v/>
      </c>
    </row>
    <row r="97" ht="15" customHeight="1">
      <c r="A97" t="inlineStr">
        <is>
          <t>A 11260-2023</t>
        </is>
      </c>
      <c r="B97" s="1" t="n">
        <v>44992</v>
      </c>
      <c r="C97" s="1" t="n">
        <v>46203</v>
      </c>
      <c r="D97" t="inlineStr">
        <is>
          <t>JÖNKÖPINGS LÄN</t>
        </is>
      </c>
      <c r="E97" t="inlineStr">
        <is>
          <t>JÖNKÖPING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11260-2023 artfynd.xlsx", "A 11260-2023")</f>
        <v/>
      </c>
      <c r="T97">
        <f>HYPERLINK("https://klasma.github.io/Logging_0680/kartor/A 11260-2023 karta.png", "A 11260-2023")</f>
        <v/>
      </c>
      <c r="U97">
        <f>HYPERLINK("https://klasma.github.io/Logging_0680/knärot/A 11260-2023 karta knärot.png", "A 11260-2023")</f>
        <v/>
      </c>
      <c r="V97">
        <f>HYPERLINK("https://klasma.github.io/Logging_0680/klagomål/A 11260-2023 FSC-klagomål.docx", "A 11260-2023")</f>
        <v/>
      </c>
      <c r="W97">
        <f>HYPERLINK("https://klasma.github.io/Logging_0680/klagomålsmail/A 11260-2023 FSC-klagomål mail.docx", "A 11260-2023")</f>
        <v/>
      </c>
      <c r="X97">
        <f>HYPERLINK("https://klasma.github.io/Logging_0680/tillsyn/A 11260-2023 tillsynsbegäran.docx", "A 11260-2023")</f>
        <v/>
      </c>
      <c r="Y97">
        <f>HYPERLINK("https://klasma.github.io/Logging_0680/tillsynsmail/A 11260-2023 tillsynsbegäran mail.docx", "A 11260-2023")</f>
        <v/>
      </c>
    </row>
    <row r="98" ht="15" customHeight="1">
      <c r="A98" t="inlineStr">
        <is>
          <t>A 54424-2024</t>
        </is>
      </c>
      <c r="B98" s="1" t="n">
        <v>45617</v>
      </c>
      <c r="C98" s="1" t="n">
        <v>46203</v>
      </c>
      <c r="D98" t="inlineStr">
        <is>
          <t>JÖNKÖPINGS LÄN</t>
        </is>
      </c>
      <c r="E98" t="inlineStr">
        <is>
          <t>JÖNKÖPING</t>
        </is>
      </c>
      <c r="G98" t="n">
        <v>6.2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HYPERLINK("https://klasma.github.io/Logging_0680/artfynd/A 54424-2024 artfynd.xlsx", "A 54424-2024")</f>
        <v/>
      </c>
      <c r="T98">
        <f>HYPERLINK("https://klasma.github.io/Logging_0680/kartor/A 54424-2024 karta.png", "A 54424-2024")</f>
        <v/>
      </c>
      <c r="V98">
        <f>HYPERLINK("https://klasma.github.io/Logging_0680/klagomål/A 54424-2024 FSC-klagomål.docx", "A 54424-2024")</f>
        <v/>
      </c>
      <c r="W98">
        <f>HYPERLINK("https://klasma.github.io/Logging_0680/klagomålsmail/A 54424-2024 FSC-klagomål mail.docx", "A 54424-2024")</f>
        <v/>
      </c>
      <c r="X98">
        <f>HYPERLINK("https://klasma.github.io/Logging_0680/tillsyn/A 54424-2024 tillsynsbegäran.docx", "A 54424-2024")</f>
        <v/>
      </c>
      <c r="Y98">
        <f>HYPERLINK("https://klasma.github.io/Logging_0680/tillsynsmail/A 54424-2024 tillsynsbegäran mail.docx", "A 54424-2024")</f>
        <v/>
      </c>
    </row>
    <row r="99" ht="15" customHeight="1">
      <c r="A99" t="inlineStr">
        <is>
          <t>A 60720-2021</t>
        </is>
      </c>
      <c r="B99" s="1" t="n">
        <v>44496</v>
      </c>
      <c r="C99" s="1" t="n">
        <v>46203</v>
      </c>
      <c r="D99" t="inlineStr">
        <is>
          <t>JÖNKÖPINGS LÄN</t>
        </is>
      </c>
      <c r="E99" t="inlineStr">
        <is>
          <t>JÖNKÖPING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2067-2022</t>
        </is>
      </c>
      <c r="B100" s="1" t="n">
        <v>44575</v>
      </c>
      <c r="C100" s="1" t="n">
        <v>46203</v>
      </c>
      <c r="D100" t="inlineStr">
        <is>
          <t>JÖNKÖPINGS LÄN</t>
        </is>
      </c>
      <c r="E100" t="inlineStr">
        <is>
          <t>JÖNKÖPING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15602-2022</t>
        </is>
      </c>
      <c r="B101" s="1" t="n">
        <v>44662</v>
      </c>
      <c r="C101" s="1" t="n">
        <v>46203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38082-2021</t>
        </is>
      </c>
      <c r="B102" s="1" t="n">
        <v>44404</v>
      </c>
      <c r="C102" s="1" t="n">
        <v>46203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38083-2021</t>
        </is>
      </c>
      <c r="B103" s="1" t="n">
        <v>44404</v>
      </c>
      <c r="C103" s="1" t="n">
        <v>46203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58072-2021</t>
        </is>
      </c>
      <c r="B104" s="1" t="n">
        <v>44487</v>
      </c>
      <c r="C104" s="1" t="n">
        <v>46203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28910-2022</t>
        </is>
      </c>
      <c r="B105" s="1" t="n">
        <v>44749</v>
      </c>
      <c r="C105" s="1" t="n">
        <v>46203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28907-2022</t>
        </is>
      </c>
      <c r="B106" s="1" t="n">
        <v>44749</v>
      </c>
      <c r="C106" s="1" t="n">
        <v>46203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46203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46203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46203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58079-2021</t>
        </is>
      </c>
      <c r="B110" s="1" t="n">
        <v>44487</v>
      </c>
      <c r="C110" s="1" t="n">
        <v>46203</v>
      </c>
      <c r="D110" t="inlineStr">
        <is>
          <t>JÖNKÖPINGS LÄN</t>
        </is>
      </c>
      <c r="E110" t="inlineStr">
        <is>
          <t>JÖNKÖPING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46203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46203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46203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46203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46203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46203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46203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57933-2021</t>
        </is>
      </c>
      <c r="B118" s="1" t="n">
        <v>44487</v>
      </c>
      <c r="C118" s="1" t="n">
        <v>46203</v>
      </c>
      <c r="D118" t="inlineStr">
        <is>
          <t>JÖNKÖPINGS LÄN</t>
        </is>
      </c>
      <c r="E118" t="inlineStr">
        <is>
          <t>JÖNKÖPING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57934-2021</t>
        </is>
      </c>
      <c r="B119" s="1" t="n">
        <v>44487</v>
      </c>
      <c r="C119" s="1" t="n">
        <v>46203</v>
      </c>
      <c r="D119" t="inlineStr">
        <is>
          <t>JÖNKÖPINGS LÄN</t>
        </is>
      </c>
      <c r="E119" t="inlineStr">
        <is>
          <t>JÖNKÖPING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70965-2021</t>
        </is>
      </c>
      <c r="B120" s="1" t="n">
        <v>44538</v>
      </c>
      <c r="C120" s="1" t="n">
        <v>46203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46203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46203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46203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16705-2022</t>
        </is>
      </c>
      <c r="B124" s="1" t="n">
        <v>44673</v>
      </c>
      <c r="C124" s="1" t="n">
        <v>46203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</v>
      </c>
      <c r="C125" s="1" t="n">
        <v>46203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46203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46203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64610-2021</t>
        </is>
      </c>
      <c r="B128" s="1" t="n">
        <v>44511</v>
      </c>
      <c r="C128" s="1" t="n">
        <v>46203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52507-2021</t>
        </is>
      </c>
      <c r="B129" s="1" t="n">
        <v>44466</v>
      </c>
      <c r="C129" s="1" t="n">
        <v>46203</v>
      </c>
      <c r="D129" t="inlineStr">
        <is>
          <t>JÖNKÖPINGS LÄN</t>
        </is>
      </c>
      <c r="E129" t="inlineStr">
        <is>
          <t>JÖNKÖPING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33507-2021</t>
        </is>
      </c>
      <c r="B130" s="1" t="n">
        <v>44377</v>
      </c>
      <c r="C130" s="1" t="n">
        <v>46203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45592-2021</t>
        </is>
      </c>
      <c r="B131" s="1" t="n">
        <v>44440</v>
      </c>
      <c r="C131" s="1" t="n">
        <v>46203</v>
      </c>
      <c r="D131" t="inlineStr">
        <is>
          <t>JÖNKÖPINGS LÄN</t>
        </is>
      </c>
      <c r="E131" t="inlineStr">
        <is>
          <t>JÖNKÖPING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46203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</v>
      </c>
      <c r="C133" s="1" t="n">
        <v>46203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46203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46203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46203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</v>
      </c>
      <c r="C137" s="1" t="n">
        <v>46203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46203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46203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</v>
      </c>
      <c r="C140" s="1" t="n">
        <v>46203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46203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</v>
      </c>
      <c r="C142" s="1" t="n">
        <v>46203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</v>
      </c>
      <c r="C143" s="1" t="n">
        <v>46203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</v>
      </c>
      <c r="C144" s="1" t="n">
        <v>46203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</v>
      </c>
      <c r="C145" s="1" t="n">
        <v>46203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</v>
      </c>
      <c r="C146" s="1" t="n">
        <v>46203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1877-2022</t>
        </is>
      </c>
      <c r="B147" s="1" t="n">
        <v>44575</v>
      </c>
      <c r="C147" s="1" t="n">
        <v>46203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42710-2021</t>
        </is>
      </c>
      <c r="B148" s="1" t="n">
        <v>44428</v>
      </c>
      <c r="C148" s="1" t="n">
        <v>46203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</v>
      </c>
      <c r="C149" s="1" t="n">
        <v>46203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42724-2021</t>
        </is>
      </c>
      <c r="B150" s="1" t="n">
        <v>44428</v>
      </c>
      <c r="C150" s="1" t="n">
        <v>46203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39718-2022</t>
        </is>
      </c>
      <c r="B151" s="1" t="n">
        <v>44819</v>
      </c>
      <c r="C151" s="1" t="n">
        <v>46203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39719-2022</t>
        </is>
      </c>
      <c r="B152" s="1" t="n">
        <v>44819</v>
      </c>
      <c r="C152" s="1" t="n">
        <v>46203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67306-2021</t>
        </is>
      </c>
      <c r="B153" s="1" t="n">
        <v>44523</v>
      </c>
      <c r="C153" s="1" t="n">
        <v>46203</v>
      </c>
      <c r="D153" t="inlineStr">
        <is>
          <t>JÖNKÖPINGS LÄN</t>
        </is>
      </c>
      <c r="E153" t="inlineStr">
        <is>
          <t>JÖNKÖPING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45957-2022</t>
        </is>
      </c>
      <c r="B154" s="1" t="n">
        <v>44846</v>
      </c>
      <c r="C154" s="1" t="n">
        <v>46203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7176-2022</t>
        </is>
      </c>
      <c r="B155" s="1" t="n">
        <v>44605</v>
      </c>
      <c r="C155" s="1" t="n">
        <v>46203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11039-2022</t>
        </is>
      </c>
      <c r="B156" s="1" t="n">
        <v>44628</v>
      </c>
      <c r="C156" s="1" t="n">
        <v>46203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21923-2022</t>
        </is>
      </c>
      <c r="B157" s="1" t="n">
        <v>44711</v>
      </c>
      <c r="C157" s="1" t="n">
        <v>46203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</v>
      </c>
      <c r="C158" s="1" t="n">
        <v>46203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</v>
      </c>
      <c r="C159" s="1" t="n">
        <v>46203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</v>
      </c>
      <c r="C160" s="1" t="n">
        <v>46203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46203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</v>
      </c>
      <c r="C162" s="1" t="n">
        <v>46203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</v>
      </c>
      <c r="C163" s="1" t="n">
        <v>46203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8829-2022</t>
        </is>
      </c>
      <c r="B164" s="1" t="n">
        <v>44614</v>
      </c>
      <c r="C164" s="1" t="n">
        <v>46203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</v>
      </c>
      <c r="C165" s="1" t="n">
        <v>46203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</v>
      </c>
      <c r="C166" s="1" t="n">
        <v>46203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46203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46203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46203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</v>
      </c>
      <c r="C170" s="1" t="n">
        <v>46203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5736-2022</t>
        </is>
      </c>
      <c r="B171" s="1" t="n">
        <v>44596</v>
      </c>
      <c r="C171" s="1" t="n">
        <v>46203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61253-2021</t>
        </is>
      </c>
      <c r="B172" s="1" t="n">
        <v>44498</v>
      </c>
      <c r="C172" s="1" t="n">
        <v>46203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69558-2021</t>
        </is>
      </c>
      <c r="B173" s="1" t="n">
        <v>44532</v>
      </c>
      <c r="C173" s="1" t="n">
        <v>46203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46203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25065-2022</t>
        </is>
      </c>
      <c r="B175" s="1" t="n">
        <v>44729</v>
      </c>
      <c r="C175" s="1" t="n">
        <v>46203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46203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37851-2022</t>
        </is>
      </c>
      <c r="B177" s="1" t="n">
        <v>44811</v>
      </c>
      <c r="C177" s="1" t="n">
        <v>46203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55168-2024</t>
        </is>
      </c>
      <c r="B178" s="1" t="n">
        <v>45621</v>
      </c>
      <c r="C178" s="1" t="n">
        <v>46203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55171-2024</t>
        </is>
      </c>
      <c r="B179" s="1" t="n">
        <v>45621</v>
      </c>
      <c r="C179" s="1" t="n">
        <v>46203</v>
      </c>
      <c r="D179" t="inlineStr">
        <is>
          <t>JÖNKÖPINGS LÄN</t>
        </is>
      </c>
      <c r="E179" t="inlineStr">
        <is>
          <t>JÖNKÖPING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6663-2024</t>
        </is>
      </c>
      <c r="B180" s="1" t="n">
        <v>45341</v>
      </c>
      <c r="C180" s="1" t="n">
        <v>46203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46460-2023</t>
        </is>
      </c>
      <c r="B181" s="1" t="n">
        <v>45197</v>
      </c>
      <c r="C181" s="1" t="n">
        <v>46203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13967-2023</t>
        </is>
      </c>
      <c r="B182" s="1" t="n">
        <v>45008</v>
      </c>
      <c r="C182" s="1" t="n">
        <v>46203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6456-2024</t>
        </is>
      </c>
      <c r="B183" s="1" t="n">
        <v>45338</v>
      </c>
      <c r="C183" s="1" t="n">
        <v>46203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</v>
      </c>
      <c r="C184" s="1" t="n">
        <v>46203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53936-2024</t>
        </is>
      </c>
      <c r="B185" s="1" t="n">
        <v>45615</v>
      </c>
      <c r="C185" s="1" t="n">
        <v>46203</v>
      </c>
      <c r="D185" t="inlineStr">
        <is>
          <t>JÖNKÖPINGS LÄN</t>
        </is>
      </c>
      <c r="E185" t="inlineStr">
        <is>
          <t>JÖNKÖPING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6897-2025</t>
        </is>
      </c>
      <c r="B186" s="1" t="n">
        <v>45701</v>
      </c>
      <c r="C186" s="1" t="n">
        <v>46203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17819-2025</t>
        </is>
      </c>
      <c r="B187" s="1" t="n">
        <v>45758</v>
      </c>
      <c r="C187" s="1" t="n">
        <v>46203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2636-2023</t>
        </is>
      </c>
      <c r="B188" s="1" t="n">
        <v>44944</v>
      </c>
      <c r="C188" s="1" t="n">
        <v>46203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18836-2025</t>
        </is>
      </c>
      <c r="B189" s="1" t="n">
        <v>45764</v>
      </c>
      <c r="C189" s="1" t="n">
        <v>46203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1856-2024</t>
        </is>
      </c>
      <c r="B190" s="1" t="n">
        <v>45307</v>
      </c>
      <c r="C190" s="1" t="n">
        <v>46203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28334-2023</t>
        </is>
      </c>
      <c r="B191" s="1" t="n">
        <v>45099</v>
      </c>
      <c r="C191" s="1" t="n">
        <v>46203</v>
      </c>
      <c r="D191" t="inlineStr">
        <is>
          <t>JÖNKÖPINGS LÄN</t>
        </is>
      </c>
      <c r="E191" t="inlineStr">
        <is>
          <t>JÖNKÖPING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35451-2024</t>
        </is>
      </c>
      <c r="B192" s="1" t="n">
        <v>45531</v>
      </c>
      <c r="C192" s="1" t="n">
        <v>46203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48413-2025</t>
        </is>
      </c>
      <c r="B193" s="1" t="n">
        <v>45934</v>
      </c>
      <c r="C193" s="1" t="n">
        <v>46203</v>
      </c>
      <c r="D193" t="inlineStr">
        <is>
          <t>JÖNKÖPINGS LÄN</t>
        </is>
      </c>
      <c r="E193" t="inlineStr">
        <is>
          <t>JÖNKÖPING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16184-2024</t>
        </is>
      </c>
      <c r="B194" s="1" t="n">
        <v>45406</v>
      </c>
      <c r="C194" s="1" t="n">
        <v>46203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1365-2025</t>
        </is>
      </c>
      <c r="B195" s="1" t="n">
        <v>45667</v>
      </c>
      <c r="C195" s="1" t="n">
        <v>46203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38403-2025</t>
        </is>
      </c>
      <c r="B196" s="1" t="n">
        <v>45883</v>
      </c>
      <c r="C196" s="1" t="n">
        <v>46203</v>
      </c>
      <c r="D196" t="inlineStr">
        <is>
          <t>JÖNKÖPINGS LÄN</t>
        </is>
      </c>
      <c r="E196" t="inlineStr">
        <is>
          <t>JÖNKÖPING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38415-2025</t>
        </is>
      </c>
      <c r="B197" s="1" t="n">
        <v>45883</v>
      </c>
      <c r="C197" s="1" t="n">
        <v>46203</v>
      </c>
      <c r="D197" t="inlineStr">
        <is>
          <t>JÖNKÖPINGS LÄN</t>
        </is>
      </c>
      <c r="E197" t="inlineStr">
        <is>
          <t>JÖNKÖPING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4309-2024</t>
        </is>
      </c>
      <c r="B198" s="1" t="n">
        <v>45324</v>
      </c>
      <c r="C198" s="1" t="n">
        <v>46203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4311-2024</t>
        </is>
      </c>
      <c r="B199" s="1" t="n">
        <v>45324</v>
      </c>
      <c r="C199" s="1" t="n">
        <v>46203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47190-2024</t>
        </is>
      </c>
      <c r="B200" s="1" t="n">
        <v>45586</v>
      </c>
      <c r="C200" s="1" t="n">
        <v>46203</v>
      </c>
      <c r="D200" t="inlineStr">
        <is>
          <t>JÖNKÖPINGS LÄN</t>
        </is>
      </c>
      <c r="E200" t="inlineStr">
        <is>
          <t>JÖNKÖPING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38407-2025</t>
        </is>
      </c>
      <c r="B201" s="1" t="n">
        <v>45883</v>
      </c>
      <c r="C201" s="1" t="n">
        <v>46203</v>
      </c>
      <c r="D201" t="inlineStr">
        <is>
          <t>JÖNKÖPINGS LÄN</t>
        </is>
      </c>
      <c r="E201" t="inlineStr">
        <is>
          <t>JÖNKÖPING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33398-2024</t>
        </is>
      </c>
      <c r="B202" s="1" t="n">
        <v>45519</v>
      </c>
      <c r="C202" s="1" t="n">
        <v>46203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38414-2025</t>
        </is>
      </c>
      <c r="B203" s="1" t="n">
        <v>45883</v>
      </c>
      <c r="C203" s="1" t="n">
        <v>46203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38923-2025</t>
        </is>
      </c>
      <c r="B204" s="1" t="n">
        <v>45887</v>
      </c>
      <c r="C204" s="1" t="n">
        <v>46203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50628-2025</t>
        </is>
      </c>
      <c r="B205" s="1" t="n">
        <v>45945</v>
      </c>
      <c r="C205" s="1" t="n">
        <v>46203</v>
      </c>
      <c r="D205" t="inlineStr">
        <is>
          <t>JÖNKÖPINGS LÄN</t>
        </is>
      </c>
      <c r="E205" t="inlineStr">
        <is>
          <t>JÖNKÖPING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38962-2025</t>
        </is>
      </c>
      <c r="B206" s="1" t="n">
        <v>45887</v>
      </c>
      <c r="C206" s="1" t="n">
        <v>46203</v>
      </c>
      <c r="D206" t="inlineStr">
        <is>
          <t>JÖNKÖPINGS LÄN</t>
        </is>
      </c>
      <c r="E206" t="inlineStr">
        <is>
          <t>JÖNKÖPING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26427-2023</t>
        </is>
      </c>
      <c r="B207" s="1" t="n">
        <v>45092</v>
      </c>
      <c r="C207" s="1" t="n">
        <v>46203</v>
      </c>
      <c r="D207" t="inlineStr">
        <is>
          <t>JÖNKÖPINGS LÄN</t>
        </is>
      </c>
      <c r="E207" t="inlineStr">
        <is>
          <t>JÖNKÖPING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38901-2025</t>
        </is>
      </c>
      <c r="B208" s="1" t="n">
        <v>45887</v>
      </c>
      <c r="C208" s="1" t="n">
        <v>46203</v>
      </c>
      <c r="D208" t="inlineStr">
        <is>
          <t>JÖNKÖPINGS LÄN</t>
        </is>
      </c>
      <c r="E208" t="inlineStr">
        <is>
          <t>JÖNKÖPING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38904-2025</t>
        </is>
      </c>
      <c r="B209" s="1" t="n">
        <v>45884</v>
      </c>
      <c r="C209" s="1" t="n">
        <v>46203</v>
      </c>
      <c r="D209" t="inlineStr">
        <is>
          <t>JÖNKÖPINGS LÄN</t>
        </is>
      </c>
      <c r="E209" t="inlineStr">
        <is>
          <t>JÖNKÖPING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50787-2025</t>
        </is>
      </c>
      <c r="B210" s="1" t="n">
        <v>45946</v>
      </c>
      <c r="C210" s="1" t="n">
        <v>46203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36619-2022</t>
        </is>
      </c>
      <c r="B211" s="1" t="n">
        <v>44804</v>
      </c>
      <c r="C211" s="1" t="n">
        <v>46203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50855-2025</t>
        </is>
      </c>
      <c r="B212" s="1" t="n">
        <v>45946</v>
      </c>
      <c r="C212" s="1" t="n">
        <v>46203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50896-2025</t>
        </is>
      </c>
      <c r="B213" s="1" t="n">
        <v>45946</v>
      </c>
      <c r="C213" s="1" t="n">
        <v>46203</v>
      </c>
      <c r="D213" t="inlineStr">
        <is>
          <t>JÖNKÖPINGS LÄN</t>
        </is>
      </c>
      <c r="E213" t="inlineStr">
        <is>
          <t>JÖNKÖPING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61523-2024</t>
        </is>
      </c>
      <c r="B214" s="1" t="n">
        <v>45646</v>
      </c>
      <c r="C214" s="1" t="n">
        <v>46203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51032-2025</t>
        </is>
      </c>
      <c r="B215" s="1" t="n">
        <v>45947</v>
      </c>
      <c r="C215" s="1" t="n">
        <v>46203</v>
      </c>
      <c r="D215" t="inlineStr">
        <is>
          <t>JÖNKÖPINGS LÄN</t>
        </is>
      </c>
      <c r="E215" t="inlineStr">
        <is>
          <t>JÖNKÖPING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39957-2025</t>
        </is>
      </c>
      <c r="B216" s="1" t="n">
        <v>45892</v>
      </c>
      <c r="C216" s="1" t="n">
        <v>46203</v>
      </c>
      <c r="D216" t="inlineStr">
        <is>
          <t>JÖNKÖPINGS LÄN</t>
        </is>
      </c>
      <c r="E216" t="inlineStr">
        <is>
          <t>JÖNKÖPING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48064-2021</t>
        </is>
      </c>
      <c r="B217" s="1" t="n">
        <v>44449</v>
      </c>
      <c r="C217" s="1" t="n">
        <v>46203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39953-2025</t>
        </is>
      </c>
      <c r="B218" s="1" t="n">
        <v>45892</v>
      </c>
      <c r="C218" s="1" t="n">
        <v>46203</v>
      </c>
      <c r="D218" t="inlineStr">
        <is>
          <t>JÖNKÖPINGS LÄN</t>
        </is>
      </c>
      <c r="E218" t="inlineStr">
        <is>
          <t>JÖNKÖPING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39954-2025</t>
        </is>
      </c>
      <c r="B219" s="1" t="n">
        <v>45892</v>
      </c>
      <c r="C219" s="1" t="n">
        <v>46203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39280-2024</t>
        </is>
      </c>
      <c r="B220" s="1" t="n">
        <v>45551</v>
      </c>
      <c r="C220" s="1" t="n">
        <v>46203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37515-2024</t>
        </is>
      </c>
      <c r="B221" s="1" t="n">
        <v>45541</v>
      </c>
      <c r="C221" s="1" t="n">
        <v>46203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40248-2025</t>
        </is>
      </c>
      <c r="B222" s="1" t="n">
        <v>45895</v>
      </c>
      <c r="C222" s="1" t="n">
        <v>46203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7959-2024</t>
        </is>
      </c>
      <c r="B223" s="1" t="n">
        <v>45350</v>
      </c>
      <c r="C223" s="1" t="n">
        <v>46203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41116-2025</t>
        </is>
      </c>
      <c r="B224" s="1" t="n">
        <v>45898</v>
      </c>
      <c r="C224" s="1" t="n">
        <v>46203</v>
      </c>
      <c r="D224" t="inlineStr">
        <is>
          <t>JÖNKÖPINGS LÄN</t>
        </is>
      </c>
      <c r="E224" t="inlineStr">
        <is>
          <t>JÖNKÖPING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53281-2025</t>
        </is>
      </c>
      <c r="B225" s="1" t="n">
        <v>45958</v>
      </c>
      <c r="C225" s="1" t="n">
        <v>46203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53280-2025</t>
        </is>
      </c>
      <c r="B226" s="1" t="n">
        <v>45958</v>
      </c>
      <c r="C226" s="1" t="n">
        <v>46203</v>
      </c>
      <c r="D226" t="inlineStr">
        <is>
          <t>JÖNKÖPINGS LÄN</t>
        </is>
      </c>
      <c r="E226" t="inlineStr">
        <is>
          <t>JÖNKÖPING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53283-2025</t>
        </is>
      </c>
      <c r="B227" s="1" t="n">
        <v>45958</v>
      </c>
      <c r="C227" s="1" t="n">
        <v>46203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3749-2024</t>
        </is>
      </c>
      <c r="B228" s="1" t="n">
        <v>45321</v>
      </c>
      <c r="C228" s="1" t="n">
        <v>46203</v>
      </c>
      <c r="D228" t="inlineStr">
        <is>
          <t>JÖNKÖPINGS LÄN</t>
        </is>
      </c>
      <c r="E228" t="inlineStr">
        <is>
          <t>JÖNKÖPING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29884-2023</t>
        </is>
      </c>
      <c r="B229" s="1" t="n">
        <v>45107</v>
      </c>
      <c r="C229" s="1" t="n">
        <v>46203</v>
      </c>
      <c r="D229" t="inlineStr">
        <is>
          <t>JÖNKÖPINGS LÄN</t>
        </is>
      </c>
      <c r="E229" t="inlineStr">
        <is>
          <t>JÖNKÖPING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520-2024</t>
        </is>
      </c>
      <c r="B230" s="1" t="n">
        <v>45299</v>
      </c>
      <c r="C230" s="1" t="n">
        <v>46203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62577-2023</t>
        </is>
      </c>
      <c r="B231" s="1" t="n">
        <v>45270</v>
      </c>
      <c r="C231" s="1" t="n">
        <v>46203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27608-2024</t>
        </is>
      </c>
      <c r="B232" s="1" t="n">
        <v>45474</v>
      </c>
      <c r="C232" s="1" t="n">
        <v>46203</v>
      </c>
      <c r="D232" t="inlineStr">
        <is>
          <t>JÖNKÖPINGS LÄN</t>
        </is>
      </c>
      <c r="E232" t="inlineStr">
        <is>
          <t>JÖNKÖPING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43782-2024</t>
        </is>
      </c>
      <c r="B233" s="1" t="n">
        <v>45570</v>
      </c>
      <c r="C233" s="1" t="n">
        <v>46203</v>
      </c>
      <c r="D233" t="inlineStr">
        <is>
          <t>JÖNKÖPINGS LÄN</t>
        </is>
      </c>
      <c r="E233" t="inlineStr">
        <is>
          <t>JÖNKÖPING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41827-2025</t>
        </is>
      </c>
      <c r="B234" s="1" t="n">
        <v>45902</v>
      </c>
      <c r="C234" s="1" t="n">
        <v>46203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23893-2025</t>
        </is>
      </c>
      <c r="B235" s="1" t="n">
        <v>45793</v>
      </c>
      <c r="C235" s="1" t="n">
        <v>46203</v>
      </c>
      <c r="D235" t="inlineStr">
        <is>
          <t>JÖNKÖPINGS LÄN</t>
        </is>
      </c>
      <c r="E235" t="inlineStr">
        <is>
          <t>JÖNKÖPING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39443-2021</t>
        </is>
      </c>
      <c r="B236" s="1" t="n">
        <v>44414</v>
      </c>
      <c r="C236" s="1" t="n">
        <v>46203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58351-2022</t>
        </is>
      </c>
      <c r="B237" s="1" t="n">
        <v>44893</v>
      </c>
      <c r="C237" s="1" t="n">
        <v>46203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14225-2025</t>
        </is>
      </c>
      <c r="B238" s="1" t="n">
        <v>45740</v>
      </c>
      <c r="C238" s="1" t="n">
        <v>46203</v>
      </c>
      <c r="D238" t="inlineStr">
        <is>
          <t>JÖNKÖPINGS LÄN</t>
        </is>
      </c>
      <c r="E238" t="inlineStr">
        <is>
          <t>JÖNKÖPING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11561-2025</t>
        </is>
      </c>
      <c r="B239" s="1" t="n">
        <v>45727</v>
      </c>
      <c r="C239" s="1" t="n">
        <v>46203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13144-2025</t>
        </is>
      </c>
      <c r="B240" s="1" t="n">
        <v>45735</v>
      </c>
      <c r="C240" s="1" t="n">
        <v>46203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56441-2023</t>
        </is>
      </c>
      <c r="B241" s="1" t="n">
        <v>45243</v>
      </c>
      <c r="C241" s="1" t="n">
        <v>46203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11557-2025</t>
        </is>
      </c>
      <c r="B242" s="1" t="n">
        <v>45727</v>
      </c>
      <c r="C242" s="1" t="n">
        <v>46203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11560-2025</t>
        </is>
      </c>
      <c r="B243" s="1" t="n">
        <v>45727</v>
      </c>
      <c r="C243" s="1" t="n">
        <v>46203</v>
      </c>
      <c r="D243" t="inlineStr">
        <is>
          <t>JÖNKÖPINGS LÄN</t>
        </is>
      </c>
      <c r="E243" t="inlineStr">
        <is>
          <t>JÖNKÖPING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31383-2023</t>
        </is>
      </c>
      <c r="B244" s="1" t="n">
        <v>45114</v>
      </c>
      <c r="C244" s="1" t="n">
        <v>46203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54769-2025</t>
        </is>
      </c>
      <c r="B245" s="1" t="n">
        <v>45966</v>
      </c>
      <c r="C245" s="1" t="n">
        <v>46203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42358-2025</t>
        </is>
      </c>
      <c r="B246" s="1" t="n">
        <v>45905</v>
      </c>
      <c r="C246" s="1" t="n">
        <v>46203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12933-2025</t>
        </is>
      </c>
      <c r="B247" s="1" t="n">
        <v>45734</v>
      </c>
      <c r="C247" s="1" t="n">
        <v>46203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43668-2022</t>
        </is>
      </c>
      <c r="B248" s="1" t="n">
        <v>44837</v>
      </c>
      <c r="C248" s="1" t="n">
        <v>46203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54727-2025</t>
        </is>
      </c>
      <c r="B249" s="1" t="n">
        <v>45966</v>
      </c>
      <c r="C249" s="1" t="n">
        <v>46203</v>
      </c>
      <c r="D249" t="inlineStr">
        <is>
          <t>JÖNKÖPINGS LÄN</t>
        </is>
      </c>
      <c r="E249" t="inlineStr">
        <is>
          <t>JÖNKÖPING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54753-2025</t>
        </is>
      </c>
      <c r="B250" s="1" t="n">
        <v>45966</v>
      </c>
      <c r="C250" s="1" t="n">
        <v>46203</v>
      </c>
      <c r="D250" t="inlineStr">
        <is>
          <t>JÖNKÖPINGS LÄN</t>
        </is>
      </c>
      <c r="E250" t="inlineStr">
        <is>
          <t>JÖNKÖPING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28305-2024</t>
        </is>
      </c>
      <c r="B251" s="1" t="n">
        <v>45477</v>
      </c>
      <c r="C251" s="1" t="n">
        <v>46203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54306-2025</t>
        </is>
      </c>
      <c r="B252" s="1" t="n">
        <v>45965</v>
      </c>
      <c r="C252" s="1" t="n">
        <v>46203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54774-2025</t>
        </is>
      </c>
      <c r="B253" s="1" t="n">
        <v>45966</v>
      </c>
      <c r="C253" s="1" t="n">
        <v>46203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54654-2025</t>
        </is>
      </c>
      <c r="B254" s="1" t="n">
        <v>45966</v>
      </c>
      <c r="C254" s="1" t="n">
        <v>46203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2650-2024</t>
        </is>
      </c>
      <c r="B255" s="1" t="n">
        <v>45314</v>
      </c>
      <c r="C255" s="1" t="n">
        <v>46203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55198-2025</t>
        </is>
      </c>
      <c r="B256" s="1" t="n">
        <v>45968</v>
      </c>
      <c r="C256" s="1" t="n">
        <v>46203</v>
      </c>
      <c r="D256" t="inlineStr">
        <is>
          <t>JÖNKÖPINGS LÄN</t>
        </is>
      </c>
      <c r="E256" t="inlineStr">
        <is>
          <t>JÖNKÖPING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42923-2025</t>
        </is>
      </c>
      <c r="B257" s="1" t="n">
        <v>45908</v>
      </c>
      <c r="C257" s="1" t="n">
        <v>46203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42925-2025</t>
        </is>
      </c>
      <c r="B258" s="1" t="n">
        <v>45908</v>
      </c>
      <c r="C258" s="1" t="n">
        <v>46203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42922-2025</t>
        </is>
      </c>
      <c r="B259" s="1" t="n">
        <v>45908</v>
      </c>
      <c r="C259" s="1" t="n">
        <v>46203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42924-2025</t>
        </is>
      </c>
      <c r="B260" s="1" t="n">
        <v>45908</v>
      </c>
      <c r="C260" s="1" t="n">
        <v>46203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5641-2025</t>
        </is>
      </c>
      <c r="B261" s="1" t="n">
        <v>45693</v>
      </c>
      <c r="C261" s="1" t="n">
        <v>46203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11255-2023</t>
        </is>
      </c>
      <c r="B262" s="1" t="n">
        <v>44992</v>
      </c>
      <c r="C262" s="1" t="n">
        <v>46203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56248-2025</t>
        </is>
      </c>
      <c r="B263" s="1" t="n">
        <v>45974</v>
      </c>
      <c r="C263" s="1" t="n">
        <v>46203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56251-2025</t>
        </is>
      </c>
      <c r="B264" s="1" t="n">
        <v>45974</v>
      </c>
      <c r="C264" s="1" t="n">
        <v>46203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56262-2025</t>
        </is>
      </c>
      <c r="B265" s="1" t="n">
        <v>45974</v>
      </c>
      <c r="C265" s="1" t="n">
        <v>46203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26274-2025</t>
        </is>
      </c>
      <c r="B266" s="1" t="n">
        <v>45805</v>
      </c>
      <c r="C266" s="1" t="n">
        <v>46203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56292-2025</t>
        </is>
      </c>
      <c r="B267" s="1" t="n">
        <v>45974</v>
      </c>
      <c r="C267" s="1" t="n">
        <v>46203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26358-2025</t>
        </is>
      </c>
      <c r="B268" s="1" t="n">
        <v>45806</v>
      </c>
      <c r="C268" s="1" t="n">
        <v>46203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26279-2025</t>
        </is>
      </c>
      <c r="B269" s="1" t="n">
        <v>45805</v>
      </c>
      <c r="C269" s="1" t="n">
        <v>46203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56285-2025</t>
        </is>
      </c>
      <c r="B270" s="1" t="n">
        <v>45974</v>
      </c>
      <c r="C270" s="1" t="n">
        <v>46203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56338-2025</t>
        </is>
      </c>
      <c r="B271" s="1" t="n">
        <v>45974</v>
      </c>
      <c r="C271" s="1" t="n">
        <v>46203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56327-2025</t>
        </is>
      </c>
      <c r="B272" s="1" t="n">
        <v>45974</v>
      </c>
      <c r="C272" s="1" t="n">
        <v>46203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56345-2025</t>
        </is>
      </c>
      <c r="B273" s="1" t="n">
        <v>45974</v>
      </c>
      <c r="C273" s="1" t="n">
        <v>46203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42073-2025</t>
        </is>
      </c>
      <c r="B274" s="1" t="n">
        <v>45902</v>
      </c>
      <c r="C274" s="1" t="n">
        <v>46203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23788-2024</t>
        </is>
      </c>
      <c r="B275" s="1" t="n">
        <v>45455</v>
      </c>
      <c r="C275" s="1" t="n">
        <v>46203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23794-2024</t>
        </is>
      </c>
      <c r="B276" s="1" t="n">
        <v>45455</v>
      </c>
      <c r="C276" s="1" t="n">
        <v>46203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56408-2025</t>
        </is>
      </c>
      <c r="B277" s="1" t="n">
        <v>45975</v>
      </c>
      <c r="C277" s="1" t="n">
        <v>46203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44775-2025</t>
        </is>
      </c>
      <c r="B278" s="1" t="n">
        <v>45917</v>
      </c>
      <c r="C278" s="1" t="n">
        <v>46203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49836-2024</t>
        </is>
      </c>
      <c r="B279" s="1" t="n">
        <v>45597</v>
      </c>
      <c r="C279" s="1" t="n">
        <v>46203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56781-2025</t>
        </is>
      </c>
      <c r="B280" s="1" t="n">
        <v>45978</v>
      </c>
      <c r="C280" s="1" t="n">
        <v>46203</v>
      </c>
      <c r="D280" t="inlineStr">
        <is>
          <t>JÖNKÖPINGS LÄN</t>
        </is>
      </c>
      <c r="E280" t="inlineStr">
        <is>
          <t>JÖNKÖPING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27134-2025</t>
        </is>
      </c>
      <c r="B281" s="1" t="n">
        <v>45811</v>
      </c>
      <c r="C281" s="1" t="n">
        <v>46203</v>
      </c>
      <c r="D281" t="inlineStr">
        <is>
          <t>JÖNKÖPINGS LÄN</t>
        </is>
      </c>
      <c r="E281" t="inlineStr">
        <is>
          <t>JÖNKÖPING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5901-2023</t>
        </is>
      </c>
      <c r="B282" s="1" t="n">
        <v>44963</v>
      </c>
      <c r="C282" s="1" t="n">
        <v>46203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57090-2025</t>
        </is>
      </c>
      <c r="B283" s="1" t="n">
        <v>45979</v>
      </c>
      <c r="C283" s="1" t="n">
        <v>46203</v>
      </c>
      <c r="D283" t="inlineStr">
        <is>
          <t>JÖNKÖPINGS LÄN</t>
        </is>
      </c>
      <c r="E283" t="inlineStr">
        <is>
          <t>JÖNKÖPING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60557-2024</t>
        </is>
      </c>
      <c r="B284" s="1" t="n">
        <v>45643</v>
      </c>
      <c r="C284" s="1" t="n">
        <v>46203</v>
      </c>
      <c r="D284" t="inlineStr">
        <is>
          <t>JÖNKÖPINGS LÄN</t>
        </is>
      </c>
      <c r="E284" t="inlineStr">
        <is>
          <t>JÖNKÖPING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46374-2025</t>
        </is>
      </c>
      <c r="B285" s="1" t="n">
        <v>45925</v>
      </c>
      <c r="C285" s="1" t="n">
        <v>46203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42053-2024</t>
        </is>
      </c>
      <c r="B286" s="1" t="n">
        <v>45561</v>
      </c>
      <c r="C286" s="1" t="n">
        <v>46203</v>
      </c>
      <c r="D286" t="inlineStr">
        <is>
          <t>JÖNKÖPINGS LÄN</t>
        </is>
      </c>
      <c r="E286" t="inlineStr">
        <is>
          <t>JÖNKÖPING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47009-2025</t>
        </is>
      </c>
      <c r="B287" s="1" t="n">
        <v>45929</v>
      </c>
      <c r="C287" s="1" t="n">
        <v>46203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28556-2025</t>
        </is>
      </c>
      <c r="B288" s="1" t="n">
        <v>45819</v>
      </c>
      <c r="C288" s="1" t="n">
        <v>46203</v>
      </c>
      <c r="D288" t="inlineStr">
        <is>
          <t>JÖNKÖPINGS LÄN</t>
        </is>
      </c>
      <c r="E288" t="inlineStr">
        <is>
          <t>JÖNKÖPING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59017-2025</t>
        </is>
      </c>
      <c r="B289" s="1" t="n">
        <v>45988</v>
      </c>
      <c r="C289" s="1" t="n">
        <v>46203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48038-2021</t>
        </is>
      </c>
      <c r="B290" s="1" t="n">
        <v>44449</v>
      </c>
      <c r="C290" s="1" t="n">
        <v>46203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9462-2024</t>
        </is>
      </c>
      <c r="B291" s="1" t="n">
        <v>45359</v>
      </c>
      <c r="C291" s="1" t="n">
        <v>46203</v>
      </c>
      <c r="D291" t="inlineStr">
        <is>
          <t>JÖNKÖPINGS LÄN</t>
        </is>
      </c>
      <c r="E291" t="inlineStr">
        <is>
          <t>JÖNKÖPING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30217-2025</t>
        </is>
      </c>
      <c r="B292" s="1" t="n">
        <v>45826</v>
      </c>
      <c r="C292" s="1" t="n">
        <v>46203</v>
      </c>
      <c r="D292" t="inlineStr">
        <is>
          <t>JÖNKÖPINGS LÄN</t>
        </is>
      </c>
      <c r="E292" t="inlineStr">
        <is>
          <t>JÖNKÖPING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35949-2024</t>
        </is>
      </c>
      <c r="B293" s="1" t="n">
        <v>45533</v>
      </c>
      <c r="C293" s="1" t="n">
        <v>46203</v>
      </c>
      <c r="D293" t="inlineStr">
        <is>
          <t>JÖNKÖPINGS LÄN</t>
        </is>
      </c>
      <c r="E293" t="inlineStr">
        <is>
          <t>JÖNKÖPING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37003-2024</t>
        </is>
      </c>
      <c r="B294" s="1" t="n">
        <v>45539</v>
      </c>
      <c r="C294" s="1" t="n">
        <v>46203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25076-2024</t>
        </is>
      </c>
      <c r="B295" s="1" t="n">
        <v>45462</v>
      </c>
      <c r="C295" s="1" t="n">
        <v>46203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31046-2024</t>
        </is>
      </c>
      <c r="B296" s="1" t="n">
        <v>45502</v>
      </c>
      <c r="C296" s="1" t="n">
        <v>46203</v>
      </c>
      <c r="D296" t="inlineStr">
        <is>
          <t>JÖNKÖPINGS LÄN</t>
        </is>
      </c>
      <c r="E296" t="inlineStr">
        <is>
          <t>JÖNKÖPING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31048-2024</t>
        </is>
      </c>
      <c r="B297" s="1" t="n">
        <v>45502</v>
      </c>
      <c r="C297" s="1" t="n">
        <v>46203</v>
      </c>
      <c r="D297" t="inlineStr">
        <is>
          <t>JÖNKÖPINGS LÄN</t>
        </is>
      </c>
      <c r="E297" t="inlineStr">
        <is>
          <t>JÖNKÖPING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60569-2025</t>
        </is>
      </c>
      <c r="B298" s="1" t="n">
        <v>45995</v>
      </c>
      <c r="C298" s="1" t="n">
        <v>46203</v>
      </c>
      <c r="D298" t="inlineStr">
        <is>
          <t>JÖNKÖPINGS LÄN</t>
        </is>
      </c>
      <c r="E298" t="inlineStr">
        <is>
          <t>JÖNKÖPING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47314-2022</t>
        </is>
      </c>
      <c r="B299" s="1" t="n">
        <v>44853</v>
      </c>
      <c r="C299" s="1" t="n">
        <v>46203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61236-2025</t>
        </is>
      </c>
      <c r="B300" s="1" t="n">
        <v>46000</v>
      </c>
      <c r="C300" s="1" t="n">
        <v>46203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35109-2023</t>
        </is>
      </c>
      <c r="B301" s="1" t="n">
        <v>45145</v>
      </c>
      <c r="C301" s="1" t="n">
        <v>46203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58559-2021</t>
        </is>
      </c>
      <c r="B302" s="1" t="n">
        <v>44488</v>
      </c>
      <c r="C302" s="1" t="n">
        <v>46203</v>
      </c>
      <c r="D302" t="inlineStr">
        <is>
          <t>JÖNKÖPINGS LÄN</t>
        </is>
      </c>
      <c r="E302" t="inlineStr">
        <is>
          <t>JÖNKÖPING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6634-2023</t>
        </is>
      </c>
      <c r="B303" s="1" t="n">
        <v>44966</v>
      </c>
      <c r="C303" s="1" t="n">
        <v>46203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1306-2023</t>
        </is>
      </c>
      <c r="B304" s="1" t="n">
        <v>44936</v>
      </c>
      <c r="C304" s="1" t="n">
        <v>46203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38854-2021</t>
        </is>
      </c>
      <c r="B305" s="1" t="n">
        <v>44411</v>
      </c>
      <c r="C305" s="1" t="n">
        <v>46203</v>
      </c>
      <c r="D305" t="inlineStr">
        <is>
          <t>JÖNKÖPINGS LÄN</t>
        </is>
      </c>
      <c r="E305" t="inlineStr">
        <is>
          <t>JÖNKÖPING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48305-2022</t>
        </is>
      </c>
      <c r="B306" s="1" t="n">
        <v>44853</v>
      </c>
      <c r="C306" s="1" t="n">
        <v>46203</v>
      </c>
      <c r="D306" t="inlineStr">
        <is>
          <t>JÖNKÖPINGS LÄN</t>
        </is>
      </c>
      <c r="E306" t="inlineStr">
        <is>
          <t>JÖNKÖPING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33849-2025</t>
        </is>
      </c>
      <c r="B307" s="1" t="n">
        <v>45842</v>
      </c>
      <c r="C307" s="1" t="n">
        <v>46203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33850-2025</t>
        </is>
      </c>
      <c r="B308" s="1" t="n">
        <v>45842</v>
      </c>
      <c r="C308" s="1" t="n">
        <v>46203</v>
      </c>
      <c r="D308" t="inlineStr">
        <is>
          <t>JÖNKÖPINGS LÄN</t>
        </is>
      </c>
      <c r="E308" t="inlineStr">
        <is>
          <t>JÖNKÖPING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33846-2025</t>
        </is>
      </c>
      <c r="B309" s="1" t="n">
        <v>45842</v>
      </c>
      <c r="C309" s="1" t="n">
        <v>46203</v>
      </c>
      <c r="D309" t="inlineStr">
        <is>
          <t>JÖNKÖPINGS LÄN</t>
        </is>
      </c>
      <c r="E309" t="inlineStr">
        <is>
          <t>JÖNKÖPING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34605-2025</t>
        </is>
      </c>
      <c r="B310" s="1" t="n">
        <v>45846</v>
      </c>
      <c r="C310" s="1" t="n">
        <v>46203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40163-2023</t>
        </is>
      </c>
      <c r="B311" s="1" t="n">
        <v>45169</v>
      </c>
      <c r="C311" s="1" t="n">
        <v>46203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34600-2025</t>
        </is>
      </c>
      <c r="B312" s="1" t="n">
        <v>45846</v>
      </c>
      <c r="C312" s="1" t="n">
        <v>46203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17363-2025</t>
        </is>
      </c>
      <c r="B313" s="1" t="n">
        <v>45756</v>
      </c>
      <c r="C313" s="1" t="n">
        <v>46203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24329-2025</t>
        </is>
      </c>
      <c r="B314" s="1" t="n">
        <v>45797</v>
      </c>
      <c r="C314" s="1" t="n">
        <v>46203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47401-2024</t>
        </is>
      </c>
      <c r="B315" s="1" t="n">
        <v>45587</v>
      </c>
      <c r="C315" s="1" t="n">
        <v>46203</v>
      </c>
      <c r="D315" t="inlineStr">
        <is>
          <t>JÖNKÖPINGS LÄN</t>
        </is>
      </c>
      <c r="E315" t="inlineStr">
        <is>
          <t>JÖNKÖPING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982-2023</t>
        </is>
      </c>
      <c r="B316" s="1" t="n">
        <v>44935</v>
      </c>
      <c r="C316" s="1" t="n">
        <v>46203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62486-2025</t>
        </is>
      </c>
      <c r="B317" s="1" t="n">
        <v>46007</v>
      </c>
      <c r="C317" s="1" t="n">
        <v>46203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63119-2025</t>
        </is>
      </c>
      <c r="B318" s="1" t="n">
        <v>46009</v>
      </c>
      <c r="C318" s="1" t="n">
        <v>46203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63127-2025</t>
        </is>
      </c>
      <c r="B319" s="1" t="n">
        <v>46009</v>
      </c>
      <c r="C319" s="1" t="n">
        <v>46203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63126-2025</t>
        </is>
      </c>
      <c r="B320" s="1" t="n">
        <v>46009</v>
      </c>
      <c r="C320" s="1" t="n">
        <v>46203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63125-2025</t>
        </is>
      </c>
      <c r="B321" s="1" t="n">
        <v>46009</v>
      </c>
      <c r="C321" s="1" t="n">
        <v>46203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63346-2025</t>
        </is>
      </c>
      <c r="B322" s="1" t="n">
        <v>46010</v>
      </c>
      <c r="C322" s="1" t="n">
        <v>46203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62876-2025</t>
        </is>
      </c>
      <c r="B323" s="1" t="n">
        <v>46008</v>
      </c>
      <c r="C323" s="1" t="n">
        <v>46203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63076-2025</t>
        </is>
      </c>
      <c r="B324" s="1" t="n">
        <v>46009</v>
      </c>
      <c r="C324" s="1" t="n">
        <v>46203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53282-2025</t>
        </is>
      </c>
      <c r="B325" s="1" t="n">
        <v>45958</v>
      </c>
      <c r="C325" s="1" t="n">
        <v>46203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63563-2025</t>
        </is>
      </c>
      <c r="B326" s="1" t="n">
        <v>46013</v>
      </c>
      <c r="C326" s="1" t="n">
        <v>46203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63432-2025</t>
        </is>
      </c>
      <c r="B327" s="1" t="n">
        <v>46013</v>
      </c>
      <c r="C327" s="1" t="n">
        <v>46203</v>
      </c>
      <c r="D327" t="inlineStr">
        <is>
          <t>JÖNKÖPINGS LÄN</t>
        </is>
      </c>
      <c r="E327" t="inlineStr">
        <is>
          <t>JÖNKÖPING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63564-2025</t>
        </is>
      </c>
      <c r="B328" s="1" t="n">
        <v>46013</v>
      </c>
      <c r="C328" s="1" t="n">
        <v>46203</v>
      </c>
      <c r="D328" t="inlineStr">
        <is>
          <t>JÖNKÖPINGS LÄN</t>
        </is>
      </c>
      <c r="E328" t="inlineStr">
        <is>
          <t>JÖNKÖPING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63577-2025</t>
        </is>
      </c>
      <c r="B329" s="1" t="n">
        <v>46013</v>
      </c>
      <c r="C329" s="1" t="n">
        <v>46203</v>
      </c>
      <c r="D329" t="inlineStr">
        <is>
          <t>JÖNKÖPINGS LÄN</t>
        </is>
      </c>
      <c r="E329" t="inlineStr">
        <is>
          <t>JÖNKÖPING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14397-2023</t>
        </is>
      </c>
      <c r="B330" s="1" t="n">
        <v>45012</v>
      </c>
      <c r="C330" s="1" t="n">
        <v>46203</v>
      </c>
      <c r="D330" t="inlineStr">
        <is>
          <t>JÖNKÖPINGS LÄN</t>
        </is>
      </c>
      <c r="E330" t="inlineStr">
        <is>
          <t>JÖNKÖPING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57095-2021</t>
        </is>
      </c>
      <c r="B331" s="1" t="n">
        <v>44482</v>
      </c>
      <c r="C331" s="1" t="n">
        <v>46203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63452-2025</t>
        </is>
      </c>
      <c r="B332" s="1" t="n">
        <v>46013</v>
      </c>
      <c r="C332" s="1" t="n">
        <v>46203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63540-2025</t>
        </is>
      </c>
      <c r="B333" s="1" t="n">
        <v>46013</v>
      </c>
      <c r="C333" s="1" t="n">
        <v>46203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63542-2025</t>
        </is>
      </c>
      <c r="B334" s="1" t="n">
        <v>46013</v>
      </c>
      <c r="C334" s="1" t="n">
        <v>46203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63435-2025</t>
        </is>
      </c>
      <c r="B335" s="1" t="n">
        <v>46013</v>
      </c>
      <c r="C335" s="1" t="n">
        <v>46203</v>
      </c>
      <c r="D335" t="inlineStr">
        <is>
          <t>JÖNKÖPINGS LÄN</t>
        </is>
      </c>
      <c r="E335" t="inlineStr">
        <is>
          <t>JÖNKÖPING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40609-2024</t>
        </is>
      </c>
      <c r="B336" s="1" t="n">
        <v>45557</v>
      </c>
      <c r="C336" s="1" t="n">
        <v>46203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58437-2024</t>
        </is>
      </c>
      <c r="B337" s="1" t="n">
        <v>45635</v>
      </c>
      <c r="C337" s="1" t="n">
        <v>46203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282-2024</t>
        </is>
      </c>
      <c r="B338" s="1" t="n">
        <v>45295</v>
      </c>
      <c r="C338" s="1" t="n">
        <v>46203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16500-2025</t>
        </is>
      </c>
      <c r="B339" s="1" t="n">
        <v>45751</v>
      </c>
      <c r="C339" s="1" t="n">
        <v>46203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57509-2024</t>
        </is>
      </c>
      <c r="B340" s="1" t="n">
        <v>45630</v>
      </c>
      <c r="C340" s="1" t="n">
        <v>46203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7033-2025</t>
        </is>
      </c>
      <c r="B341" s="1" t="n">
        <v>45701</v>
      </c>
      <c r="C341" s="1" t="n">
        <v>46203</v>
      </c>
      <c r="D341" t="inlineStr">
        <is>
          <t>JÖNKÖPINGS LÄN</t>
        </is>
      </c>
      <c r="E341" t="inlineStr">
        <is>
          <t>JÖNKÖPING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22541-2025</t>
        </is>
      </c>
      <c r="B342" s="1" t="n">
        <v>45788</v>
      </c>
      <c r="C342" s="1" t="n">
        <v>46203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228-2026</t>
        </is>
      </c>
      <c r="B343" s="1" t="n">
        <v>46026</v>
      </c>
      <c r="C343" s="1" t="n">
        <v>46203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229-2026</t>
        </is>
      </c>
      <c r="B344" s="1" t="n">
        <v>46026</v>
      </c>
      <c r="C344" s="1" t="n">
        <v>46203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54899-2024</t>
        </is>
      </c>
      <c r="B345" s="1" t="n">
        <v>45618</v>
      </c>
      <c r="C345" s="1" t="n">
        <v>46203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17307-2024</t>
        </is>
      </c>
      <c r="B346" s="1" t="n">
        <v>45414</v>
      </c>
      <c r="C346" s="1" t="n">
        <v>46203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4505-2022</t>
        </is>
      </c>
      <c r="B347" s="1" t="n">
        <v>44589</v>
      </c>
      <c r="C347" s="1" t="n">
        <v>46203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35820-2025</t>
        </is>
      </c>
      <c r="B348" s="1" t="n">
        <v>45861</v>
      </c>
      <c r="C348" s="1" t="n">
        <v>46203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56569-2022</t>
        </is>
      </c>
      <c r="B349" s="1" t="n">
        <v>44893</v>
      </c>
      <c r="C349" s="1" t="n">
        <v>46203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38258-2024</t>
        </is>
      </c>
      <c r="B350" s="1" t="n">
        <v>45545</v>
      </c>
      <c r="C350" s="1" t="n">
        <v>46203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831-2026</t>
        </is>
      </c>
      <c r="B351" s="1" t="n">
        <v>46030</v>
      </c>
      <c r="C351" s="1" t="n">
        <v>46203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685-2026</t>
        </is>
      </c>
      <c r="B352" s="1" t="n">
        <v>46029</v>
      </c>
      <c r="C352" s="1" t="n">
        <v>46203</v>
      </c>
      <c r="D352" t="inlineStr">
        <is>
          <t>JÖNKÖPINGS LÄN</t>
        </is>
      </c>
      <c r="E352" t="inlineStr">
        <is>
          <t>JÖNKÖPING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1241-2026</t>
        </is>
      </c>
      <c r="B353" s="1" t="n">
        <v>46031</v>
      </c>
      <c r="C353" s="1" t="n">
        <v>46203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1244-2026</t>
        </is>
      </c>
      <c r="B354" s="1" t="n">
        <v>46031</v>
      </c>
      <c r="C354" s="1" t="n">
        <v>46203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36618-2025</t>
        </is>
      </c>
      <c r="B355" s="1" t="n">
        <v>45870</v>
      </c>
      <c r="C355" s="1" t="n">
        <v>46203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22542-2025</t>
        </is>
      </c>
      <c r="B356" s="1" t="n">
        <v>45788</v>
      </c>
      <c r="C356" s="1" t="n">
        <v>46203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36944-2024</t>
        </is>
      </c>
      <c r="B357" s="1" t="n">
        <v>45538</v>
      </c>
      <c r="C357" s="1" t="n">
        <v>46203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1867-2026</t>
        </is>
      </c>
      <c r="B358" s="1" t="n">
        <v>46035</v>
      </c>
      <c r="C358" s="1" t="n">
        <v>46203</v>
      </c>
      <c r="D358" t="inlineStr">
        <is>
          <t>JÖNKÖPINGS LÄN</t>
        </is>
      </c>
      <c r="E358" t="inlineStr">
        <is>
          <t>JÖNKÖPING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61638-2024</t>
        </is>
      </c>
      <c r="B359" s="1" t="n">
        <v>45646</v>
      </c>
      <c r="C359" s="1" t="n">
        <v>46203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13632-2022</t>
        </is>
      </c>
      <c r="B360" s="1" t="n">
        <v>44648</v>
      </c>
      <c r="C360" s="1" t="n">
        <v>46203</v>
      </c>
      <c r="D360" t="inlineStr">
        <is>
          <t>JÖNKÖPINGS LÄN</t>
        </is>
      </c>
      <c r="E360" t="inlineStr">
        <is>
          <t>JÖNKÖPING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12938-2025</t>
        </is>
      </c>
      <c r="B361" s="1" t="n">
        <v>45734</v>
      </c>
      <c r="C361" s="1" t="n">
        <v>46203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2038-2026</t>
        </is>
      </c>
      <c r="B362" s="1" t="n">
        <v>46035</v>
      </c>
      <c r="C362" s="1" t="n">
        <v>46203</v>
      </c>
      <c r="D362" t="inlineStr">
        <is>
          <t>JÖNKÖPINGS LÄN</t>
        </is>
      </c>
      <c r="E362" t="inlineStr">
        <is>
          <t>JÖNKÖPING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2879-2026</t>
        </is>
      </c>
      <c r="B363" s="1" t="n">
        <v>46038</v>
      </c>
      <c r="C363" s="1" t="n">
        <v>46203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37149-2025</t>
        </is>
      </c>
      <c r="B364" s="1" t="n">
        <v>45875</v>
      </c>
      <c r="C364" s="1" t="n">
        <v>46203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3325-2026</t>
        </is>
      </c>
      <c r="B365" s="1" t="n">
        <v>46041</v>
      </c>
      <c r="C365" s="1" t="n">
        <v>46203</v>
      </c>
      <c r="D365" t="inlineStr">
        <is>
          <t>JÖNKÖPINGS LÄN</t>
        </is>
      </c>
      <c r="E365" t="inlineStr">
        <is>
          <t>JÖNKÖPING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3233-2026</t>
        </is>
      </c>
      <c r="B366" s="1" t="n">
        <v>46041</v>
      </c>
      <c r="C366" s="1" t="n">
        <v>46203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3238-2026</t>
        </is>
      </c>
      <c r="B367" s="1" t="n">
        <v>46041</v>
      </c>
      <c r="C367" s="1" t="n">
        <v>46203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37617-2025</t>
        </is>
      </c>
      <c r="B368" s="1" t="n">
        <v>45880</v>
      </c>
      <c r="C368" s="1" t="n">
        <v>46203</v>
      </c>
      <c r="D368" t="inlineStr">
        <is>
          <t>JÖNKÖPINGS LÄN</t>
        </is>
      </c>
      <c r="E368" t="inlineStr">
        <is>
          <t>JÖNKÖPING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4143-2026</t>
        </is>
      </c>
      <c r="B369" s="1" t="n">
        <v>46044</v>
      </c>
      <c r="C369" s="1" t="n">
        <v>46203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7425-2026</t>
        </is>
      </c>
      <c r="B370" s="1" t="n">
        <v>46059</v>
      </c>
      <c r="C370" s="1" t="n">
        <v>46203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4167-2026</t>
        </is>
      </c>
      <c r="B371" s="1" t="n">
        <v>46044</v>
      </c>
      <c r="C371" s="1" t="n">
        <v>46203</v>
      </c>
      <c r="D371" t="inlineStr">
        <is>
          <t>JÖNKÖPINGS LÄN</t>
        </is>
      </c>
      <c r="E371" t="inlineStr">
        <is>
          <t>JÖNKÖPING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73003-2021</t>
        </is>
      </c>
      <c r="B372" s="1" t="n">
        <v>44550</v>
      </c>
      <c r="C372" s="1" t="n">
        <v>46203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3667-2026</t>
        </is>
      </c>
      <c r="B373" s="1" t="n">
        <v>46043</v>
      </c>
      <c r="C373" s="1" t="n">
        <v>46203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4150-2026</t>
        </is>
      </c>
      <c r="B374" s="1" t="n">
        <v>46044</v>
      </c>
      <c r="C374" s="1" t="n">
        <v>46203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3691-2026</t>
        </is>
      </c>
      <c r="B375" s="1" t="n">
        <v>46043</v>
      </c>
      <c r="C375" s="1" t="n">
        <v>46203</v>
      </c>
      <c r="D375" t="inlineStr">
        <is>
          <t>JÖNKÖPINGS LÄN</t>
        </is>
      </c>
      <c r="E375" t="inlineStr">
        <is>
          <t>JÖNKÖPING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4503-2022</t>
        </is>
      </c>
      <c r="B376" s="1" t="n">
        <v>44589</v>
      </c>
      <c r="C376" s="1" t="n">
        <v>46203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4579-2026</t>
        </is>
      </c>
      <c r="B377" s="1" t="n">
        <v>46048</v>
      </c>
      <c r="C377" s="1" t="n">
        <v>46203</v>
      </c>
      <c r="D377" t="inlineStr">
        <is>
          <t>JÖNKÖPINGS LÄN</t>
        </is>
      </c>
      <c r="E377" t="inlineStr">
        <is>
          <t>JÖNKÖPING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4577-2026</t>
        </is>
      </c>
      <c r="B378" s="1" t="n">
        <v>46048</v>
      </c>
      <c r="C378" s="1" t="n">
        <v>46203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4583-2026</t>
        </is>
      </c>
      <c r="B379" s="1" t="n">
        <v>46048</v>
      </c>
      <c r="C379" s="1" t="n">
        <v>46203</v>
      </c>
      <c r="D379" t="inlineStr">
        <is>
          <t>JÖNKÖPINGS LÄN</t>
        </is>
      </c>
      <c r="E379" t="inlineStr">
        <is>
          <t>JÖNKÖPING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74117-2021</t>
        </is>
      </c>
      <c r="B380" s="1" t="n">
        <v>44557</v>
      </c>
      <c r="C380" s="1" t="n">
        <v>46203</v>
      </c>
      <c r="D380" t="inlineStr">
        <is>
          <t>JÖNKÖPINGS LÄN</t>
        </is>
      </c>
      <c r="E380" t="inlineStr">
        <is>
          <t>JÖNKÖPING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59318-2022</t>
        </is>
      </c>
      <c r="B381" s="1" t="n">
        <v>44904</v>
      </c>
      <c r="C381" s="1" t="n">
        <v>46203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5062-2026</t>
        </is>
      </c>
      <c r="B382" s="1" t="n">
        <v>46048</v>
      </c>
      <c r="C382" s="1" t="n">
        <v>46203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Övriga Aktiebolag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26378-2022</t>
        </is>
      </c>
      <c r="B383" s="1" t="n">
        <v>44735</v>
      </c>
      <c r="C383" s="1" t="n">
        <v>46203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4575-2026</t>
        </is>
      </c>
      <c r="B384" s="1" t="n">
        <v>46048</v>
      </c>
      <c r="C384" s="1" t="n">
        <v>46203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4805-2026</t>
        </is>
      </c>
      <c r="B385" s="1" t="n">
        <v>46048</v>
      </c>
      <c r="C385" s="1" t="n">
        <v>46203</v>
      </c>
      <c r="D385" t="inlineStr">
        <is>
          <t>JÖNKÖPINGS LÄN</t>
        </is>
      </c>
      <c r="E385" t="inlineStr">
        <is>
          <t>JÖNKÖPING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2513-2023</t>
        </is>
      </c>
      <c r="B386" s="1" t="n">
        <v>44943</v>
      </c>
      <c r="C386" s="1" t="n">
        <v>46203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4581-2026</t>
        </is>
      </c>
      <c r="B387" s="1" t="n">
        <v>46048</v>
      </c>
      <c r="C387" s="1" t="n">
        <v>46203</v>
      </c>
      <c r="D387" t="inlineStr">
        <is>
          <t>JÖNKÖPINGS LÄN</t>
        </is>
      </c>
      <c r="E387" t="inlineStr">
        <is>
          <t>JÖNKÖPING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50293-2023</t>
        </is>
      </c>
      <c r="B388" s="1" t="n">
        <v>45216</v>
      </c>
      <c r="C388" s="1" t="n">
        <v>46203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5118-2026</t>
        </is>
      </c>
      <c r="B389" s="1" t="n">
        <v>46049</v>
      </c>
      <c r="C389" s="1" t="n">
        <v>46203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5332-2026</t>
        </is>
      </c>
      <c r="B390" s="1" t="n">
        <v>46050</v>
      </c>
      <c r="C390" s="1" t="n">
        <v>46203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5121-2026</t>
        </is>
      </c>
      <c r="B391" s="1" t="n">
        <v>46049</v>
      </c>
      <c r="C391" s="1" t="n">
        <v>46203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14227-2023</t>
        </is>
      </c>
      <c r="B392" s="1" t="n">
        <v>45009</v>
      </c>
      <c r="C392" s="1" t="n">
        <v>46203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6422-2026</t>
        </is>
      </c>
      <c r="B393" s="1" t="n">
        <v>46055</v>
      </c>
      <c r="C393" s="1" t="n">
        <v>46203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6423-2026</t>
        </is>
      </c>
      <c r="B394" s="1" t="n">
        <v>46055</v>
      </c>
      <c r="C394" s="1" t="n">
        <v>46203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6424-2026</t>
        </is>
      </c>
      <c r="B395" s="1" t="n">
        <v>46055</v>
      </c>
      <c r="C395" s="1" t="n">
        <v>46203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15407-2024</t>
        </is>
      </c>
      <c r="B396" s="1" t="n">
        <v>45401</v>
      </c>
      <c r="C396" s="1" t="n">
        <v>46203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6156-2026</t>
        </is>
      </c>
      <c r="B397" s="1" t="n">
        <v>46055</v>
      </c>
      <c r="C397" s="1" t="n">
        <v>46203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6167-2026</t>
        </is>
      </c>
      <c r="B398" s="1" t="n">
        <v>46055</v>
      </c>
      <c r="C398" s="1" t="n">
        <v>46203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6572-2026</t>
        </is>
      </c>
      <c r="B399" s="1" t="n">
        <v>46056</v>
      </c>
      <c r="C399" s="1" t="n">
        <v>46203</v>
      </c>
      <c r="D399" t="inlineStr">
        <is>
          <t>JÖNKÖPINGS LÄN</t>
        </is>
      </c>
      <c r="E399" t="inlineStr">
        <is>
          <t>JÖNKÖPING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42736-2024</t>
        </is>
      </c>
      <c r="B400" s="1" t="n">
        <v>45566</v>
      </c>
      <c r="C400" s="1" t="n">
        <v>46203</v>
      </c>
      <c r="D400" t="inlineStr">
        <is>
          <t>JÖNKÖPINGS LÄN</t>
        </is>
      </c>
      <c r="E400" t="inlineStr">
        <is>
          <t>JÖNKÖPING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29091-2023</t>
        </is>
      </c>
      <c r="B401" s="1" t="n">
        <v>45105</v>
      </c>
      <c r="C401" s="1" t="n">
        <v>46203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7442-2026</t>
        </is>
      </c>
      <c r="B402" s="1" t="n">
        <v>46059</v>
      </c>
      <c r="C402" s="1" t="n">
        <v>46203</v>
      </c>
      <c r="D402" t="inlineStr">
        <is>
          <t>JÖNKÖPINGS LÄN</t>
        </is>
      </c>
      <c r="E402" t="inlineStr">
        <is>
          <t>JÖNKÖPING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7492-2026</t>
        </is>
      </c>
      <c r="B403" s="1" t="n">
        <v>46059</v>
      </c>
      <c r="C403" s="1" t="n">
        <v>46203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7504-2026</t>
        </is>
      </c>
      <c r="B404" s="1" t="n">
        <v>46059</v>
      </c>
      <c r="C404" s="1" t="n">
        <v>46203</v>
      </c>
      <c r="D404" t="inlineStr">
        <is>
          <t>JÖNKÖPINGS LÄN</t>
        </is>
      </c>
      <c r="E404" t="inlineStr">
        <is>
          <t>JÖNKÖPING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7441-2026</t>
        </is>
      </c>
      <c r="B405" s="1" t="n">
        <v>46059</v>
      </c>
      <c r="C405" s="1" t="n">
        <v>46203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7494-2026</t>
        </is>
      </c>
      <c r="B406" s="1" t="n">
        <v>46059</v>
      </c>
      <c r="C406" s="1" t="n">
        <v>46203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7551-2026</t>
        </is>
      </c>
      <c r="B407" s="1" t="n">
        <v>46059</v>
      </c>
      <c r="C407" s="1" t="n">
        <v>46203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7552-2026</t>
        </is>
      </c>
      <c r="B408" s="1" t="n">
        <v>46059</v>
      </c>
      <c r="C408" s="1" t="n">
        <v>46203</v>
      </c>
      <c r="D408" t="inlineStr">
        <is>
          <t>JÖNKÖPINGS LÄN</t>
        </is>
      </c>
      <c r="E408" t="inlineStr">
        <is>
          <t>JÖNKÖPING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7823-2026</t>
        </is>
      </c>
      <c r="B409" s="1" t="n">
        <v>46062</v>
      </c>
      <c r="C409" s="1" t="n">
        <v>46203</v>
      </c>
      <c r="D409" t="inlineStr">
        <is>
          <t>JÖNKÖPINGS LÄN</t>
        </is>
      </c>
      <c r="E409" t="inlineStr">
        <is>
          <t>JÖNKÖPING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7817-2026</t>
        </is>
      </c>
      <c r="B410" s="1" t="n">
        <v>46062</v>
      </c>
      <c r="C410" s="1" t="n">
        <v>46203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7821-2026</t>
        </is>
      </c>
      <c r="B411" s="1" t="n">
        <v>46062</v>
      </c>
      <c r="C411" s="1" t="n">
        <v>46203</v>
      </c>
      <c r="D411" t="inlineStr">
        <is>
          <t>JÖNKÖPINGS LÄN</t>
        </is>
      </c>
      <c r="E411" t="inlineStr">
        <is>
          <t>JÖNKÖPING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7512-2026</t>
        </is>
      </c>
      <c r="B412" s="1" t="n">
        <v>46059</v>
      </c>
      <c r="C412" s="1" t="n">
        <v>46203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7999-2026</t>
        </is>
      </c>
      <c r="B413" s="1" t="n">
        <v>46062</v>
      </c>
      <c r="C413" s="1" t="n">
        <v>46203</v>
      </c>
      <c r="D413" t="inlineStr">
        <is>
          <t>JÖNKÖPINGS LÄN</t>
        </is>
      </c>
      <c r="E413" t="inlineStr">
        <is>
          <t>JÖNKÖPING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8004-2026</t>
        </is>
      </c>
      <c r="B414" s="1" t="n">
        <v>46063</v>
      </c>
      <c r="C414" s="1" t="n">
        <v>46203</v>
      </c>
      <c r="D414" t="inlineStr">
        <is>
          <t>JÖNKÖPINGS LÄN</t>
        </is>
      </c>
      <c r="E414" t="inlineStr">
        <is>
          <t>JÖNKÖPING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45406-2023</t>
        </is>
      </c>
      <c r="B415" s="1" t="n">
        <v>45194</v>
      </c>
      <c r="C415" s="1" t="n">
        <v>46203</v>
      </c>
      <c r="D415" t="inlineStr">
        <is>
          <t>JÖNKÖPINGS LÄN</t>
        </is>
      </c>
      <c r="E415" t="inlineStr">
        <is>
          <t>JÖNKÖPING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46462-2023</t>
        </is>
      </c>
      <c r="B416" s="1" t="n">
        <v>45197</v>
      </c>
      <c r="C416" s="1" t="n">
        <v>46203</v>
      </c>
      <c r="D416" t="inlineStr">
        <is>
          <t>JÖNKÖPINGS LÄN</t>
        </is>
      </c>
      <c r="E416" t="inlineStr">
        <is>
          <t>JÖNKÖPING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8072-2026</t>
        </is>
      </c>
      <c r="B417" s="1" t="n">
        <v>46063</v>
      </c>
      <c r="C417" s="1" t="n">
        <v>46203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16049-2023</t>
        </is>
      </c>
      <c r="B418" s="1" t="n">
        <v>45021</v>
      </c>
      <c r="C418" s="1" t="n">
        <v>46203</v>
      </c>
      <c r="D418" t="inlineStr">
        <is>
          <t>JÖNKÖPINGS LÄN</t>
        </is>
      </c>
      <c r="E418" t="inlineStr">
        <is>
          <t>JÖNKÖPING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4270-2026</t>
        </is>
      </c>
      <c r="B419" s="1" t="n">
        <v>46045</v>
      </c>
      <c r="C419" s="1" t="n">
        <v>46203</v>
      </c>
      <c r="D419" t="inlineStr">
        <is>
          <t>JÖNKÖPINGS LÄN</t>
        </is>
      </c>
      <c r="E419" t="inlineStr">
        <is>
          <t>JÖNKÖPING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3516-2023</t>
        </is>
      </c>
      <c r="B420" s="1" t="n">
        <v>44950</v>
      </c>
      <c r="C420" s="1" t="n">
        <v>46203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18574-2023</t>
        </is>
      </c>
      <c r="B421" s="1" t="n">
        <v>45043</v>
      </c>
      <c r="C421" s="1" t="n">
        <v>46203</v>
      </c>
      <c r="D421" t="inlineStr">
        <is>
          <t>JÖNKÖPINGS LÄN</t>
        </is>
      </c>
      <c r="E421" t="inlineStr">
        <is>
          <t>JÖNKÖPING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1756-2023</t>
        </is>
      </c>
      <c r="B422" s="1" t="n">
        <v>44938</v>
      </c>
      <c r="C422" s="1" t="n">
        <v>46203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9073-2026</t>
        </is>
      </c>
      <c r="B423" s="1" t="n">
        <v>46069</v>
      </c>
      <c r="C423" s="1" t="n">
        <v>46203</v>
      </c>
      <c r="D423" t="inlineStr">
        <is>
          <t>JÖNKÖPINGS LÄN</t>
        </is>
      </c>
      <c r="E423" t="inlineStr">
        <is>
          <t>JÖNKÖPING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9020-2026</t>
        </is>
      </c>
      <c r="B424" s="1" t="n">
        <v>46069</v>
      </c>
      <c r="C424" s="1" t="n">
        <v>46203</v>
      </c>
      <c r="D424" t="inlineStr">
        <is>
          <t>JÖNKÖPINGS LÄN</t>
        </is>
      </c>
      <c r="E424" t="inlineStr">
        <is>
          <t>JÖNKÖPING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8346-2023</t>
        </is>
      </c>
      <c r="B425" s="1" t="n">
        <v>44977</v>
      </c>
      <c r="C425" s="1" t="n">
        <v>46203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9067-2026</t>
        </is>
      </c>
      <c r="B426" s="1" t="n">
        <v>46069</v>
      </c>
      <c r="C426" s="1" t="n">
        <v>46203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9375-2026</t>
        </is>
      </c>
      <c r="B427" s="1" t="n">
        <v>46070</v>
      </c>
      <c r="C427" s="1" t="n">
        <v>46203</v>
      </c>
      <c r="D427" t="inlineStr">
        <is>
          <t>JÖNKÖPINGS LÄN</t>
        </is>
      </c>
      <c r="E427" t="inlineStr">
        <is>
          <t>JÖNKÖPING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2461-2023</t>
        </is>
      </c>
      <c r="B428" s="1" t="n">
        <v>44943</v>
      </c>
      <c r="C428" s="1" t="n">
        <v>46203</v>
      </c>
      <c r="D428" t="inlineStr">
        <is>
          <t>JÖNKÖPINGS LÄN</t>
        </is>
      </c>
      <c r="E428" t="inlineStr">
        <is>
          <t>JÖNKÖPING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2464-2023</t>
        </is>
      </c>
      <c r="B429" s="1" t="n">
        <v>44943</v>
      </c>
      <c r="C429" s="1" t="n">
        <v>46203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9374-2026</t>
        </is>
      </c>
      <c r="B430" s="1" t="n">
        <v>46070</v>
      </c>
      <c r="C430" s="1" t="n">
        <v>46203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9376-2026</t>
        </is>
      </c>
      <c r="B431" s="1" t="n">
        <v>46070</v>
      </c>
      <c r="C431" s="1" t="n">
        <v>46203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30578-2023</t>
        </is>
      </c>
      <c r="B432" s="1" t="n">
        <v>45112</v>
      </c>
      <c r="C432" s="1" t="n">
        <v>46203</v>
      </c>
      <c r="D432" t="inlineStr">
        <is>
          <t>JÖNKÖPINGS LÄN</t>
        </is>
      </c>
      <c r="E432" t="inlineStr">
        <is>
          <t>JÖNKÖPING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30580-2023</t>
        </is>
      </c>
      <c r="B433" s="1" t="n">
        <v>45112</v>
      </c>
      <c r="C433" s="1" t="n">
        <v>46203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1185-2023</t>
        </is>
      </c>
      <c r="B434" s="1" t="n">
        <v>44930</v>
      </c>
      <c r="C434" s="1" t="n">
        <v>46203</v>
      </c>
      <c r="D434" t="inlineStr">
        <is>
          <t>JÖNKÖPINGS LÄN</t>
        </is>
      </c>
      <c r="E434" t="inlineStr">
        <is>
          <t>JÖNKÖPING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6893-2025</t>
        </is>
      </c>
      <c r="B435" s="1" t="n">
        <v>45701</v>
      </c>
      <c r="C435" s="1" t="n">
        <v>46203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9926-2026</t>
        </is>
      </c>
      <c r="B436" s="1" t="n">
        <v>46073</v>
      </c>
      <c r="C436" s="1" t="n">
        <v>46203</v>
      </c>
      <c r="D436" t="inlineStr">
        <is>
          <t>JÖNKÖPINGS LÄN</t>
        </is>
      </c>
      <c r="E436" t="inlineStr">
        <is>
          <t>JÖNKÖPING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2066-2022</t>
        </is>
      </c>
      <c r="B437" s="1" t="n">
        <v>44575</v>
      </c>
      <c r="C437" s="1" t="n">
        <v>46203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3520-2023</t>
        </is>
      </c>
      <c r="B438" s="1" t="n">
        <v>44950</v>
      </c>
      <c r="C438" s="1" t="n">
        <v>46203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11066-2026</t>
        </is>
      </c>
      <c r="B439" s="1" t="n">
        <v>46079</v>
      </c>
      <c r="C439" s="1" t="n">
        <v>46203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10018-2024</t>
        </is>
      </c>
      <c r="B440" s="1" t="n">
        <v>45363</v>
      </c>
      <c r="C440" s="1" t="n">
        <v>46203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10074-2024</t>
        </is>
      </c>
      <c r="B441" s="1" t="n">
        <v>45364</v>
      </c>
      <c r="C441" s="1" t="n">
        <v>46203</v>
      </c>
      <c r="D441" t="inlineStr">
        <is>
          <t>JÖNKÖPINGS LÄN</t>
        </is>
      </c>
      <c r="E441" t="inlineStr">
        <is>
          <t>JÖNKÖPING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6601-2023</t>
        </is>
      </c>
      <c r="B442" s="1" t="n">
        <v>44966</v>
      </c>
      <c r="C442" s="1" t="n">
        <v>46203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42818-2023</t>
        </is>
      </c>
      <c r="B443" s="1" t="n">
        <v>45182</v>
      </c>
      <c r="C443" s="1" t="n">
        <v>46203</v>
      </c>
      <c r="D443" t="inlineStr">
        <is>
          <t>JÖNKÖPINGS LÄN</t>
        </is>
      </c>
      <c r="E443" t="inlineStr">
        <is>
          <t>JÖNKÖPING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10563-2023</t>
        </is>
      </c>
      <c r="B444" s="1" t="n">
        <v>44988</v>
      </c>
      <c r="C444" s="1" t="n">
        <v>46203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50192-2024</t>
        </is>
      </c>
      <c r="B445" s="1" t="n">
        <v>45600</v>
      </c>
      <c r="C445" s="1" t="n">
        <v>46203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50193-2024</t>
        </is>
      </c>
      <c r="B446" s="1" t="n">
        <v>45600</v>
      </c>
      <c r="C446" s="1" t="n">
        <v>46203</v>
      </c>
      <c r="D446" t="inlineStr">
        <is>
          <t>JÖNKÖPINGS LÄN</t>
        </is>
      </c>
      <c r="E446" t="inlineStr">
        <is>
          <t>JÖNKÖPING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18838-2025</t>
        </is>
      </c>
      <c r="B447" s="1" t="n">
        <v>45764</v>
      </c>
      <c r="C447" s="1" t="n">
        <v>46203</v>
      </c>
      <c r="D447" t="inlineStr">
        <is>
          <t>JÖNKÖPINGS LÄN</t>
        </is>
      </c>
      <c r="E447" t="inlineStr">
        <is>
          <t>JÖNKÖPING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21924-2022</t>
        </is>
      </c>
      <c r="B448" s="1" t="n">
        <v>44711</v>
      </c>
      <c r="C448" s="1" t="n">
        <v>46203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12256-2026</t>
        </is>
      </c>
      <c r="B449" s="1" t="n">
        <v>46087</v>
      </c>
      <c r="C449" s="1" t="n">
        <v>46203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12674-2026</t>
        </is>
      </c>
      <c r="B450" s="1" t="n">
        <v>46090</v>
      </c>
      <c r="C450" s="1" t="n">
        <v>46203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12657-2026</t>
        </is>
      </c>
      <c r="B451" s="1" t="n">
        <v>46091</v>
      </c>
      <c r="C451" s="1" t="n">
        <v>46203</v>
      </c>
      <c r="D451" t="inlineStr">
        <is>
          <t>JÖNKÖPINGS LÄN</t>
        </is>
      </c>
      <c r="E451" t="inlineStr">
        <is>
          <t>JÖNKÖPING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12301-2023</t>
        </is>
      </c>
      <c r="B452" s="1" t="n">
        <v>44998</v>
      </c>
      <c r="C452" s="1" t="n">
        <v>46203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38919-2024</t>
        </is>
      </c>
      <c r="B453" s="1" t="n">
        <v>45547</v>
      </c>
      <c r="C453" s="1" t="n">
        <v>46203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56747-2022</t>
        </is>
      </c>
      <c r="B454" s="1" t="n">
        <v>44894</v>
      </c>
      <c r="C454" s="1" t="n">
        <v>46203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18604-2025</t>
        </is>
      </c>
      <c r="B455" s="1" t="n">
        <v>45763</v>
      </c>
      <c r="C455" s="1" t="n">
        <v>46203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281-2024</t>
        </is>
      </c>
      <c r="B456" s="1" t="n">
        <v>45295</v>
      </c>
      <c r="C456" s="1" t="n">
        <v>46203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1782-2025</t>
        </is>
      </c>
      <c r="B457" s="1" t="n">
        <v>45671</v>
      </c>
      <c r="C457" s="1" t="n">
        <v>46203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54431-2024</t>
        </is>
      </c>
      <c r="B458" s="1" t="n">
        <v>45617</v>
      </c>
      <c r="C458" s="1" t="n">
        <v>46203</v>
      </c>
      <c r="D458" t="inlineStr">
        <is>
          <t>JÖNKÖPINGS LÄN</t>
        </is>
      </c>
      <c r="E458" t="inlineStr">
        <is>
          <t>JÖNKÖPING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30872-2023</t>
        </is>
      </c>
      <c r="B459" s="1" t="n">
        <v>45113</v>
      </c>
      <c r="C459" s="1" t="n">
        <v>46203</v>
      </c>
      <c r="D459" t="inlineStr">
        <is>
          <t>JÖNKÖPINGS LÄN</t>
        </is>
      </c>
      <c r="E459" t="inlineStr">
        <is>
          <t>JÖNKÖPING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20388-2024</t>
        </is>
      </c>
      <c r="B460" s="1" t="n">
        <v>45435</v>
      </c>
      <c r="C460" s="1" t="n">
        <v>46203</v>
      </c>
      <c r="D460" t="inlineStr">
        <is>
          <t>JÖNKÖPINGS LÄN</t>
        </is>
      </c>
      <c r="E460" t="inlineStr">
        <is>
          <t>JÖNKÖPING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3112-2024</t>
        </is>
      </c>
      <c r="B461" s="1" t="n">
        <v>45316</v>
      </c>
      <c r="C461" s="1" t="n">
        <v>46203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14699-2026</t>
        </is>
      </c>
      <c r="B462" s="1" t="n">
        <v>46101</v>
      </c>
      <c r="C462" s="1" t="n">
        <v>46203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6428-2023</t>
        </is>
      </c>
      <c r="B463" s="1" t="n">
        <v>44965</v>
      </c>
      <c r="C463" s="1" t="n">
        <v>46203</v>
      </c>
      <c r="D463" t="inlineStr">
        <is>
          <t>JÖNKÖPINGS LÄN</t>
        </is>
      </c>
      <c r="E463" t="inlineStr">
        <is>
          <t>JÖNKÖPING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7847-2025</t>
        </is>
      </c>
      <c r="B464" s="1" t="n">
        <v>45706</v>
      </c>
      <c r="C464" s="1" t="n">
        <v>46203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26208-2022</t>
        </is>
      </c>
      <c r="B465" s="1" t="n">
        <v>44734</v>
      </c>
      <c r="C465" s="1" t="n">
        <v>46203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1780-2025</t>
        </is>
      </c>
      <c r="B466" s="1" t="n">
        <v>45671</v>
      </c>
      <c r="C466" s="1" t="n">
        <v>46203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15134-2023</t>
        </is>
      </c>
      <c r="B467" s="1" t="n">
        <v>45015</v>
      </c>
      <c r="C467" s="1" t="n">
        <v>46203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60822-2024</t>
        </is>
      </c>
      <c r="B468" s="1" t="n">
        <v>45644</v>
      </c>
      <c r="C468" s="1" t="n">
        <v>46203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49059-2023</t>
        </is>
      </c>
      <c r="B469" s="1" t="n">
        <v>45210</v>
      </c>
      <c r="C469" s="1" t="n">
        <v>46203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17294-2026</t>
        </is>
      </c>
      <c r="B470" s="1" t="n">
        <v>46119</v>
      </c>
      <c r="C470" s="1" t="n">
        <v>46203</v>
      </c>
      <c r="D470" t="inlineStr">
        <is>
          <t>JÖNKÖPINGS LÄN</t>
        </is>
      </c>
      <c r="E470" t="inlineStr">
        <is>
          <t>JÖNKÖPING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17295-2026</t>
        </is>
      </c>
      <c r="B471" s="1" t="n">
        <v>46119</v>
      </c>
      <c r="C471" s="1" t="n">
        <v>46203</v>
      </c>
      <c r="D471" t="inlineStr">
        <is>
          <t>JÖNKÖPINGS LÄN</t>
        </is>
      </c>
      <c r="E471" t="inlineStr">
        <is>
          <t>JÖNKÖPING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17325-2026</t>
        </is>
      </c>
      <c r="B472" s="1" t="n">
        <v>46119</v>
      </c>
      <c r="C472" s="1" t="n">
        <v>46203</v>
      </c>
      <c r="D472" t="inlineStr">
        <is>
          <t>JÖNKÖPINGS LÄN</t>
        </is>
      </c>
      <c r="E472" t="inlineStr">
        <is>
          <t>JÖNKÖPING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54394-2024</t>
        </is>
      </c>
      <c r="B473" s="1" t="n">
        <v>45617</v>
      </c>
      <c r="C473" s="1" t="n">
        <v>46203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17532-2026</t>
        </is>
      </c>
      <c r="B474" s="1" t="n">
        <v>46120</v>
      </c>
      <c r="C474" s="1" t="n">
        <v>46203</v>
      </c>
      <c r="D474" t="inlineStr">
        <is>
          <t>JÖNKÖPINGS LÄN</t>
        </is>
      </c>
      <c r="E474" t="inlineStr">
        <is>
          <t>JÖNKÖPING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8752-2022</t>
        </is>
      </c>
      <c r="B475" s="1" t="n">
        <v>44614</v>
      </c>
      <c r="C475" s="1" t="n">
        <v>46203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23252-2026</t>
        </is>
      </c>
      <c r="B476" s="1" t="n">
        <v>46162</v>
      </c>
      <c r="C476" s="1" t="n">
        <v>46203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23316-2026</t>
        </is>
      </c>
      <c r="B477" s="1" t="n">
        <v>46162</v>
      </c>
      <c r="C477" s="1" t="n">
        <v>46203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17535-2026</t>
        </is>
      </c>
      <c r="B478" s="1" t="n">
        <v>46120</v>
      </c>
      <c r="C478" s="1" t="n">
        <v>46203</v>
      </c>
      <c r="D478" t="inlineStr">
        <is>
          <t>JÖNKÖPINGS LÄN</t>
        </is>
      </c>
      <c r="E478" t="inlineStr">
        <is>
          <t>JÖNKÖPING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17543-2026</t>
        </is>
      </c>
      <c r="B479" s="1" t="n">
        <v>46120</v>
      </c>
      <c r="C479" s="1" t="n">
        <v>46203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23255-2026</t>
        </is>
      </c>
      <c r="B480" s="1" t="n">
        <v>46162</v>
      </c>
      <c r="C480" s="1" t="n">
        <v>46203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23260-2026</t>
        </is>
      </c>
      <c r="B481" s="1" t="n">
        <v>46162</v>
      </c>
      <c r="C481" s="1" t="n">
        <v>46203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23248-2026</t>
        </is>
      </c>
      <c r="B482" s="1" t="n">
        <v>46162</v>
      </c>
      <c r="C482" s="1" t="n">
        <v>46203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23307-2026</t>
        </is>
      </c>
      <c r="B483" s="1" t="n">
        <v>46162</v>
      </c>
      <c r="C483" s="1" t="n">
        <v>46203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23830-2026</t>
        </is>
      </c>
      <c r="B484" s="1" t="n">
        <v>46167</v>
      </c>
      <c r="C484" s="1" t="n">
        <v>46203</v>
      </c>
      <c r="D484" t="inlineStr">
        <is>
          <t>JÖNKÖPINGS LÄN</t>
        </is>
      </c>
      <c r="E484" t="inlineStr">
        <is>
          <t>JÖNKÖPING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23832-2026</t>
        </is>
      </c>
      <c r="B485" s="1" t="n">
        <v>46167</v>
      </c>
      <c r="C485" s="1" t="n">
        <v>46203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24098-2026</t>
        </is>
      </c>
      <c r="B486" s="1" t="n">
        <v>46168</v>
      </c>
      <c r="C486" s="1" t="n">
        <v>46203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24114-2026</t>
        </is>
      </c>
      <c r="B487" s="1" t="n">
        <v>46168</v>
      </c>
      <c r="C487" s="1" t="n">
        <v>46203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5661-2025</t>
        </is>
      </c>
      <c r="B488" s="1" t="n">
        <v>45693</v>
      </c>
      <c r="C488" s="1" t="n">
        <v>46203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25067-2022</t>
        </is>
      </c>
      <c r="B489" s="1" t="n">
        <v>44729</v>
      </c>
      <c r="C489" s="1" t="n">
        <v>46203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25063-2026</t>
        </is>
      </c>
      <c r="B490" s="1" t="n">
        <v>46174</v>
      </c>
      <c r="C490" s="1" t="n">
        <v>46203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24506-2026</t>
        </is>
      </c>
      <c r="B491" s="1" t="n">
        <v>46170</v>
      </c>
      <c r="C491" s="1" t="n">
        <v>46203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24530-2026</t>
        </is>
      </c>
      <c r="B492" s="1" t="n">
        <v>46170</v>
      </c>
      <c r="C492" s="1" t="n">
        <v>46203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24536-2026</t>
        </is>
      </c>
      <c r="B493" s="1" t="n">
        <v>46170</v>
      </c>
      <c r="C493" s="1" t="n">
        <v>46203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26397-2024</t>
        </is>
      </c>
      <c r="B494" s="1" t="n">
        <v>45469</v>
      </c>
      <c r="C494" s="1" t="n">
        <v>46203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7846-2025</t>
        </is>
      </c>
      <c r="B495" s="1" t="n">
        <v>45706</v>
      </c>
      <c r="C495" s="1" t="n">
        <v>46203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36180-2023</t>
        </is>
      </c>
      <c r="B496" s="1" t="n">
        <v>45149</v>
      </c>
      <c r="C496" s="1" t="n">
        <v>46203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47070-2023</t>
        </is>
      </c>
      <c r="B497" s="1" t="n">
        <v>45201</v>
      </c>
      <c r="C497" s="1" t="n">
        <v>46203</v>
      </c>
      <c r="D497" t="inlineStr">
        <is>
          <t>JÖNKÖPINGS LÄN</t>
        </is>
      </c>
      <c r="E497" t="inlineStr">
        <is>
          <t>JÖNKÖPING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24486-2026</t>
        </is>
      </c>
      <c r="B498" s="1" t="n">
        <v>46170</v>
      </c>
      <c r="C498" s="1" t="n">
        <v>46203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11284-2025</t>
        </is>
      </c>
      <c r="B499" s="1" t="n">
        <v>45726</v>
      </c>
      <c r="C499" s="1" t="n">
        <v>46203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Övriga Aktiebolag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25064-2026</t>
        </is>
      </c>
      <c r="B500" s="1" t="n">
        <v>46174</v>
      </c>
      <c r="C500" s="1" t="n">
        <v>46203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23055-2022</t>
        </is>
      </c>
      <c r="B501" s="1" t="n">
        <v>44719</v>
      </c>
      <c r="C501" s="1" t="n">
        <v>46203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51363-2025</t>
        </is>
      </c>
      <c r="B502" s="1" t="n">
        <v>45947</v>
      </c>
      <c r="C502" s="1" t="n">
        <v>46203</v>
      </c>
      <c r="D502" t="inlineStr">
        <is>
          <t>JÖNKÖPINGS LÄN</t>
        </is>
      </c>
      <c r="E502" t="inlineStr">
        <is>
          <t>JÖNKÖPING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23311-2026</t>
        </is>
      </c>
      <c r="B503" s="1" t="n">
        <v>46162</v>
      </c>
      <c r="C503" s="1" t="n">
        <v>46203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17237-2023</t>
        </is>
      </c>
      <c r="B504" s="1" t="n">
        <v>45035</v>
      </c>
      <c r="C504" s="1" t="n">
        <v>46203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44003-2023</t>
        </is>
      </c>
      <c r="B505" s="1" t="n">
        <v>45188</v>
      </c>
      <c r="C505" s="1" t="n">
        <v>46203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36189-2022</t>
        </is>
      </c>
      <c r="B506" s="1" t="n">
        <v>44803</v>
      </c>
      <c r="C506" s="1" t="n">
        <v>46203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54451-2022</t>
        </is>
      </c>
      <c r="B507" s="1" t="n">
        <v>44882</v>
      </c>
      <c r="C507" s="1" t="n">
        <v>46203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17829-2025</t>
        </is>
      </c>
      <c r="B508" s="1" t="n">
        <v>45758</v>
      </c>
      <c r="C508" s="1" t="n">
        <v>46203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40923-2024</t>
        </is>
      </c>
      <c r="B509" s="1" t="n">
        <v>45558</v>
      </c>
      <c r="C509" s="1" t="n">
        <v>46203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55260-2024</t>
        </is>
      </c>
      <c r="B510" s="1" t="n">
        <v>45621</v>
      </c>
      <c r="C510" s="1" t="n">
        <v>46203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42838-2023</t>
        </is>
      </c>
      <c r="B511" s="1" t="n">
        <v>45182</v>
      </c>
      <c r="C511" s="1" t="n">
        <v>46203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8262-2025</t>
        </is>
      </c>
      <c r="B512" s="1" t="n">
        <v>45708</v>
      </c>
      <c r="C512" s="1" t="n">
        <v>46203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9604-2025</t>
        </is>
      </c>
      <c r="B513" s="1" t="n">
        <v>45715</v>
      </c>
      <c r="C513" s="1" t="n">
        <v>46203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10760-2022</t>
        </is>
      </c>
      <c r="B514" s="1" t="n">
        <v>44627</v>
      </c>
      <c r="C514" s="1" t="n">
        <v>46203</v>
      </c>
      <c r="D514" t="inlineStr">
        <is>
          <t>JÖNKÖPINGS LÄN</t>
        </is>
      </c>
      <c r="E514" t="inlineStr">
        <is>
          <t>JÖNKÖPING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9897-2023</t>
        </is>
      </c>
      <c r="B515" s="1" t="n">
        <v>44985</v>
      </c>
      <c r="C515" s="1" t="n">
        <v>46203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34450-2025</t>
        </is>
      </c>
      <c r="B516" s="1" t="n">
        <v>45846</v>
      </c>
      <c r="C516" s="1" t="n">
        <v>46203</v>
      </c>
      <c r="D516" t="inlineStr">
        <is>
          <t>JÖNKÖPINGS LÄN</t>
        </is>
      </c>
      <c r="E516" t="inlineStr">
        <is>
          <t>JÖNKÖPING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12376-2025</t>
        </is>
      </c>
      <c r="B517" s="1" t="n">
        <v>45730</v>
      </c>
      <c r="C517" s="1" t="n">
        <v>46203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26170-2026</t>
        </is>
      </c>
      <c r="B518" s="1" t="n">
        <v>46182</v>
      </c>
      <c r="C518" s="1" t="n">
        <v>46203</v>
      </c>
      <c r="D518" t="inlineStr">
        <is>
          <t>JÖNKÖPINGS LÄN</t>
        </is>
      </c>
      <c r="E518" t="inlineStr">
        <is>
          <t>JÖNKÖPING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26888-2025</t>
        </is>
      </c>
      <c r="B519" s="1" t="n">
        <v>45810</v>
      </c>
      <c r="C519" s="1" t="n">
        <v>46203</v>
      </c>
      <c r="D519" t="inlineStr">
        <is>
          <t>JÖNKÖPINGS LÄN</t>
        </is>
      </c>
      <c r="E519" t="inlineStr">
        <is>
          <t>JÖNKÖPING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33417-2025</t>
        </is>
      </c>
      <c r="B520" s="1" t="n">
        <v>45841</v>
      </c>
      <c r="C520" s="1" t="n">
        <v>46203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18972-2025</t>
        </is>
      </c>
      <c r="B521" s="1" t="n">
        <v>45764</v>
      </c>
      <c r="C521" s="1" t="n">
        <v>46203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31757-2025</t>
        </is>
      </c>
      <c r="B522" s="1" t="n">
        <v>45834</v>
      </c>
      <c r="C522" s="1" t="n">
        <v>46203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3835-2025</t>
        </is>
      </c>
      <c r="B523" s="1" t="n">
        <v>45682</v>
      </c>
      <c r="C523" s="1" t="n">
        <v>46203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24422-2026</t>
        </is>
      </c>
      <c r="B524" s="1" t="n">
        <v>46168</v>
      </c>
      <c r="C524" s="1" t="n">
        <v>46203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37170-2025</t>
        </is>
      </c>
      <c r="B525" s="1" t="n">
        <v>45875</v>
      </c>
      <c r="C525" s="1" t="n">
        <v>46203</v>
      </c>
      <c r="D525" t="inlineStr">
        <is>
          <t>JÖNKÖPINGS LÄN</t>
        </is>
      </c>
      <c r="E525" t="inlineStr">
        <is>
          <t>JÖNKÖPING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39155-2021</t>
        </is>
      </c>
      <c r="B526" s="1" t="n">
        <v>44412</v>
      </c>
      <c r="C526" s="1" t="n">
        <v>46203</v>
      </c>
      <c r="D526" t="inlineStr">
        <is>
          <t>JÖNKÖPINGS LÄN</t>
        </is>
      </c>
      <c r="E526" t="inlineStr">
        <is>
          <t>JÖNKÖPING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61759-2025</t>
        </is>
      </c>
      <c r="B527" s="1" t="n">
        <v>46002</v>
      </c>
      <c r="C527" s="1" t="n">
        <v>46203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12932-2025</t>
        </is>
      </c>
      <c r="B528" s="1" t="n">
        <v>45734</v>
      </c>
      <c r="C528" s="1" t="n">
        <v>46203</v>
      </c>
      <c r="D528" t="inlineStr">
        <is>
          <t>JÖNKÖPINGS LÄN</t>
        </is>
      </c>
      <c r="E528" t="inlineStr">
        <is>
          <t>JÖNKÖPING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15315-2025</t>
        </is>
      </c>
      <c r="B529" s="1" t="n">
        <v>45747</v>
      </c>
      <c r="C529" s="1" t="n">
        <v>46203</v>
      </c>
      <c r="D529" t="inlineStr">
        <is>
          <t>JÖNKÖPINGS LÄN</t>
        </is>
      </c>
      <c r="E529" t="inlineStr">
        <is>
          <t>JÖNKÖPING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26621-2026</t>
        </is>
      </c>
      <c r="B530" s="1" t="n">
        <v>46184</v>
      </c>
      <c r="C530" s="1" t="n">
        <v>46203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62892-2023</t>
        </is>
      </c>
      <c r="B531" s="1" t="n">
        <v>45272</v>
      </c>
      <c r="C531" s="1" t="n">
        <v>46203</v>
      </c>
      <c r="D531" t="inlineStr">
        <is>
          <t>JÖNKÖPINGS LÄN</t>
        </is>
      </c>
      <c r="E531" t="inlineStr">
        <is>
          <t>JÖNKÖPING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60829-2023</t>
        </is>
      </c>
      <c r="B532" s="1" t="n">
        <v>45260</v>
      </c>
      <c r="C532" s="1" t="n">
        <v>46203</v>
      </c>
      <c r="D532" t="inlineStr">
        <is>
          <t>JÖNKÖPINGS LÄN</t>
        </is>
      </c>
      <c r="E532" t="inlineStr">
        <is>
          <t>JÖNKÖPING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20315-2025</t>
        </is>
      </c>
      <c r="B533" s="1" t="n">
        <v>45775</v>
      </c>
      <c r="C533" s="1" t="n">
        <v>46203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54876-2022</t>
        </is>
      </c>
      <c r="B534" s="1" t="n">
        <v>44886</v>
      </c>
      <c r="C534" s="1" t="n">
        <v>46203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18729-2023</t>
        </is>
      </c>
      <c r="B535" s="1" t="n">
        <v>45043</v>
      </c>
      <c r="C535" s="1" t="n">
        <v>46203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27228-2026</t>
        </is>
      </c>
      <c r="B536" s="1" t="n">
        <v>46188</v>
      </c>
      <c r="C536" s="1" t="n">
        <v>46203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27246-2022</t>
        </is>
      </c>
      <c r="B537" s="1" t="n">
        <v>44741</v>
      </c>
      <c r="C537" s="1" t="n">
        <v>46203</v>
      </c>
      <c r="D537" t="inlineStr">
        <is>
          <t>JÖNKÖPINGS LÄN</t>
        </is>
      </c>
      <c r="E537" t="inlineStr">
        <is>
          <t>JÖNKÖPING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25069-2026</t>
        </is>
      </c>
      <c r="B538" s="1" t="n">
        <v>46174</v>
      </c>
      <c r="C538" s="1" t="n">
        <v>46203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27791-2026</t>
        </is>
      </c>
      <c r="B539" s="1" t="n">
        <v>46189</v>
      </c>
      <c r="C539" s="1" t="n">
        <v>46203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30583-2023</t>
        </is>
      </c>
      <c r="B540" s="1" t="n">
        <v>45112</v>
      </c>
      <c r="C540" s="1" t="n">
        <v>46203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16072-2025</t>
        </is>
      </c>
      <c r="B541" s="1" t="n">
        <v>45749</v>
      </c>
      <c r="C541" s="1" t="n">
        <v>46203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28824-2026</t>
        </is>
      </c>
      <c r="B542" s="1" t="n">
        <v>46198</v>
      </c>
      <c r="C542" s="1" t="n">
        <v>46203</v>
      </c>
      <c r="D542" t="inlineStr">
        <is>
          <t>JÖNKÖPINGS LÄN</t>
        </is>
      </c>
      <c r="E542" t="inlineStr">
        <is>
          <t>JÖNKÖPING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26896-2024</t>
        </is>
      </c>
      <c r="B543" s="1" t="n">
        <v>45470</v>
      </c>
      <c r="C543" s="1" t="n">
        <v>46203</v>
      </c>
      <c r="D543" t="inlineStr">
        <is>
          <t>JÖNKÖPINGS LÄN</t>
        </is>
      </c>
      <c r="E543" t="inlineStr">
        <is>
          <t>JÖNKÖPING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47569-2024</t>
        </is>
      </c>
      <c r="B544" s="1" t="n">
        <v>45587</v>
      </c>
      <c r="C544" s="1" t="n">
        <v>46203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53256-2021</t>
        </is>
      </c>
      <c r="B545" s="1" t="n">
        <v>44468</v>
      </c>
      <c r="C545" s="1" t="n">
        <v>46203</v>
      </c>
      <c r="D545" t="inlineStr">
        <is>
          <t>JÖNKÖPINGS LÄN</t>
        </is>
      </c>
      <c r="E545" t="inlineStr">
        <is>
          <t>JÖNKÖPING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59110-2022</t>
        </is>
      </c>
      <c r="B546" s="1" t="n">
        <v>44904</v>
      </c>
      <c r="C546" s="1" t="n">
        <v>46203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Kommuner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29110-2026</t>
        </is>
      </c>
      <c r="B547" s="1" t="n">
        <v>46201</v>
      </c>
      <c r="C547" s="1" t="n">
        <v>46203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29113-2026</t>
        </is>
      </c>
      <c r="B548" s="1" t="n">
        <v>46201</v>
      </c>
      <c r="C548" s="1" t="n">
        <v>46203</v>
      </c>
      <c r="D548" t="inlineStr">
        <is>
          <t>JÖNKÖPINGS LÄN</t>
        </is>
      </c>
      <c r="E548" t="inlineStr">
        <is>
          <t>JÖNKÖPING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17846-2023</t>
        </is>
      </c>
      <c r="B549" s="1" t="n">
        <v>45037</v>
      </c>
      <c r="C549" s="1" t="n">
        <v>46203</v>
      </c>
      <c r="D549" t="inlineStr">
        <is>
          <t>JÖNKÖPINGS LÄN</t>
        </is>
      </c>
      <c r="E549" t="inlineStr">
        <is>
          <t>JÖNKÖPING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25250-2023</t>
        </is>
      </c>
      <c r="B550" s="1" t="n">
        <v>45079</v>
      </c>
      <c r="C550" s="1" t="n">
        <v>46203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55294-2022</t>
        </is>
      </c>
      <c r="B551" s="1" t="n">
        <v>44882</v>
      </c>
      <c r="C551" s="1" t="n">
        <v>46203</v>
      </c>
      <c r="D551" t="inlineStr">
        <is>
          <t>JÖNKÖPINGS LÄN</t>
        </is>
      </c>
      <c r="E551" t="inlineStr">
        <is>
          <t>JÖNKÖPING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18771-2025</t>
        </is>
      </c>
      <c r="B552" s="1" t="n">
        <v>45764</v>
      </c>
      <c r="C552" s="1" t="n">
        <v>46203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8554-2024</t>
        </is>
      </c>
      <c r="B553" s="1" t="n">
        <v>45355</v>
      </c>
      <c r="C553" s="1" t="n">
        <v>46203</v>
      </c>
      <c r="D553" t="inlineStr">
        <is>
          <t>JÖNKÖPINGS LÄN</t>
        </is>
      </c>
      <c r="E553" t="inlineStr">
        <is>
          <t>JÖNKÖPING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4308-2024</t>
        </is>
      </c>
      <c r="B554" s="1" t="n">
        <v>45324</v>
      </c>
      <c r="C554" s="1" t="n">
        <v>46203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14228-2025</t>
        </is>
      </c>
      <c r="B555" s="1" t="n">
        <v>45740</v>
      </c>
      <c r="C555" s="1" t="n">
        <v>46203</v>
      </c>
      <c r="D555" t="inlineStr">
        <is>
          <t>JÖNKÖPINGS LÄN</t>
        </is>
      </c>
      <c r="E555" t="inlineStr">
        <is>
          <t>JÖNKÖPING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29292-2026</t>
        </is>
      </c>
      <c r="B556" s="1" t="n">
        <v>46197</v>
      </c>
      <c r="C556" s="1" t="n">
        <v>46203</v>
      </c>
      <c r="D556" t="inlineStr">
        <is>
          <t>JÖNKÖPINGS LÄN</t>
        </is>
      </c>
      <c r="E556" t="inlineStr">
        <is>
          <t>JÖNKÖPING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43290-2023</t>
        </is>
      </c>
      <c r="B557" s="1" t="n">
        <v>45183</v>
      </c>
      <c r="C557" s="1" t="n">
        <v>46203</v>
      </c>
      <c r="D557" t="inlineStr">
        <is>
          <t>JÖNKÖPINGS LÄN</t>
        </is>
      </c>
      <c r="E557" t="inlineStr">
        <is>
          <t>JÖNKÖPING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20410-2023</t>
        </is>
      </c>
      <c r="B558" s="1" t="n">
        <v>45056</v>
      </c>
      <c r="C558" s="1" t="n">
        <v>46203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17384-2025</t>
        </is>
      </c>
      <c r="B559" s="1" t="n">
        <v>45757</v>
      </c>
      <c r="C559" s="1" t="n">
        <v>46203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47067-2023</t>
        </is>
      </c>
      <c r="B560" s="1" t="n">
        <v>45201</v>
      </c>
      <c r="C560" s="1" t="n">
        <v>46203</v>
      </c>
      <c r="D560" t="inlineStr">
        <is>
          <t>JÖNKÖPINGS LÄN</t>
        </is>
      </c>
      <c r="E560" t="inlineStr">
        <is>
          <t>JÖNKÖPING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29112-2026</t>
        </is>
      </c>
      <c r="B561" s="1" t="n">
        <v>46201</v>
      </c>
      <c r="C561" s="1" t="n">
        <v>46203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57413-2021</t>
        </is>
      </c>
      <c r="B562" s="1" t="n">
        <v>44483</v>
      </c>
      <c r="C562" s="1" t="n">
        <v>46203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26441-2023</t>
        </is>
      </c>
      <c r="B563" s="1" t="n">
        <v>45092</v>
      </c>
      <c r="C563" s="1" t="n">
        <v>46203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19356-2023</t>
        </is>
      </c>
      <c r="B564" s="1" t="n">
        <v>45049</v>
      </c>
      <c r="C564" s="1" t="n">
        <v>46203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19661-2023</t>
        </is>
      </c>
      <c r="B565" s="1" t="n">
        <v>45051</v>
      </c>
      <c r="C565" s="1" t="n">
        <v>46203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30489-2023</t>
        </is>
      </c>
      <c r="B566" s="1" t="n">
        <v>45111</v>
      </c>
      <c r="C566" s="1" t="n">
        <v>46203</v>
      </c>
      <c r="D566" t="inlineStr">
        <is>
          <t>JÖNKÖPINGS LÄN</t>
        </is>
      </c>
      <c r="E566" t="inlineStr">
        <is>
          <t>JÖNKÖPING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30585-2023</t>
        </is>
      </c>
      <c r="B567" s="1" t="n">
        <v>45112</v>
      </c>
      <c r="C567" s="1" t="n">
        <v>46203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3519-2023</t>
        </is>
      </c>
      <c r="B568" s="1" t="n">
        <v>44950</v>
      </c>
      <c r="C568" s="1" t="n">
        <v>46203</v>
      </c>
      <c r="D568" t="inlineStr">
        <is>
          <t>JÖNKÖPINGS LÄN</t>
        </is>
      </c>
      <c r="E568" t="inlineStr">
        <is>
          <t>JÖNKÖPING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3522-2023</t>
        </is>
      </c>
      <c r="B569" s="1" t="n">
        <v>44950</v>
      </c>
      <c r="C569" s="1" t="n">
        <v>46203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7885-2024</t>
        </is>
      </c>
      <c r="B570" s="1" t="n">
        <v>45349</v>
      </c>
      <c r="C570" s="1" t="n">
        <v>46203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32035-2023</t>
        </is>
      </c>
      <c r="B571" s="1" t="n">
        <v>45119</v>
      </c>
      <c r="C571" s="1" t="n">
        <v>46203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5291-2024</t>
        </is>
      </c>
      <c r="B572" s="1" t="n">
        <v>45331</v>
      </c>
      <c r="C572" s="1" t="n">
        <v>46203</v>
      </c>
      <c r="D572" t="inlineStr">
        <is>
          <t>JÖNKÖPINGS LÄN</t>
        </is>
      </c>
      <c r="E572" t="inlineStr">
        <is>
          <t>JÖNKÖPING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31518-2023</t>
        </is>
      </c>
      <c r="B573" s="1" t="n">
        <v>45116</v>
      </c>
      <c r="C573" s="1" t="n">
        <v>46203</v>
      </c>
      <c r="D573" t="inlineStr">
        <is>
          <t>JÖNKÖPINGS LÄN</t>
        </is>
      </c>
      <c r="E573" t="inlineStr">
        <is>
          <t>JÖNKÖPING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47427-2024</t>
        </is>
      </c>
      <c r="B574" s="1" t="n">
        <v>45587</v>
      </c>
      <c r="C574" s="1" t="n">
        <v>46203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4643-2023</t>
        </is>
      </c>
      <c r="B575" s="1" t="n">
        <v>44957</v>
      </c>
      <c r="C575" s="1" t="n">
        <v>46203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33492-2023</t>
        </is>
      </c>
      <c r="B576" s="1" t="n">
        <v>45118</v>
      </c>
      <c r="C576" s="1" t="n">
        <v>46203</v>
      </c>
      <c r="D576" t="inlineStr">
        <is>
          <t>JÖNKÖPINGS LÄN</t>
        </is>
      </c>
      <c r="E576" t="inlineStr">
        <is>
          <t>JÖNKÖPING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6458-2024</t>
        </is>
      </c>
      <c r="B577" s="1" t="n">
        <v>45338</v>
      </c>
      <c r="C577" s="1" t="n">
        <v>46203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42110-2024</t>
        </is>
      </c>
      <c r="B578" s="1" t="n">
        <v>45562</v>
      </c>
      <c r="C578" s="1" t="n">
        <v>46203</v>
      </c>
      <c r="D578" t="inlineStr">
        <is>
          <t>JÖNKÖPINGS LÄN</t>
        </is>
      </c>
      <c r="E578" t="inlineStr">
        <is>
          <t>JÖNKÖPING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9268-2024</t>
        </is>
      </c>
      <c r="B579" s="1" t="n">
        <v>45358</v>
      </c>
      <c r="C579" s="1" t="n">
        <v>46203</v>
      </c>
      <c r="D579" t="inlineStr">
        <is>
          <t>JÖNKÖPINGS LÄN</t>
        </is>
      </c>
      <c r="E579" t="inlineStr">
        <is>
          <t>JÖNKÖPING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57719-2021</t>
        </is>
      </c>
      <c r="B580" s="1" t="n">
        <v>44484</v>
      </c>
      <c r="C580" s="1" t="n">
        <v>46203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64650-2023</t>
        </is>
      </c>
      <c r="B581" s="1" t="n">
        <v>45281</v>
      </c>
      <c r="C581" s="1" t="n">
        <v>46203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63551-2023</t>
        </is>
      </c>
      <c r="B582" s="1" t="n">
        <v>45275</v>
      </c>
      <c r="C582" s="1" t="n">
        <v>46203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11052-2022</t>
        </is>
      </c>
      <c r="B583" s="1" t="n">
        <v>44628</v>
      </c>
      <c r="C583" s="1" t="n">
        <v>46203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5901-2024</t>
        </is>
      </c>
      <c r="B584" s="1" t="n">
        <v>45335</v>
      </c>
      <c r="C584" s="1" t="n">
        <v>46203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37503-2024</t>
        </is>
      </c>
      <c r="B585" s="1" t="n">
        <v>45541</v>
      </c>
      <c r="C585" s="1" t="n">
        <v>46203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63207-2021</t>
        </is>
      </c>
      <c r="B586" s="1" t="n">
        <v>44507</v>
      </c>
      <c r="C586" s="1" t="n">
        <v>46203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32840-2023</t>
        </is>
      </c>
      <c r="B587" s="1" t="n">
        <v>45124</v>
      </c>
      <c r="C587" s="1" t="n">
        <v>46203</v>
      </c>
      <c r="D587" t="inlineStr">
        <is>
          <t>JÖNKÖPINGS LÄN</t>
        </is>
      </c>
      <c r="E587" t="inlineStr">
        <is>
          <t>JÖNKÖPING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62263-2023</t>
        </is>
      </c>
      <c r="B588" s="1" t="n">
        <v>45267</v>
      </c>
      <c r="C588" s="1" t="n">
        <v>46203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15567-2025</t>
        </is>
      </c>
      <c r="B589" s="1" t="n">
        <v>45747</v>
      </c>
      <c r="C589" s="1" t="n">
        <v>46203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24554-2024</t>
        </is>
      </c>
      <c r="B590" s="1" t="n">
        <v>45460</v>
      </c>
      <c r="C590" s="1" t="n">
        <v>46203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7177-2022</t>
        </is>
      </c>
      <c r="B591" s="1" t="n">
        <v>44605</v>
      </c>
      <c r="C591" s="1" t="n">
        <v>46203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41481-2023</t>
        </is>
      </c>
      <c r="B592" s="1" t="n">
        <v>45175</v>
      </c>
      <c r="C592" s="1" t="n">
        <v>46203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15884-2024</t>
        </is>
      </c>
      <c r="B593" s="1" t="n">
        <v>45405</v>
      </c>
      <c r="C593" s="1" t="n">
        <v>46203</v>
      </c>
      <c r="D593" t="inlineStr">
        <is>
          <t>JÖNKÖPINGS LÄN</t>
        </is>
      </c>
      <c r="E593" t="inlineStr">
        <is>
          <t>JÖNKÖPING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15886-2024</t>
        </is>
      </c>
      <c r="B594" s="1" t="n">
        <v>45405</v>
      </c>
      <c r="C594" s="1" t="n">
        <v>46203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44697-2023</t>
        </is>
      </c>
      <c r="B595" s="1" t="n">
        <v>45184</v>
      </c>
      <c r="C595" s="1" t="n">
        <v>46203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38918-2024</t>
        </is>
      </c>
      <c r="B596" s="1" t="n">
        <v>45547</v>
      </c>
      <c r="C596" s="1" t="n">
        <v>46203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46203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4592-2022</t>
        </is>
      </c>
      <c r="B598" s="1" t="n">
        <v>44592</v>
      </c>
      <c r="C598" s="1" t="n">
        <v>46203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37510-2024</t>
        </is>
      </c>
      <c r="B599" s="1" t="n">
        <v>45541</v>
      </c>
      <c r="C599" s="1" t="n">
        <v>46203</v>
      </c>
      <c r="D599" t="inlineStr">
        <is>
          <t>JÖNKÖPINGS LÄN</t>
        </is>
      </c>
      <c r="E599" t="inlineStr">
        <is>
          <t>JÖNKÖPING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17019-2024</t>
        </is>
      </c>
      <c r="B600" s="1" t="n">
        <v>45412</v>
      </c>
      <c r="C600" s="1" t="n">
        <v>46203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Aktiebolag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39650-2024</t>
        </is>
      </c>
      <c r="B601" s="1" t="n">
        <v>45552</v>
      </c>
      <c r="C601" s="1" t="n">
        <v>46203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25079-2024</t>
        </is>
      </c>
      <c r="B602" s="1" t="n">
        <v>45462</v>
      </c>
      <c r="C602" s="1" t="n">
        <v>46203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3427-2022</t>
        </is>
      </c>
      <c r="B603" s="1" t="n">
        <v>44585</v>
      </c>
      <c r="C603" s="1" t="n">
        <v>46203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18607-2025</t>
        </is>
      </c>
      <c r="B604" s="1" t="n">
        <v>45763</v>
      </c>
      <c r="C604" s="1" t="n">
        <v>46203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61127-2024</t>
        </is>
      </c>
      <c r="B605" s="1" t="n">
        <v>45645</v>
      </c>
      <c r="C605" s="1" t="n">
        <v>46203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44696-2023</t>
        </is>
      </c>
      <c r="B606" s="1" t="n">
        <v>45184</v>
      </c>
      <c r="C606" s="1" t="n">
        <v>46203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3724-2025</t>
        </is>
      </c>
      <c r="B607" s="1" t="n">
        <v>45681</v>
      </c>
      <c r="C607" s="1" t="n">
        <v>46203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4577-2022</t>
        </is>
      </c>
      <c r="B608" s="1" t="n">
        <v>44591</v>
      </c>
      <c r="C608" s="1" t="n">
        <v>46203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7865-2022</t>
        </is>
      </c>
      <c r="B609" s="1" t="n">
        <v>44608</v>
      </c>
      <c r="C609" s="1" t="n">
        <v>46203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40273-2023</t>
        </is>
      </c>
      <c r="B610" s="1" t="n">
        <v>45169</v>
      </c>
      <c r="C610" s="1" t="n">
        <v>46203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10720-2022</t>
        </is>
      </c>
      <c r="B611" s="1" t="n">
        <v>44626</v>
      </c>
      <c r="C611" s="1" t="n">
        <v>46203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20384-2024</t>
        </is>
      </c>
      <c r="B612" s="1" t="n">
        <v>45435</v>
      </c>
      <c r="C612" s="1" t="n">
        <v>46203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16652-2023</t>
        </is>
      </c>
      <c r="B613" s="1" t="n">
        <v>45030</v>
      </c>
      <c r="C613" s="1" t="n">
        <v>46203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11236-2024</t>
        </is>
      </c>
      <c r="B614" s="1" t="n">
        <v>45371</v>
      </c>
      <c r="C614" s="1" t="n">
        <v>46203</v>
      </c>
      <c r="D614" t="inlineStr">
        <is>
          <t>JÖNKÖPINGS LÄN</t>
        </is>
      </c>
      <c r="E614" t="inlineStr">
        <is>
          <t>JÖNKÖPING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54642-2024</t>
        </is>
      </c>
      <c r="B615" s="1" t="n">
        <v>45617</v>
      </c>
      <c r="C615" s="1" t="n">
        <v>46203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20425-2023</t>
        </is>
      </c>
      <c r="B616" s="1" t="n">
        <v>45056</v>
      </c>
      <c r="C616" s="1" t="n">
        <v>46203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216-2022</t>
        </is>
      </c>
      <c r="B617" s="1" t="n">
        <v>44564</v>
      </c>
      <c r="C617" s="1" t="n">
        <v>46203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41305-2023</t>
        </is>
      </c>
      <c r="B618" s="1" t="n">
        <v>45174</v>
      </c>
      <c r="C618" s="1" t="n">
        <v>46203</v>
      </c>
      <c r="D618" t="inlineStr">
        <is>
          <t>JÖNKÖPINGS LÄN</t>
        </is>
      </c>
      <c r="E618" t="inlineStr">
        <is>
          <t>JÖNKÖPING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11311-2025</t>
        </is>
      </c>
      <c r="B619" s="1" t="n">
        <v>45726</v>
      </c>
      <c r="C619" s="1" t="n">
        <v>46203</v>
      </c>
      <c r="D619" t="inlineStr">
        <is>
          <t>JÖNKÖPINGS LÄN</t>
        </is>
      </c>
      <c r="E619" t="inlineStr">
        <is>
          <t>JÖNKÖPING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858-2022</t>
        </is>
      </c>
      <c r="B620" s="1" t="n">
        <v>44571</v>
      </c>
      <c r="C620" s="1" t="n">
        <v>46203</v>
      </c>
      <c r="D620" t="inlineStr">
        <is>
          <t>JÖNKÖPINGS LÄN</t>
        </is>
      </c>
      <c r="E620" t="inlineStr">
        <is>
          <t>JÖNKÖPING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11351-2024</t>
        </is>
      </c>
      <c r="B621" s="1" t="n">
        <v>45372</v>
      </c>
      <c r="C621" s="1" t="n">
        <v>46203</v>
      </c>
      <c r="D621" t="inlineStr">
        <is>
          <t>JÖNKÖPINGS LÄN</t>
        </is>
      </c>
      <c r="E621" t="inlineStr">
        <is>
          <t>JÖNKÖPING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42220-2023</t>
        </is>
      </c>
      <c r="B622" s="1" t="n">
        <v>45179</v>
      </c>
      <c r="C622" s="1" t="n">
        <v>46203</v>
      </c>
      <c r="D622" t="inlineStr">
        <is>
          <t>JÖNKÖPINGS LÄN</t>
        </is>
      </c>
      <c r="E622" t="inlineStr">
        <is>
          <t>JÖNKÖPING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43054-2023</t>
        </is>
      </c>
      <c r="B623" s="1" t="n">
        <v>45182</v>
      </c>
      <c r="C623" s="1" t="n">
        <v>46203</v>
      </c>
      <c r="D623" t="inlineStr">
        <is>
          <t>JÖNKÖPINGS LÄN</t>
        </is>
      </c>
      <c r="E623" t="inlineStr">
        <is>
          <t>JÖNKÖPING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21132-2024</t>
        </is>
      </c>
      <c r="B624" s="1" t="n">
        <v>45440</v>
      </c>
      <c r="C624" s="1" t="n">
        <v>46203</v>
      </c>
      <c r="D624" t="inlineStr">
        <is>
          <t>JÖNKÖPINGS LÄN</t>
        </is>
      </c>
      <c r="E624" t="inlineStr">
        <is>
          <t>JÖNKÖPING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46203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44106-2022</t>
        </is>
      </c>
      <c r="B626" s="1" t="n">
        <v>44839</v>
      </c>
      <c r="C626" s="1" t="n">
        <v>46203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15384-2022</t>
        </is>
      </c>
      <c r="B627" s="1" t="n">
        <v>44659</v>
      </c>
      <c r="C627" s="1" t="n">
        <v>46203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7401-2025</t>
        </is>
      </c>
      <c r="B628" s="1" t="n">
        <v>45705</v>
      </c>
      <c r="C628" s="1" t="n">
        <v>46203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24146-2024</t>
        </is>
      </c>
      <c r="B629" s="1" t="n">
        <v>45456</v>
      </c>
      <c r="C629" s="1" t="n">
        <v>46203</v>
      </c>
      <c r="D629" t="inlineStr">
        <is>
          <t>JÖNKÖPINGS LÄN</t>
        </is>
      </c>
      <c r="E629" t="inlineStr">
        <is>
          <t>JÖNKÖPING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50173-2023</t>
        </is>
      </c>
      <c r="B630" s="1" t="n">
        <v>45215</v>
      </c>
      <c r="C630" s="1" t="n">
        <v>46203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15766-2024</t>
        </is>
      </c>
      <c r="B631" s="1" t="n">
        <v>45404</v>
      </c>
      <c r="C631" s="1" t="n">
        <v>46203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34024-2024</t>
        </is>
      </c>
      <c r="B632" s="1" t="n">
        <v>45523</v>
      </c>
      <c r="C632" s="1" t="n">
        <v>46203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14112-2024</t>
        </is>
      </c>
      <c r="B633" s="1" t="n">
        <v>45392</v>
      </c>
      <c r="C633" s="1" t="n">
        <v>46203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21149-2022</t>
        </is>
      </c>
      <c r="B634" s="1" t="n">
        <v>44704</v>
      </c>
      <c r="C634" s="1" t="n">
        <v>46203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46738-2023</t>
        </is>
      </c>
      <c r="B635" s="1" t="n">
        <v>45198</v>
      </c>
      <c r="C635" s="1" t="n">
        <v>46203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46741-2023</t>
        </is>
      </c>
      <c r="B636" s="1" t="n">
        <v>45198</v>
      </c>
      <c r="C636" s="1" t="n">
        <v>46203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46203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49343-2023</t>
        </is>
      </c>
      <c r="B638" s="1" t="n">
        <v>45211</v>
      </c>
      <c r="C638" s="1" t="n">
        <v>46203</v>
      </c>
      <c r="D638" t="inlineStr">
        <is>
          <t>JÖNKÖPINGS LÄN</t>
        </is>
      </c>
      <c r="E638" t="inlineStr">
        <is>
          <t>JÖNKÖPING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26206-2022</t>
        </is>
      </c>
      <c r="B639" s="1" t="n">
        <v>44734</v>
      </c>
      <c r="C639" s="1" t="n">
        <v>46203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26213-2022</t>
        </is>
      </c>
      <c r="B640" s="1" t="n">
        <v>44734</v>
      </c>
      <c r="C640" s="1" t="n">
        <v>46203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45408-2023</t>
        </is>
      </c>
      <c r="B641" s="1" t="n">
        <v>45194</v>
      </c>
      <c r="C641" s="1" t="n">
        <v>46203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45412-2023</t>
        </is>
      </c>
      <c r="B642" s="1" t="n">
        <v>45194</v>
      </c>
      <c r="C642" s="1" t="n">
        <v>46203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3746-2025</t>
        </is>
      </c>
      <c r="B643" s="1" t="n">
        <v>45681</v>
      </c>
      <c r="C643" s="1" t="n">
        <v>46203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17362-2025</t>
        </is>
      </c>
      <c r="B644" s="1" t="n">
        <v>45756</v>
      </c>
      <c r="C644" s="1" t="n">
        <v>46203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40271-2023</t>
        </is>
      </c>
      <c r="B645" s="1" t="n">
        <v>45169</v>
      </c>
      <c r="C645" s="1" t="n">
        <v>46203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46321-2023</t>
        </is>
      </c>
      <c r="B646" s="1" t="n">
        <v>45197</v>
      </c>
      <c r="C646" s="1" t="n">
        <v>46203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41143-2021</t>
        </is>
      </c>
      <c r="B647" s="1" t="n">
        <v>44423</v>
      </c>
      <c r="C647" s="1" t="n">
        <v>46203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17928-2025</t>
        </is>
      </c>
      <c r="B648" s="1" t="n">
        <v>45759</v>
      </c>
      <c r="C648" s="1" t="n">
        <v>46203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2779-2024</t>
        </is>
      </c>
      <c r="B649" s="1" t="n">
        <v>45314</v>
      </c>
      <c r="C649" s="1" t="n">
        <v>46203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1425-2024</t>
        </is>
      </c>
      <c r="B650" s="1" t="n">
        <v>45303</v>
      </c>
      <c r="C650" s="1" t="n">
        <v>46203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57180-2023</t>
        </is>
      </c>
      <c r="B651" s="1" t="n">
        <v>45245</v>
      </c>
      <c r="C651" s="1" t="n">
        <v>46203</v>
      </c>
      <c r="D651" t="inlineStr">
        <is>
          <t>JÖNKÖPINGS LÄN</t>
        </is>
      </c>
      <c r="E651" t="inlineStr">
        <is>
          <t>JÖNKÖPING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44416-2023</t>
        </is>
      </c>
      <c r="B652" s="1" t="n">
        <v>45189</v>
      </c>
      <c r="C652" s="1" t="n">
        <v>46203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304-2024</t>
        </is>
      </c>
      <c r="B653" s="1" t="n">
        <v>45294</v>
      </c>
      <c r="C653" s="1" t="n">
        <v>46203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59269-2022</t>
        </is>
      </c>
      <c r="B654" s="1" t="n">
        <v>44904</v>
      </c>
      <c r="C654" s="1" t="n">
        <v>46203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59293-2022</t>
        </is>
      </c>
      <c r="B655" s="1" t="n">
        <v>44897</v>
      </c>
      <c r="C655" s="1" t="n">
        <v>46203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59294-2022</t>
        </is>
      </c>
      <c r="B656" s="1" t="n">
        <v>44904</v>
      </c>
      <c r="C656" s="1" t="n">
        <v>46203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Kommuner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57567-2023</t>
        </is>
      </c>
      <c r="B657" s="1" t="n">
        <v>45246</v>
      </c>
      <c r="C657" s="1" t="n">
        <v>46203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18069-2025</t>
        </is>
      </c>
      <c r="B658" s="1" t="n">
        <v>45761</v>
      </c>
      <c r="C658" s="1" t="n">
        <v>46203</v>
      </c>
      <c r="D658" t="inlineStr">
        <is>
          <t>JÖNKÖPINGS LÄN</t>
        </is>
      </c>
      <c r="E658" t="inlineStr">
        <is>
          <t>JÖNKÖPING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3364-2025</t>
        </is>
      </c>
      <c r="B659" s="1" t="n">
        <v>45679</v>
      </c>
      <c r="C659" s="1" t="n">
        <v>46203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52812-2023</t>
        </is>
      </c>
      <c r="B660" s="1" t="n">
        <v>45226</v>
      </c>
      <c r="C660" s="1" t="n">
        <v>46203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56051-2023</t>
        </is>
      </c>
      <c r="B661" s="1" t="n">
        <v>45240</v>
      </c>
      <c r="C661" s="1" t="n">
        <v>46203</v>
      </c>
      <c r="D661" t="inlineStr">
        <is>
          <t>JÖNKÖPINGS LÄN</t>
        </is>
      </c>
      <c r="E661" t="inlineStr">
        <is>
          <t>JÖNKÖPING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56131-2022</t>
        </is>
      </c>
      <c r="B662" s="1" t="n">
        <v>44889</v>
      </c>
      <c r="C662" s="1" t="n">
        <v>46203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46623-2023</t>
        </is>
      </c>
      <c r="B663" s="1" t="n">
        <v>45198</v>
      </c>
      <c r="C663" s="1" t="n">
        <v>46203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46628-2023</t>
        </is>
      </c>
      <c r="B664" s="1" t="n">
        <v>45198</v>
      </c>
      <c r="C664" s="1" t="n">
        <v>46203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46971-2023</t>
        </is>
      </c>
      <c r="B665" s="1" t="n">
        <v>45201</v>
      </c>
      <c r="C665" s="1" t="n">
        <v>46203</v>
      </c>
      <c r="D665" t="inlineStr">
        <is>
          <t>JÖNKÖPINGS LÄN</t>
        </is>
      </c>
      <c r="E665" t="inlineStr">
        <is>
          <t>JÖNKÖPING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36147-2024</t>
        </is>
      </c>
      <c r="B666" s="1" t="n">
        <v>45534</v>
      </c>
      <c r="C666" s="1" t="n">
        <v>46203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59370-2023</t>
        </is>
      </c>
      <c r="B667" s="1" t="n">
        <v>45253</v>
      </c>
      <c r="C667" s="1" t="n">
        <v>46203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902-2024</t>
        </is>
      </c>
      <c r="B668" s="1" t="n">
        <v>45300</v>
      </c>
      <c r="C668" s="1" t="n">
        <v>46203</v>
      </c>
      <c r="D668" t="inlineStr">
        <is>
          <t>JÖNKÖPINGS LÄN</t>
        </is>
      </c>
      <c r="E668" t="inlineStr">
        <is>
          <t>JÖNKÖPING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50168-2023</t>
        </is>
      </c>
      <c r="B669" s="1" t="n">
        <v>45215</v>
      </c>
      <c r="C669" s="1" t="n">
        <v>46203</v>
      </c>
      <c r="D669" t="inlineStr">
        <is>
          <t>JÖNKÖPINGS LÄN</t>
        </is>
      </c>
      <c r="E669" t="inlineStr">
        <is>
          <t>JÖNKÖPING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14078-2024</t>
        </is>
      </c>
      <c r="B670" s="1" t="n">
        <v>45392</v>
      </c>
      <c r="C670" s="1" t="n">
        <v>46203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46203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28232-2024</t>
        </is>
      </c>
      <c r="B672" s="1" t="n">
        <v>45477</v>
      </c>
      <c r="C672" s="1" t="n">
        <v>46203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28234-2024</t>
        </is>
      </c>
      <c r="B673" s="1" t="n">
        <v>45477</v>
      </c>
      <c r="C673" s="1" t="n">
        <v>46203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59312-2022</t>
        </is>
      </c>
      <c r="B674" s="1" t="n">
        <v>44904</v>
      </c>
      <c r="C674" s="1" t="n">
        <v>46203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1241-2024</t>
        </is>
      </c>
      <c r="B675" s="1" t="n">
        <v>45302</v>
      </c>
      <c r="C675" s="1" t="n">
        <v>46203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56599-2022</t>
        </is>
      </c>
      <c r="B676" s="1" t="n">
        <v>44893</v>
      </c>
      <c r="C676" s="1" t="n">
        <v>46203</v>
      </c>
      <c r="D676" t="inlineStr">
        <is>
          <t>JÖNKÖPINGS LÄN</t>
        </is>
      </c>
      <c r="E676" t="inlineStr">
        <is>
          <t>JÖNKÖPING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16212-2024</t>
        </is>
      </c>
      <c r="B677" s="1" t="n">
        <v>45406</v>
      </c>
      <c r="C677" s="1" t="n">
        <v>46203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16213-2024</t>
        </is>
      </c>
      <c r="B678" s="1" t="n">
        <v>45406</v>
      </c>
      <c r="C678" s="1" t="n">
        <v>46203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46203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57715-2021</t>
        </is>
      </c>
      <c r="B680" s="1" t="n">
        <v>44484</v>
      </c>
      <c r="C680" s="1" t="n">
        <v>46203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46203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46203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</v>
      </c>
      <c r="C683" s="1" t="n">
        <v>46203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1752-2023</t>
        </is>
      </c>
      <c r="B684" s="1" t="n">
        <v>44938</v>
      </c>
      <c r="C684" s="1" t="n">
        <v>46203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11801-2024</t>
        </is>
      </c>
      <c r="B685" s="1" t="n">
        <v>45375</v>
      </c>
      <c r="C685" s="1" t="n">
        <v>46203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43251-2023</t>
        </is>
      </c>
      <c r="B686" s="1" t="n">
        <v>45180</v>
      </c>
      <c r="C686" s="1" t="n">
        <v>46203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2454-2023</t>
        </is>
      </c>
      <c r="B687" s="1" t="n">
        <v>44943</v>
      </c>
      <c r="C687" s="1" t="n">
        <v>46203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8864-2022</t>
        </is>
      </c>
      <c r="B688" s="1" t="n">
        <v>44614</v>
      </c>
      <c r="C688" s="1" t="n">
        <v>46203</v>
      </c>
      <c r="D688" t="inlineStr">
        <is>
          <t>JÖNKÖPINGS LÄN</t>
        </is>
      </c>
      <c r="E688" t="inlineStr">
        <is>
          <t>JÖNKÖPING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21935-2022</t>
        </is>
      </c>
      <c r="B689" s="1" t="n">
        <v>44711</v>
      </c>
      <c r="C689" s="1" t="n">
        <v>46203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10204-2022</t>
        </is>
      </c>
      <c r="B690" s="1" t="n">
        <v>44622</v>
      </c>
      <c r="C690" s="1" t="n">
        <v>46203</v>
      </c>
      <c r="D690" t="inlineStr">
        <is>
          <t>JÖNKÖPINGS LÄN</t>
        </is>
      </c>
      <c r="E690" t="inlineStr">
        <is>
          <t>JÖNKÖPING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21250-2023</t>
        </is>
      </c>
      <c r="B691" s="1" t="n">
        <v>45058</v>
      </c>
      <c r="C691" s="1" t="n">
        <v>46203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15605-2022</t>
        </is>
      </c>
      <c r="B692" s="1" t="n">
        <v>44662</v>
      </c>
      <c r="C692" s="1" t="n">
        <v>46203</v>
      </c>
      <c r="D692" t="inlineStr">
        <is>
          <t>JÖNKÖPINGS LÄN</t>
        </is>
      </c>
      <c r="E692" t="inlineStr">
        <is>
          <t>JÖNKÖPING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62909-2023</t>
        </is>
      </c>
      <c r="B693" s="1" t="n">
        <v>45271</v>
      </c>
      <c r="C693" s="1" t="n">
        <v>46203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49379-2022</t>
        </is>
      </c>
      <c r="B694" s="1" t="n">
        <v>44861</v>
      </c>
      <c r="C694" s="1" t="n">
        <v>46203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49396-2022</t>
        </is>
      </c>
      <c r="B695" s="1" t="n">
        <v>44861</v>
      </c>
      <c r="C695" s="1" t="n">
        <v>46203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24972-2024</t>
        </is>
      </c>
      <c r="B696" s="1" t="n">
        <v>45461</v>
      </c>
      <c r="C696" s="1" t="n">
        <v>46203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37498-2024</t>
        </is>
      </c>
      <c r="B697" s="1" t="n">
        <v>45541</v>
      </c>
      <c r="C697" s="1" t="n">
        <v>46203</v>
      </c>
      <c r="D697" t="inlineStr">
        <is>
          <t>JÖNKÖPINGS LÄN</t>
        </is>
      </c>
      <c r="E697" t="inlineStr">
        <is>
          <t>JÖNKÖPING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18606-2023</t>
        </is>
      </c>
      <c r="B698" s="1" t="n">
        <v>45043</v>
      </c>
      <c r="C698" s="1" t="n">
        <v>46203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57620-2022</t>
        </is>
      </c>
      <c r="B699" s="1" t="n">
        <v>44897</v>
      </c>
      <c r="C699" s="1" t="n">
        <v>46203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23783-2024</t>
        </is>
      </c>
      <c r="B700" s="1" t="n">
        <v>45455</v>
      </c>
      <c r="C700" s="1" t="n">
        <v>46203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63176-2021</t>
        </is>
      </c>
      <c r="B701" s="1" t="n">
        <v>44507</v>
      </c>
      <c r="C701" s="1" t="n">
        <v>46203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43573-2024</t>
        </is>
      </c>
      <c r="B702" s="1" t="n">
        <v>45569</v>
      </c>
      <c r="C702" s="1" t="n">
        <v>46203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2453-2023</t>
        </is>
      </c>
      <c r="B703" s="1" t="n">
        <v>44943</v>
      </c>
      <c r="C703" s="1" t="n">
        <v>46203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2470-2023</t>
        </is>
      </c>
      <c r="B704" s="1" t="n">
        <v>44943</v>
      </c>
      <c r="C704" s="1" t="n">
        <v>46203</v>
      </c>
      <c r="D704" t="inlineStr">
        <is>
          <t>JÖNKÖPINGS LÄN</t>
        </is>
      </c>
      <c r="E704" t="inlineStr">
        <is>
          <t>JÖNKÖPING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45920-2024</t>
        </is>
      </c>
      <c r="B705" s="1" t="n">
        <v>45580</v>
      </c>
      <c r="C705" s="1" t="n">
        <v>46203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28307-2024</t>
        </is>
      </c>
      <c r="B706" s="1" t="n">
        <v>45477</v>
      </c>
      <c r="C706" s="1" t="n">
        <v>46203</v>
      </c>
      <c r="D706" t="inlineStr">
        <is>
          <t>JÖNKÖPINGS LÄN</t>
        </is>
      </c>
      <c r="E706" t="inlineStr">
        <is>
          <t>JÖNKÖPING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38917-2024</t>
        </is>
      </c>
      <c r="B707" s="1" t="n">
        <v>45547</v>
      </c>
      <c r="C707" s="1" t="n">
        <v>46203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17171-2023</t>
        </is>
      </c>
      <c r="B708" s="1" t="n">
        <v>45034</v>
      </c>
      <c r="C708" s="1" t="n">
        <v>46203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17203-2022</t>
        </is>
      </c>
      <c r="B709" s="1" t="n">
        <v>44677</v>
      </c>
      <c r="C709" s="1" t="n">
        <v>46203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15190-2022</t>
        </is>
      </c>
      <c r="B710" s="1" t="n">
        <v>44658</v>
      </c>
      <c r="C710" s="1" t="n">
        <v>46203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19388-2023</t>
        </is>
      </c>
      <c r="B711" s="1" t="n">
        <v>45048</v>
      </c>
      <c r="C711" s="1" t="n">
        <v>46203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19665-2023</t>
        </is>
      </c>
      <c r="B712" s="1" t="n">
        <v>45051</v>
      </c>
      <c r="C712" s="1" t="n">
        <v>46203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18846-2025</t>
        </is>
      </c>
      <c r="B713" s="1" t="n">
        <v>45764</v>
      </c>
      <c r="C713" s="1" t="n">
        <v>46203</v>
      </c>
      <c r="D713" t="inlineStr">
        <is>
          <t>JÖNKÖPINGS LÄN</t>
        </is>
      </c>
      <c r="E713" t="inlineStr">
        <is>
          <t>JÖNKÖPING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45976-2022</t>
        </is>
      </c>
      <c r="B714" s="1" t="n">
        <v>44846</v>
      </c>
      <c r="C714" s="1" t="n">
        <v>46203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33448-2023</t>
        </is>
      </c>
      <c r="B715" s="1" t="n">
        <v>45130</v>
      </c>
      <c r="C715" s="1" t="n">
        <v>46203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18774-2025</t>
        </is>
      </c>
      <c r="B716" s="1" t="n">
        <v>45764</v>
      </c>
      <c r="C716" s="1" t="n">
        <v>46203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27012-2024</t>
        </is>
      </c>
      <c r="B717" s="1" t="n">
        <v>45471</v>
      </c>
      <c r="C717" s="1" t="n">
        <v>46203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8347-2023</t>
        </is>
      </c>
      <c r="B718" s="1" t="n">
        <v>44977</v>
      </c>
      <c r="C718" s="1" t="n">
        <v>46203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12092-2023</t>
        </is>
      </c>
      <c r="B719" s="1" t="n">
        <v>44998</v>
      </c>
      <c r="C719" s="1" t="n">
        <v>46203</v>
      </c>
      <c r="D719" t="inlineStr">
        <is>
          <t>JÖNKÖPINGS LÄN</t>
        </is>
      </c>
      <c r="E719" t="inlineStr">
        <is>
          <t>JÖNKÖPING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2364-2025</t>
        </is>
      </c>
      <c r="B720" s="1" t="n">
        <v>45673</v>
      </c>
      <c r="C720" s="1" t="n">
        <v>46203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36272-2023</t>
        </is>
      </c>
      <c r="B721" s="1" t="n">
        <v>45152</v>
      </c>
      <c r="C721" s="1" t="n">
        <v>46203</v>
      </c>
      <c r="D721" t="inlineStr">
        <is>
          <t>JÖNKÖPINGS LÄN</t>
        </is>
      </c>
      <c r="E721" t="inlineStr">
        <is>
          <t>JÖNKÖPING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15455-2024</t>
        </is>
      </c>
      <c r="B722" s="1" t="n">
        <v>45401</v>
      </c>
      <c r="C722" s="1" t="n">
        <v>46203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11700-2024</t>
        </is>
      </c>
      <c r="B723" s="1" t="n">
        <v>45373</v>
      </c>
      <c r="C723" s="1" t="n">
        <v>46203</v>
      </c>
      <c r="D723" t="inlineStr">
        <is>
          <t>JÖNKÖPINGS LÄN</t>
        </is>
      </c>
      <c r="E723" t="inlineStr">
        <is>
          <t>JÖNKÖPING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33256-2023</t>
        </is>
      </c>
      <c r="B724" s="1" t="n">
        <v>45127</v>
      </c>
      <c r="C724" s="1" t="n">
        <v>46203</v>
      </c>
      <c r="D724" t="inlineStr">
        <is>
          <t>JÖNKÖPINGS LÄN</t>
        </is>
      </c>
      <c r="E724" t="inlineStr">
        <is>
          <t>JÖNKÖPING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6970-2023</t>
        </is>
      </c>
      <c r="B725" s="1" t="n">
        <v>44967</v>
      </c>
      <c r="C725" s="1" t="n">
        <v>46203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51643-2024</t>
        </is>
      </c>
      <c r="B726" s="1" t="n">
        <v>45605</v>
      </c>
      <c r="C726" s="1" t="n">
        <v>46203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36346-2023</t>
        </is>
      </c>
      <c r="B727" s="1" t="n">
        <v>45152</v>
      </c>
      <c r="C727" s="1" t="n">
        <v>46203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26512-2023</t>
        </is>
      </c>
      <c r="B728" s="1" t="n">
        <v>45092</v>
      </c>
      <c r="C728" s="1" t="n">
        <v>46203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17381-2025</t>
        </is>
      </c>
      <c r="B729" s="1" t="n">
        <v>45757</v>
      </c>
      <c r="C729" s="1" t="n">
        <v>46203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53938-2024</t>
        </is>
      </c>
      <c r="B730" s="1" t="n">
        <v>45615</v>
      </c>
      <c r="C730" s="1" t="n">
        <v>46203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11497-2022</t>
        </is>
      </c>
      <c r="B731" s="1" t="n">
        <v>44631</v>
      </c>
      <c r="C731" s="1" t="n">
        <v>46203</v>
      </c>
      <c r="D731" t="inlineStr">
        <is>
          <t>JÖNKÖPINGS LÄN</t>
        </is>
      </c>
      <c r="E731" t="inlineStr">
        <is>
          <t>JÖNKÖPING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56062-2023</t>
        </is>
      </c>
      <c r="B732" s="1" t="n">
        <v>45240</v>
      </c>
      <c r="C732" s="1" t="n">
        <v>46203</v>
      </c>
      <c r="D732" t="inlineStr">
        <is>
          <t>JÖNKÖPINGS LÄN</t>
        </is>
      </c>
      <c r="E732" t="inlineStr">
        <is>
          <t>JÖNKÖPING</t>
        </is>
      </c>
      <c r="G732" t="n">
        <v>13.6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60284-2024</t>
        </is>
      </c>
      <c r="B733" s="1" t="n">
        <v>45642</v>
      </c>
      <c r="C733" s="1" t="n">
        <v>46203</v>
      </c>
      <c r="D733" t="inlineStr">
        <is>
          <t>JÖNKÖPINGS LÄN</t>
        </is>
      </c>
      <c r="E733" t="inlineStr">
        <is>
          <t>JÖNKÖPING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14372-2023</t>
        </is>
      </c>
      <c r="B734" s="1" t="n">
        <v>45012</v>
      </c>
      <c r="C734" s="1" t="n">
        <v>46203</v>
      </c>
      <c r="D734" t="inlineStr">
        <is>
          <t>JÖNKÖPINGS LÄN</t>
        </is>
      </c>
      <c r="E734" t="inlineStr">
        <is>
          <t>JÖNKÖPING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909-2024</t>
        </is>
      </c>
      <c r="B735" s="1" t="n">
        <v>45300</v>
      </c>
      <c r="C735" s="1" t="n">
        <v>46203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47740-2024</t>
        </is>
      </c>
      <c r="B736" s="1" t="n">
        <v>45588</v>
      </c>
      <c r="C736" s="1" t="n">
        <v>46203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9924-2023</t>
        </is>
      </c>
      <c r="B737" s="1" t="n">
        <v>44985</v>
      </c>
      <c r="C737" s="1" t="n">
        <v>46203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28337-2023</t>
        </is>
      </c>
      <c r="B738" s="1" t="n">
        <v>45099</v>
      </c>
      <c r="C738" s="1" t="n">
        <v>46203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9883-2024</t>
        </is>
      </c>
      <c r="B739" s="1" t="n">
        <v>45363</v>
      </c>
      <c r="C739" s="1" t="n">
        <v>46203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42047-2023</t>
        </is>
      </c>
      <c r="B740" s="1" t="n">
        <v>45177</v>
      </c>
      <c r="C740" s="1" t="n">
        <v>46203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52058-2023</t>
        </is>
      </c>
      <c r="B741" s="1" t="n">
        <v>45223</v>
      </c>
      <c r="C741" s="1" t="n">
        <v>46203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42634-2023</t>
        </is>
      </c>
      <c r="B742" s="1" t="n">
        <v>45181</v>
      </c>
      <c r="C742" s="1" t="n">
        <v>46203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57930-2021</t>
        </is>
      </c>
      <c r="B743" s="1" t="n">
        <v>44487</v>
      </c>
      <c r="C743" s="1" t="n">
        <v>46203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8809-2024</t>
        </is>
      </c>
      <c r="B744" s="1" t="n">
        <v>45356</v>
      </c>
      <c r="C744" s="1" t="n">
        <v>46203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29880-2023</t>
        </is>
      </c>
      <c r="B745" s="1" t="n">
        <v>45107</v>
      </c>
      <c r="C745" s="1" t="n">
        <v>46203</v>
      </c>
      <c r="D745" t="inlineStr">
        <is>
          <t>JÖNKÖPINGS LÄN</t>
        </is>
      </c>
      <c r="E745" t="inlineStr">
        <is>
          <t>JÖNKÖPING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4154-2022</t>
        </is>
      </c>
      <c r="B746" s="1" t="n">
        <v>44588</v>
      </c>
      <c r="C746" s="1" t="n">
        <v>46203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48404-2023</t>
        </is>
      </c>
      <c r="B747" s="1" t="n">
        <v>45201</v>
      </c>
      <c r="C747" s="1" t="n">
        <v>46203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38225-2024</t>
        </is>
      </c>
      <c r="B748" s="1" t="n">
        <v>45545</v>
      </c>
      <c r="C748" s="1" t="n">
        <v>46203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40291-2023</t>
        </is>
      </c>
      <c r="B749" s="1" t="n">
        <v>45169</v>
      </c>
      <c r="C749" s="1" t="n">
        <v>46203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26108-2024</t>
        </is>
      </c>
      <c r="B750" s="1" t="n">
        <v>45468</v>
      </c>
      <c r="C750" s="1" t="n">
        <v>46203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59195-2022</t>
        </is>
      </c>
      <c r="B751" s="1" t="n">
        <v>44904</v>
      </c>
      <c r="C751" s="1" t="n">
        <v>46203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59218-2022</t>
        </is>
      </c>
      <c r="B752" s="1" t="n">
        <v>44904</v>
      </c>
      <c r="C752" s="1" t="n">
        <v>46203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62332-2022</t>
        </is>
      </c>
      <c r="B753" s="1" t="n">
        <v>44923</v>
      </c>
      <c r="C753" s="1" t="n">
        <v>46203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17299-2024</t>
        </is>
      </c>
      <c r="B754" s="1" t="n">
        <v>45414</v>
      </c>
      <c r="C754" s="1" t="n">
        <v>46203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12042-2024</t>
        </is>
      </c>
      <c r="B755" s="1" t="n">
        <v>45377</v>
      </c>
      <c r="C755" s="1" t="n">
        <v>46203</v>
      </c>
      <c r="D755" t="inlineStr">
        <is>
          <t>JÖNKÖPINGS LÄN</t>
        </is>
      </c>
      <c r="E755" t="inlineStr">
        <is>
          <t>JÖNKÖPING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8185-2024</t>
        </is>
      </c>
      <c r="B756" s="1" t="n">
        <v>45351</v>
      </c>
      <c r="C756" s="1" t="n">
        <v>46203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51188-2023</t>
        </is>
      </c>
      <c r="B757" s="1" t="n">
        <v>45219</v>
      </c>
      <c r="C757" s="1" t="n">
        <v>46203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28199-2024</t>
        </is>
      </c>
      <c r="B758" s="1" t="n">
        <v>45477</v>
      </c>
      <c r="C758" s="1" t="n">
        <v>46203</v>
      </c>
      <c r="D758" t="inlineStr">
        <is>
          <t>JÖNKÖPINGS LÄN</t>
        </is>
      </c>
      <c r="E758" t="inlineStr">
        <is>
          <t>JÖNKÖPING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16214-2024</t>
        </is>
      </c>
      <c r="B759" s="1" t="n">
        <v>45406</v>
      </c>
      <c r="C759" s="1" t="n">
        <v>46203</v>
      </c>
      <c r="D759" t="inlineStr">
        <is>
          <t>JÖNKÖPINGS LÄN</t>
        </is>
      </c>
      <c r="E759" t="inlineStr">
        <is>
          <t>JÖNKÖPING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30547-2024</t>
        </is>
      </c>
      <c r="B760" s="1" t="n">
        <v>45492</v>
      </c>
      <c r="C760" s="1" t="n">
        <v>46203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42734-2024</t>
        </is>
      </c>
      <c r="B761" s="1" t="n">
        <v>45566</v>
      </c>
      <c r="C761" s="1" t="n">
        <v>46203</v>
      </c>
      <c r="D761" t="inlineStr">
        <is>
          <t>JÖNKÖPINGS LÄN</t>
        </is>
      </c>
      <c r="E761" t="inlineStr">
        <is>
          <t>JÖNKÖPING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13061-2025</t>
        </is>
      </c>
      <c r="B762" s="1" t="n">
        <v>45734</v>
      </c>
      <c r="C762" s="1" t="n">
        <v>46203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2026-06-30T00:58:44Z</dcterms:created>
  <dcterms:modified xmlns:dcterms="http://purl.org/dc/terms/" xmlns:xsi="http://www.w3.org/2001/XMLSchema-instance" xsi:type="dcterms:W3CDTF">2026-06-30T00:58:45Z</dcterms:modified>
</cp:coreProperties>
</file>