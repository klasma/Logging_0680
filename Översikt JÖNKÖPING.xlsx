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46324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46324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46324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46324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46324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46324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46324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46324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46324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46324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46324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46324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46324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46324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46324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46324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46324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46324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46324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46324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46324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46324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46324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46324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46324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6799-2022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46324</v>
      </c>
      <c r="F34" t="inlineStr">
        <is>
          <t>JÖNKÖPINGS LÄN</t>
        </is>
      </c>
      <c r="G34" t="inlineStr">
        <is>
          <t>JÖNKÖPING</t>
        </is>
      </c>
      <c r="H34" t="inlineStr">
        <is>
          <t>Kyrkan</t>
        </is>
      </c>
      <c r="I34" t="n">
        <v>2.2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8</v>
      </c>
      <c r="U34" t="n">
        <v>7</v>
      </c>
      <c r="V34" s="2" t="inlineStr">
        <is>
          <t>Dvärgtufs
Grön sköldmossa
Västlig hakmossa
Mattlummer</t>
        </is>
      </c>
      <c r="W34">
        <f>HYPERLINK("https://klasma.github.io/Logging_0680/artfynd/A 6799-2022 artfynd.xlsx", "A 6799-2022")</f>
        <v/>
      </c>
      <c r="X34">
        <f>HYPERLINK("https://klasma.github.io/Logging_0680/kartor/A 6799-2022 karta.png", "A 6799-2022")</f>
        <v/>
      </c>
      <c r="Y34">
        <f>HYPERLINK("https://klasma.github.io/Logging_0680/kartor_geotiff/A 6799-2022 georefererad karta.tif", "A 6799-2022")</f>
        <v/>
      </c>
      <c r="AA34">
        <f>HYPERLINK("https://klasma.github.io/Logging_0680/klagomål/A 6799-2022 FSC-klagomål.docx", "A 6799-2022")</f>
        <v/>
      </c>
      <c r="AB34">
        <f>HYPERLINK("https://klasma.github.io/Logging_0680/klagomålsmail/A 6799-2022 FSC-klagomål mail.docx", "A 6799-2022")</f>
        <v/>
      </c>
      <c r="AC34">
        <f>HYPERLINK("https://klasma.github.io/Logging_0680/tillsyn/A 6799-2022 tillsynsbegäran.docx", "A 6799-2022")</f>
        <v/>
      </c>
      <c r="AD34">
        <f>HYPERLINK("https://klasma.github.io/Logging_0680/tillsynsmail/A 6799-2022 tillsynsbegäran mail.docx", "A 6799-2022")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46324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46324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46324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46324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46324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46324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46324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46324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46324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46324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46324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46324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46324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46324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46324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3361-2025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46324</v>
      </c>
      <c r="F50" t="inlineStr">
        <is>
          <t>JÖNKÖPINGS LÄN</t>
        </is>
      </c>
      <c r="G50" t="inlineStr">
        <is>
          <t>JÖNKÖPING</t>
        </is>
      </c>
      <c r="I50" t="n">
        <v>1.3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2</v>
      </c>
      <c r="V50" s="2" t="inlineStr">
        <is>
          <t>Vårärt
Blåsippa</t>
        </is>
      </c>
      <c r="W50">
        <f>HYPERLINK("https://klasma.github.io/Logging_0680/artfynd/A 3361-2025 artfynd.xlsx", "A 3361-2025")</f>
        <v/>
      </c>
      <c r="X50">
        <f>HYPERLINK("https://klasma.github.io/Logging_0680/kartor/A 3361-2025 karta.png", "A 3361-2025")</f>
        <v/>
      </c>
      <c r="Y50">
        <f>HYPERLINK("https://klasma.github.io/Logging_0680/kartor_geotiff/A 3361-2025 georefererad karta.tif", "A 3361-2025")</f>
        <v/>
      </c>
      <c r="AA50">
        <f>HYPERLINK("https://klasma.github.io/Logging_0680/klagomål/A 3361-2025 FSC-klagomål.docx", "A 3361-2025")</f>
        <v/>
      </c>
      <c r="AB50">
        <f>HYPERLINK("https://klasma.github.io/Logging_0680/klagomålsmail/A 3361-2025 FSC-klagomål mail.docx", "A 3361-2025")</f>
        <v/>
      </c>
      <c r="AC50">
        <f>HYPERLINK("https://klasma.github.io/Logging_0680/tillsyn/A 3361-2025 tillsynsbegäran.docx", "A 3361-2025")</f>
        <v/>
      </c>
      <c r="AD50">
        <f>HYPERLINK("https://klasma.github.io/Logging_0680/tillsynsmail/A 3361-2025 tillsynsbegäran mail.docx", "A 3361-2025")</f>
        <v/>
      </c>
    </row>
    <row r="51" ht="15" customHeight="1">
      <c r="A51" t="inlineStr">
        <is>
          <t>A 9974-2023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46324</v>
      </c>
      <c r="F51" t="inlineStr">
        <is>
          <t>JÖNKÖPINGS LÄN</t>
        </is>
      </c>
      <c r="G51" t="inlineStr">
        <is>
          <t>JÖNKÖPING</t>
        </is>
      </c>
      <c r="I51" t="n">
        <v>1.2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Entita
Kungsfågel</t>
        </is>
      </c>
      <c r="W51">
        <f>HYPERLINK("https://klasma.github.io/Logging_0680/artfynd/A 9974-2023 artfynd.xlsx", "A 9974-2023")</f>
        <v/>
      </c>
      <c r="X51">
        <f>HYPERLINK("https://klasma.github.io/Logging_0680/kartor/A 9974-2023 karta.png", "A 9974-2023")</f>
        <v/>
      </c>
      <c r="Y51">
        <f>HYPERLINK("https://klasma.github.io/Logging_0680/kartor_geotiff/A 9974-2023 georefererad karta.tif", "A 9974-2023")</f>
        <v/>
      </c>
      <c r="AA51">
        <f>HYPERLINK("https://klasma.github.io/Logging_0680/klagomål/A 9974-2023 FSC-klagomål.docx", "A 9974-2023")</f>
        <v/>
      </c>
      <c r="AB51">
        <f>HYPERLINK("https://klasma.github.io/Logging_0680/klagomålsmail/A 9974-2023 FSC-klagomål mail.docx", "A 9974-2023")</f>
        <v/>
      </c>
      <c r="AC51">
        <f>HYPERLINK("https://klasma.github.io/Logging_0680/tillsyn/A 9974-2023 tillsynsbegäran.docx", "A 9974-2023")</f>
        <v/>
      </c>
      <c r="AD51">
        <f>HYPERLINK("https://klasma.github.io/Logging_0680/tillsynsmail/A 9974-2023 tillsynsbegäran mail.docx", "A 9974-2023")</f>
        <v/>
      </c>
      <c r="AE51">
        <f>HYPERLINK("https://klasma.github.io/Logging_0680/fåglar/A 9974-2023 prioriterade fågelarter.docx", "A 9974-2023")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46324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1235-2024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45302</v>
      </c>
      <c r="E53" s="1" t="n">
        <v>46324</v>
      </c>
      <c r="F53" t="inlineStr">
        <is>
          <t>JÖNKÖPINGS LÄN</t>
        </is>
      </c>
      <c r="G53" t="inlineStr">
        <is>
          <t>JÖNKÖPING</t>
        </is>
      </c>
      <c r="I53" t="n">
        <v>2.8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3</v>
      </c>
      <c r="U53" t="n">
        <v>0</v>
      </c>
      <c r="V53" s="2" t="inlineStr">
        <is>
          <t>Lakritsmusseron
Dropptaggsvamp</t>
        </is>
      </c>
      <c r="W53">
        <f>HYPERLINK("https://klasma.github.io/Logging_0680/artfynd/A 1235-2024 artfynd.xlsx", "A 1235-2024")</f>
        <v/>
      </c>
      <c r="X53">
        <f>HYPERLINK("https://klasma.github.io/Logging_0680/kartor/A 1235-2024 karta.png", "A 1235-2024")</f>
        <v/>
      </c>
      <c r="Y53">
        <f>HYPERLINK("https://klasma.github.io/Logging_0680/kartor_geotiff/A 1235-2024 georefererad karta.tif", "A 1235-2024")</f>
        <v/>
      </c>
      <c r="AA53">
        <f>HYPERLINK("https://klasma.github.io/Logging_0680/klagomål/A 1235-2024 FSC-klagomål.docx", "A 1235-2024")</f>
        <v/>
      </c>
      <c r="AB53">
        <f>HYPERLINK("https://klasma.github.io/Logging_0680/klagomålsmail/A 1235-2024 FSC-klagomål mail.docx", "A 1235-2024")</f>
        <v/>
      </c>
      <c r="AC53">
        <f>HYPERLINK("https://klasma.github.io/Logging_0680/tillsyn/A 1235-2024 tillsynsbegäran.docx", "A 1235-2024")</f>
        <v/>
      </c>
      <c r="AD53">
        <f>HYPERLINK("https://klasma.github.io/Logging_0680/tillsynsmail/A 1235-2024 tillsynsbegäran mail.docx", "A 1235-2024")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46324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46324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37016-2024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46324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Vårärt
Tibast</t>
        </is>
      </c>
      <c r="W56">
        <f>HYPERLINK("https://klasma.github.io/Logging_0680/artfynd/A 37016-2024 artfynd.xlsx", "A 37016-2024")</f>
        <v/>
      </c>
      <c r="X56">
        <f>HYPERLINK("https://klasma.github.io/Logging_0680/kartor/A 37016-2024 karta.png", "A 37016-2024")</f>
        <v/>
      </c>
      <c r="Y56">
        <f>HYPERLINK("https://klasma.github.io/Logging_0680/kartor_geotiff/A 37016-2024 georefererad karta.tif", "A 37016-2024")</f>
        <v/>
      </c>
      <c r="AA56">
        <f>HYPERLINK("https://klasma.github.io/Logging_0680/klagomål/A 37016-2024 FSC-klagomål.docx", "A 37016-2024")</f>
        <v/>
      </c>
      <c r="AB56">
        <f>HYPERLINK("https://klasma.github.io/Logging_0680/klagomålsmail/A 37016-2024 FSC-klagomål mail.docx", "A 37016-2024")</f>
        <v/>
      </c>
      <c r="AC56">
        <f>HYPERLINK("https://klasma.github.io/Logging_0680/tillsyn/A 37016-2024 tillsynsbegäran.docx", "A 37016-2024")</f>
        <v/>
      </c>
      <c r="AD56">
        <f>HYPERLINK("https://klasma.github.io/Logging_0680/tillsynsmail/A 37016-2024 tillsynsbegäran mail.docx", "A 37016-2024")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46324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17836-2025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46324</v>
      </c>
      <c r="F58" t="inlineStr">
        <is>
          <t>JÖNKÖPINGS LÄN</t>
        </is>
      </c>
      <c r="G58" t="inlineStr">
        <is>
          <t>JÖNKÖPING</t>
        </is>
      </c>
      <c r="H58" t="inlineStr">
        <is>
          <t>Kyrkan</t>
        </is>
      </c>
      <c r="I58" t="n">
        <v>7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Större vattensalamander
Mindre vattensalamander</t>
        </is>
      </c>
      <c r="W58">
        <f>HYPERLINK("https://klasma.github.io/Logging_0680/artfynd/A 17836-2025 artfynd.xlsx", "A 17836-2025")</f>
        <v/>
      </c>
      <c r="X58">
        <f>HYPERLINK("https://klasma.github.io/Logging_0680/kartor/A 17836-2025 karta.png", "A 17836-2025")</f>
        <v/>
      </c>
      <c r="Y58">
        <f>HYPERLINK("https://klasma.github.io/Logging_0680/kartor_geotiff/A 17836-2025 georefererad karta.tif", "A 17836-2025")</f>
        <v/>
      </c>
      <c r="AA58">
        <f>HYPERLINK("https://klasma.github.io/Logging_0680/klagomål/A 17836-2025 FSC-klagomål.docx", "A 17836-2025")</f>
        <v/>
      </c>
      <c r="AB58">
        <f>HYPERLINK("https://klasma.github.io/Logging_0680/klagomålsmail/A 17836-2025 FSC-klagomål mail.docx", "A 17836-2025")</f>
        <v/>
      </c>
      <c r="AC58">
        <f>HYPERLINK("https://klasma.github.io/Logging_0680/tillsyn/A 17836-2025 tillsynsbegäran.docx", "A 17836-2025")</f>
        <v/>
      </c>
      <c r="AD58">
        <f>HYPERLINK("https://klasma.github.io/Logging_0680/tillsynsmail/A 17836-2025 tillsynsbegäran mail.docx", "A 17836-2025")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46324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5291-2024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46324</v>
      </c>
      <c r="F60" t="inlineStr">
        <is>
          <t>JÖNKÖPINGS LÄN</t>
        </is>
      </c>
      <c r="G60" t="inlineStr">
        <is>
          <t>JÖNKÖPING</t>
        </is>
      </c>
      <c r="I60" t="n">
        <v>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Jungfrulin
Grönvit nattviol</t>
        </is>
      </c>
      <c r="W60">
        <f>HYPERLINK("https://klasma.github.io/Logging_0680/artfynd/A 5291-2024 artfynd.xlsx", "A 5291-2024")</f>
        <v/>
      </c>
      <c r="X60">
        <f>HYPERLINK("https://klasma.github.io/Logging_0680/kartor/A 5291-2024 karta.png", "A 5291-2024")</f>
        <v/>
      </c>
      <c r="Y60">
        <f>HYPERLINK("https://klasma.github.io/Logging_0680/kartor_geotiff/A 5291-2024 georefererad karta.tif", "A 5291-2024")</f>
        <v/>
      </c>
      <c r="AA60">
        <f>HYPERLINK("https://klasma.github.io/Logging_0680/klagomål/A 5291-2024 FSC-klagomål.docx", "A 5291-2024")</f>
        <v/>
      </c>
      <c r="AB60">
        <f>HYPERLINK("https://klasma.github.io/Logging_0680/klagomålsmail/A 5291-2024 FSC-klagomål mail.docx", "A 5291-2024")</f>
        <v/>
      </c>
      <c r="AC60">
        <f>HYPERLINK("https://klasma.github.io/Logging_0680/tillsyn/A 5291-2024 tillsynsbegäran.docx", "A 5291-2024")</f>
        <v/>
      </c>
      <c r="AD60">
        <f>HYPERLINK("https://klasma.github.io/Logging_0680/tillsynsmail/A 5291-2024 tillsynsbegäran mail.docx", "A 5291-2024")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46324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46324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46324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46324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46324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23066-2025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45790</v>
      </c>
      <c r="E66" s="1" t="n">
        <v>46324</v>
      </c>
      <c r="F66" t="inlineStr">
        <is>
          <t>JÖNKÖPINGS LÄN</t>
        </is>
      </c>
      <c r="G66" t="inlineStr">
        <is>
          <t>JÖNKÖPING</t>
        </is>
      </c>
      <c r="I66" t="n">
        <v>1.5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Nattviol</t>
        </is>
      </c>
      <c r="W66">
        <f>HYPERLINK("https://klasma.github.io/Logging_0680/artfynd/A 23066-2025 artfynd.xlsx", "A 23066-2025")</f>
        <v/>
      </c>
      <c r="X66">
        <f>HYPERLINK("https://klasma.github.io/Logging_0680/kartor/A 23066-2025 karta.png", "A 23066-2025")</f>
        <v/>
      </c>
      <c r="Y66">
        <f>HYPERLINK("https://klasma.github.io/Logging_0680/kartor_geotiff/A 23066-2025 georefererad karta.tif", "A 23066-2025")</f>
        <v/>
      </c>
      <c r="AA66">
        <f>HYPERLINK("https://klasma.github.io/Logging_0680/klagomål/A 23066-2025 FSC-klagomål.docx", "A 23066-2025")</f>
        <v/>
      </c>
      <c r="AB66">
        <f>HYPERLINK("https://klasma.github.io/Logging_0680/klagomålsmail/A 23066-2025 FSC-klagomål mail.docx", "A 23066-2025")</f>
        <v/>
      </c>
      <c r="AC66">
        <f>HYPERLINK("https://klasma.github.io/Logging_0680/tillsyn/A 23066-2025 tillsynsbegäran.docx", "A 23066-2025")</f>
        <v/>
      </c>
      <c r="AD66">
        <f>HYPERLINK("https://klasma.github.io/Logging_0680/tillsynsmail/A 23066-2025 tillsynsbegäran mail.docx", "A 23066-2025")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46324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22303-2024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46324</v>
      </c>
      <c r="F68" t="inlineStr">
        <is>
          <t>JÖNKÖPINGS LÄN</t>
        </is>
      </c>
      <c r="G68" t="inlineStr">
        <is>
          <t>JÖNKÖPING</t>
        </is>
      </c>
      <c r="I68" t="n">
        <v>4.1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Jungfrulin
Grönvit nattviol</t>
        </is>
      </c>
      <c r="W68">
        <f>HYPERLINK("https://klasma.github.io/Logging_0680/artfynd/A 22303-2024 artfynd.xlsx", "A 22303-2024")</f>
        <v/>
      </c>
      <c r="X68">
        <f>HYPERLINK("https://klasma.github.io/Logging_0680/kartor/A 22303-2024 karta.png", "A 22303-2024")</f>
        <v/>
      </c>
      <c r="Y68">
        <f>HYPERLINK("https://klasma.github.io/Logging_0680/kartor_geotiff/A 22303-2024 georefererad karta.tif", "A 22303-2024")</f>
        <v/>
      </c>
      <c r="AA68">
        <f>HYPERLINK("https://klasma.github.io/Logging_0680/klagomål/A 22303-2024 FSC-klagomål.docx", "A 22303-2024")</f>
        <v/>
      </c>
      <c r="AB68">
        <f>HYPERLINK("https://klasma.github.io/Logging_0680/klagomålsmail/A 22303-2024 FSC-klagomål mail.docx", "A 22303-2024")</f>
        <v/>
      </c>
      <c r="AC68">
        <f>HYPERLINK("https://klasma.github.io/Logging_0680/tillsyn/A 22303-2024 tillsynsbegäran.docx", "A 22303-2024")</f>
        <v/>
      </c>
      <c r="AD68">
        <f>HYPERLINK("https://klasma.github.io/Logging_0680/tillsynsmail/A 22303-2024 tillsynsbegäran mail.docx", "A 22303-2024")</f>
        <v/>
      </c>
    </row>
    <row r="69" ht="15" customHeight="1">
      <c r="A69" t="inlineStr">
        <is>
          <t>A 11623-2024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46324</v>
      </c>
      <c r="F69" t="inlineStr">
        <is>
          <t>JÖNKÖPINGS LÄN</t>
        </is>
      </c>
      <c r="G69" t="inlineStr">
        <is>
          <t>JÖNKÖPING</t>
        </is>
      </c>
      <c r="I69" t="n">
        <v>0.7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Sexfläckig bastardsvärmare
Ängsmetallvinge</t>
        </is>
      </c>
      <c r="W69">
        <f>HYPERLINK("https://klasma.github.io/Logging_0680/artfynd/A 11623-2024 artfynd.xlsx", "A 11623-2024")</f>
        <v/>
      </c>
      <c r="X69">
        <f>HYPERLINK("https://klasma.github.io/Logging_0680/kartor/A 11623-2024 karta.png", "A 11623-2024")</f>
        <v/>
      </c>
      <c r="Y69">
        <f>HYPERLINK("https://klasma.github.io/Logging_0680/kartor_geotiff/A 11623-2024 georefererad karta.tif", "A 11623-2024")</f>
        <v/>
      </c>
      <c r="AA69">
        <f>HYPERLINK("https://klasma.github.io/Logging_0680/klagomål/A 11623-2024 FSC-klagomål.docx", "A 11623-2024")</f>
        <v/>
      </c>
      <c r="AB69">
        <f>HYPERLINK("https://klasma.github.io/Logging_0680/klagomålsmail/A 11623-2024 FSC-klagomål mail.docx", "A 11623-2024")</f>
        <v/>
      </c>
      <c r="AC69">
        <f>HYPERLINK("https://klasma.github.io/Logging_0680/tillsyn/A 11623-2024 tillsynsbegäran.docx", "A 11623-2024")</f>
        <v/>
      </c>
      <c r="AD69">
        <f>HYPERLINK("https://klasma.github.io/Logging_0680/tillsynsmail/A 11623-2024 tillsynsbegäran mail.docx", "A 11623-2024")</f>
        <v/>
      </c>
    </row>
    <row r="70" ht="15" customHeight="1">
      <c r="A70" t="inlineStr">
        <is>
          <t>A 58082-2025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46324</v>
      </c>
      <c r="F70" t="inlineStr">
        <is>
          <t>JÖNKÖPINGS LÄN</t>
        </is>
      </c>
      <c r="G70" t="inlineStr">
        <is>
          <t>JÖNKÖPING</t>
        </is>
      </c>
      <c r="I70" t="n">
        <v>2.9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Storgröe
Springkorn</t>
        </is>
      </c>
      <c r="W70">
        <f>HYPERLINK("https://klasma.github.io/Logging_0680/artfynd/A 58082-2025 artfynd.xlsx", "A 58082-2025")</f>
        <v/>
      </c>
      <c r="X70">
        <f>HYPERLINK("https://klasma.github.io/Logging_0680/kartor/A 58082-2025 karta.png", "A 58082-2025")</f>
        <v/>
      </c>
      <c r="Y70">
        <f>HYPERLINK("https://klasma.github.io/Logging_0680/kartor_geotiff/A 58082-2025 georefererad karta.tif", "A 58082-2025")</f>
        <v/>
      </c>
      <c r="AA70">
        <f>HYPERLINK("https://klasma.github.io/Logging_0680/klagomål/A 58082-2025 FSC-klagomål.docx", "A 58082-2025")</f>
        <v/>
      </c>
      <c r="AB70">
        <f>HYPERLINK("https://klasma.github.io/Logging_0680/klagomålsmail/A 58082-2025 FSC-klagomål mail.docx", "A 58082-2025")</f>
        <v/>
      </c>
      <c r="AC70">
        <f>HYPERLINK("https://klasma.github.io/Logging_0680/tillsyn/A 58082-2025 tillsynsbegäran.docx", "A 58082-2025")</f>
        <v/>
      </c>
      <c r="AD70">
        <f>HYPERLINK("https://klasma.github.io/Logging_0680/tillsynsmail/A 58082-2025 tillsynsbegäran mail.docx", "A 58082-2025")</f>
        <v/>
      </c>
    </row>
    <row r="71" ht="15" customHeight="1">
      <c r="A71" t="inlineStr">
        <is>
          <t>A 2486-2023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44943</v>
      </c>
      <c r="E71" s="1" t="n">
        <v>46324</v>
      </c>
      <c r="F71" t="inlineStr">
        <is>
          <t>JÖNKÖPINGS LÄN</t>
        </is>
      </c>
      <c r="G71" t="inlineStr">
        <is>
          <t>JÖNKÖPING</t>
        </is>
      </c>
      <c r="I71" t="n">
        <v>2.5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Solvända
Fällmossa</t>
        </is>
      </c>
      <c r="W71">
        <f>HYPERLINK("https://klasma.github.io/Logging_0680/artfynd/A 2486-2023 artfynd.xlsx", "A 2486-2023")</f>
        <v/>
      </c>
      <c r="X71">
        <f>HYPERLINK("https://klasma.github.io/Logging_0680/kartor/A 2486-2023 karta.png", "A 2486-2023")</f>
        <v/>
      </c>
      <c r="Y71">
        <f>HYPERLINK("https://klasma.github.io/Logging_0680/kartor_geotiff/A 2486-2023 georefererad karta.tif", "A 2486-2023")</f>
        <v/>
      </c>
      <c r="AA71">
        <f>HYPERLINK("https://klasma.github.io/Logging_0680/klagomål/A 2486-2023 FSC-klagomål.docx", "A 2486-2023")</f>
        <v/>
      </c>
      <c r="AB71">
        <f>HYPERLINK("https://klasma.github.io/Logging_0680/klagomålsmail/A 2486-2023 FSC-klagomål mail.docx", "A 2486-2023")</f>
        <v/>
      </c>
      <c r="AC71">
        <f>HYPERLINK("https://klasma.github.io/Logging_0680/tillsyn/A 2486-2023 tillsynsbegäran.docx", "A 2486-2023")</f>
        <v/>
      </c>
      <c r="AD71">
        <f>HYPERLINK("https://klasma.github.io/Logging_0680/tillsynsmail/A 2486-2023 tillsynsbegäran mail.docx", "A 2486-2023")</f>
        <v/>
      </c>
    </row>
    <row r="72" ht="15" customHeight="1">
      <c r="A72" t="inlineStr">
        <is>
          <t>A 36799-2024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46324</v>
      </c>
      <c r="F72" t="inlineStr">
        <is>
          <t>JÖNKÖPINGS LÄN</t>
        </is>
      </c>
      <c r="G72" t="inlineStr">
        <is>
          <t>JÖNKÖPING</t>
        </is>
      </c>
      <c r="I72" t="n">
        <v>1.1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Svinrot
Grönpyrola</t>
        </is>
      </c>
      <c r="W72">
        <f>HYPERLINK("https://klasma.github.io/Logging_0680/artfynd/A 36799-2024 artfynd.xlsx", "A 36799-2024")</f>
        <v/>
      </c>
      <c r="X72">
        <f>HYPERLINK("https://klasma.github.io/Logging_0680/kartor/A 36799-2024 karta.png", "A 36799-2024")</f>
        <v/>
      </c>
      <c r="Y72">
        <f>HYPERLINK("https://klasma.github.io/Logging_0680/kartor_geotiff/A 36799-2024 georefererad karta.tif", "A 36799-2024")</f>
        <v/>
      </c>
      <c r="AA72">
        <f>HYPERLINK("https://klasma.github.io/Logging_0680/klagomål/A 36799-2024 FSC-klagomål.docx", "A 36799-2024")</f>
        <v/>
      </c>
      <c r="AB72">
        <f>HYPERLINK("https://klasma.github.io/Logging_0680/klagomålsmail/A 36799-2024 FSC-klagomål mail.docx", "A 36799-2024")</f>
        <v/>
      </c>
      <c r="AC72">
        <f>HYPERLINK("https://klasma.github.io/Logging_0680/tillsyn/A 36799-2024 tillsynsbegäran.docx", "A 36799-2024")</f>
        <v/>
      </c>
      <c r="AD72">
        <f>HYPERLINK("https://klasma.github.io/Logging_0680/tillsynsmail/A 36799-2024 tillsynsbegäran mail.docx", "A 36799-2024")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46324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46324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46324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46324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46324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46324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46324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43624-2023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46324</v>
      </c>
      <c r="F80" t="inlineStr">
        <is>
          <t>JÖNKÖPINGS LÄN</t>
        </is>
      </c>
      <c r="G80" t="inlineStr">
        <is>
          <t>JÖNKÖPING</t>
        </is>
      </c>
      <c r="I80" t="n">
        <v>4.1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HYPERLINK("https://klasma.github.io/Logging_0680/artfynd/A 43624-2023 artfynd.xlsx", "A 43624-2023")</f>
        <v/>
      </c>
      <c r="X80">
        <f>HYPERLINK("https://klasma.github.io/Logging_0680/kartor/A 43624-2023 karta.png", "A 43624-2023")</f>
        <v/>
      </c>
      <c r="Y80">
        <f>HYPERLINK("https://klasma.github.io/Logging_0680/kartor_geotiff/A 43624-2023 georefererad karta.tif", "A 43624-2023")</f>
        <v/>
      </c>
      <c r="AA80">
        <f>HYPERLINK("https://klasma.github.io/Logging_0680/klagomål/A 43624-2023 FSC-klagomål.docx", "A 43624-2023")</f>
        <v/>
      </c>
      <c r="AB80">
        <f>HYPERLINK("https://klasma.github.io/Logging_0680/klagomålsmail/A 43624-2023 FSC-klagomål mail.docx", "A 43624-2023")</f>
        <v/>
      </c>
      <c r="AC80">
        <f>HYPERLINK("https://klasma.github.io/Logging_0680/tillsyn/A 43624-2023 tillsynsbegäran.docx", "A 43624-2023")</f>
        <v/>
      </c>
      <c r="AD80">
        <f>HYPERLINK("https://klasma.github.io/Logging_0680/tillsynsmail/A 43624-2023 tillsynsbegäran mail.docx", "A 43624-2023")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46324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46324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74117-2021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46324</v>
      </c>
      <c r="F83" t="inlineStr">
        <is>
          <t>JÖNKÖPINGS LÄN</t>
        </is>
      </c>
      <c r="G83" t="inlineStr">
        <is>
          <t>JÖNKÖPING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Nattskärra</t>
        </is>
      </c>
      <c r="W83">
        <f>HYPERLINK("https://klasma.github.io/Logging_0680/artfynd/A 74117-2021 artfynd.xlsx", "A 74117-2021")</f>
        <v/>
      </c>
      <c r="X83">
        <f>HYPERLINK("https://klasma.github.io/Logging_0680/kartor/A 74117-2021 karta.png", "A 74117-2021")</f>
        <v/>
      </c>
      <c r="Y83">
        <f>HYPERLINK("https://klasma.github.io/Logging_0680/kartor_geotiff/A 74117-2021 georefererad karta.tif", "A 74117-2021")</f>
        <v/>
      </c>
      <c r="AA83">
        <f>HYPERLINK("https://klasma.github.io/Logging_0680/klagomål/A 74117-2021 FSC-klagomål.docx", "A 74117-2021")</f>
        <v/>
      </c>
      <c r="AB83">
        <f>HYPERLINK("https://klasma.github.io/Logging_0680/klagomålsmail/A 74117-2021 FSC-klagomål mail.docx", "A 74117-2021")</f>
        <v/>
      </c>
      <c r="AC83">
        <f>HYPERLINK("https://klasma.github.io/Logging_0680/tillsyn/A 74117-2021 tillsynsbegäran.docx", "A 74117-2021")</f>
        <v/>
      </c>
      <c r="AD83">
        <f>HYPERLINK("https://klasma.github.io/Logging_0680/tillsynsmail/A 74117-2021 tillsynsbegäran mail.docx", "A 74117-2021")</f>
        <v/>
      </c>
      <c r="AE83">
        <f>HYPERLINK("https://klasma.github.io/Logging_0680/fåglar/A 74117-2021 prioriterade fågelarter.docx", "A 74117-2021")</f>
        <v/>
      </c>
    </row>
    <row r="84" ht="15" customHeight="1">
      <c r="A84" t="inlineStr">
        <is>
          <t>A 14221-2025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46324</v>
      </c>
      <c r="F84" t="inlineStr">
        <is>
          <t>JÖNKÖPINGS LÄN</t>
        </is>
      </c>
      <c r="G84" t="inlineStr">
        <is>
          <t>JÖNKÖPING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1</v>
      </c>
      <c r="V84" s="2" t="inlineStr">
        <is>
          <t>Gaffelglim</t>
        </is>
      </c>
      <c r="W84">
        <f>HYPERLINK("https://klasma.github.io/Logging_0680/artfynd/A 14221-2025 artfynd.xlsx", "A 14221-2025")</f>
        <v/>
      </c>
      <c r="X84">
        <f>HYPERLINK("https://klasma.github.io/Logging_0680/kartor/A 14221-2025 karta.png", "A 14221-2025")</f>
        <v/>
      </c>
      <c r="Y84">
        <f>HYPERLINK("https://klasma.github.io/Logging_0680/kartor_geotiff/A 14221-2025 georefererad karta.tif", "A 14221-2025")</f>
        <v/>
      </c>
      <c r="AA84">
        <f>HYPERLINK("https://klasma.github.io/Logging_0680/klagomål/A 14221-2025 FSC-klagomål.docx", "A 14221-2025")</f>
        <v/>
      </c>
      <c r="AB84">
        <f>HYPERLINK("https://klasma.github.io/Logging_0680/klagomålsmail/A 14221-2025 FSC-klagomål mail.docx", "A 14221-2025")</f>
        <v/>
      </c>
      <c r="AC84">
        <f>HYPERLINK("https://klasma.github.io/Logging_0680/tillsyn/A 14221-2025 tillsynsbegäran.docx", "A 14221-2025")</f>
        <v/>
      </c>
      <c r="AD84">
        <f>HYPERLINK("https://klasma.github.io/Logging_0680/tillsynsmail/A 14221-2025 tillsynsbegäran mail.docx", "A 14221-2025")</f>
        <v/>
      </c>
    </row>
    <row r="85" ht="15" customHeight="1">
      <c r="A85" t="inlineStr">
        <is>
          <t>A 47492-2024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45587</v>
      </c>
      <c r="E85" s="1" t="n">
        <v>46324</v>
      </c>
      <c r="F85" t="inlineStr">
        <is>
          <t>JÖNKÖPINGS LÄN</t>
        </is>
      </c>
      <c r="G85" t="inlineStr">
        <is>
          <t>JÖNKÖPING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47492-2024 artfynd.xlsx", "A 47492-2024")</f>
        <v/>
      </c>
      <c r="X85">
        <f>HYPERLINK("https://klasma.github.io/Logging_0680/kartor/A 47492-2024 karta.png", "A 47492-2024")</f>
        <v/>
      </c>
      <c r="Y85">
        <f>HYPERLINK("https://klasma.github.io/Logging_0680/kartor_geotiff/A 47492-2024 georefererad karta.tif", "A 47492-2024")</f>
        <v/>
      </c>
      <c r="AA85">
        <f>HYPERLINK("https://klasma.github.io/Logging_0680/klagomål/A 47492-2024 FSC-klagomål.docx", "A 47492-2024")</f>
        <v/>
      </c>
      <c r="AB85">
        <f>HYPERLINK("https://klasma.github.io/Logging_0680/klagomålsmail/A 47492-2024 FSC-klagomål mail.docx", "A 47492-2024")</f>
        <v/>
      </c>
      <c r="AC85">
        <f>HYPERLINK("https://klasma.github.io/Logging_0680/tillsyn/A 47492-2024 tillsynsbegäran.docx", "A 47492-2024")</f>
        <v/>
      </c>
      <c r="AD85">
        <f>HYPERLINK("https://klasma.github.io/Logging_0680/tillsynsmail/A 47492-2024 tillsynsbegäran mail.docx", "A 47492-2024")</f>
        <v/>
      </c>
    </row>
    <row r="86" ht="15" customHeight="1">
      <c r="A86" t="inlineStr">
        <is>
          <t>A 29056-2022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46324</v>
      </c>
      <c r="F86" t="inlineStr">
        <is>
          <t>JÖNKÖPINGS LÄN</t>
        </is>
      </c>
      <c r="G86" t="inlineStr">
        <is>
          <t>JÖNKÖPING</t>
        </is>
      </c>
      <c r="I86" t="n">
        <v>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Toppvaxing</t>
        </is>
      </c>
      <c r="W86">
        <f>HYPERLINK("https://klasma.github.io/Logging_0680/artfynd/A 29056-2022 artfynd.xlsx", "A 29056-2022")</f>
        <v/>
      </c>
      <c r="X86">
        <f>HYPERLINK("https://klasma.github.io/Logging_0680/kartor/A 29056-2022 karta.png", "A 29056-2022")</f>
        <v/>
      </c>
      <c r="Y86">
        <f>HYPERLINK("https://klasma.github.io/Logging_0680/kartor_geotiff/A 29056-2022 georefererad karta.tif", "A 29056-2022")</f>
        <v/>
      </c>
      <c r="AA86">
        <f>HYPERLINK("https://klasma.github.io/Logging_0680/klagomål/A 29056-2022 FSC-klagomål.docx", "A 29056-2022")</f>
        <v/>
      </c>
      <c r="AB86">
        <f>HYPERLINK("https://klasma.github.io/Logging_0680/klagomålsmail/A 29056-2022 FSC-klagomål mail.docx", "A 29056-2022")</f>
        <v/>
      </c>
      <c r="AC86">
        <f>HYPERLINK("https://klasma.github.io/Logging_0680/tillsyn/A 29056-2022 tillsynsbegäran.docx", "A 29056-2022")</f>
        <v/>
      </c>
      <c r="AD86">
        <f>HYPERLINK("https://klasma.github.io/Logging_0680/tillsynsmail/A 29056-2022 tillsynsbegäran mail.docx", "A 29056-2022")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46324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5898-2023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44963</v>
      </c>
      <c r="E88" s="1" t="n">
        <v>46324</v>
      </c>
      <c r="F88" t="inlineStr">
        <is>
          <t>JÖNKÖPINGS LÄN</t>
        </is>
      </c>
      <c r="G88" t="inlineStr">
        <is>
          <t>JÖNKÖPING</t>
        </is>
      </c>
      <c r="I88" t="n">
        <v>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HYPERLINK("https://klasma.github.io/Logging_0680/artfynd/A 5898-2023 artfynd.xlsx", "A 5898-2023")</f>
        <v/>
      </c>
      <c r="X88">
        <f>HYPERLINK("https://klasma.github.io/Logging_0680/kartor/A 5898-2023 karta.png", "A 5898-2023")</f>
        <v/>
      </c>
      <c r="Y88">
        <f>HYPERLINK("https://klasma.github.io/Logging_0680/kartor_geotiff/A 5898-2023 georefererad karta.tif", "A 5898-2023")</f>
        <v/>
      </c>
      <c r="AA88">
        <f>HYPERLINK("https://klasma.github.io/Logging_0680/klagomål/A 5898-2023 FSC-klagomål.docx", "A 5898-2023")</f>
        <v/>
      </c>
      <c r="AB88">
        <f>HYPERLINK("https://klasma.github.io/Logging_0680/klagomålsmail/A 5898-2023 FSC-klagomål mail.docx", "A 5898-2023")</f>
        <v/>
      </c>
      <c r="AC88">
        <f>HYPERLINK("https://klasma.github.io/Logging_0680/tillsyn/A 5898-2023 tillsynsbegäran.docx", "A 5898-2023")</f>
        <v/>
      </c>
      <c r="AD88">
        <f>HYPERLINK("https://klasma.github.io/Logging_0680/tillsynsmail/A 5898-2023 tillsynsbegäran mail.docx", "A 5898-2023")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46324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Läkeögontröst</t>
        </is>
      </c>
      <c r="W89">
        <f>HYPERLINK("https://klasma.github.io/Logging_0680/artfynd/A 33405-2025 artfynd.xlsx", "A 33405-2025")</f>
        <v/>
      </c>
      <c r="X89">
        <f>HYPERLINK("https://klasma.github.io/Logging_0680/kartor/A 33405-2025 karta.png", "A 33405-2025")</f>
        <v/>
      </c>
      <c r="Y89">
        <f>HYPERLINK("https://klasma.github.io/Logging_0680/kartor_geotiff/A 33405-2025 georefererad karta.tif", "A 33405-2025")</f>
        <v/>
      </c>
      <c r="AA89">
        <f>HYPERLINK("https://klasma.github.io/Logging_0680/klagomål/A 33405-2025 FSC-klagomål.docx", "A 33405-2025")</f>
        <v/>
      </c>
      <c r="AB89">
        <f>HYPERLINK("https://klasma.github.io/Logging_0680/klagomålsmail/A 33405-2025 FSC-klagomål mail.docx", "A 33405-2025")</f>
        <v/>
      </c>
      <c r="AC89">
        <f>HYPERLINK("https://klasma.github.io/Logging_0680/tillsyn/A 33405-2025 tillsynsbegäran.docx", "A 33405-2025")</f>
        <v/>
      </c>
      <c r="AD89">
        <f>HYPERLINK("https://klasma.github.io/Logging_0680/tillsynsmail/A 33405-2025 tillsynsbegäran mail.docx", "A 33405-2025")</f>
        <v/>
      </c>
    </row>
    <row r="90" ht="15" customHeight="1">
      <c r="A90" t="inlineStr">
        <is>
          <t>A 33849-2025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45842</v>
      </c>
      <c r="E90" s="1" t="n">
        <v>46324</v>
      </c>
      <c r="F90" t="inlineStr">
        <is>
          <t>JÖNKÖPINGS LÄN</t>
        </is>
      </c>
      <c r="G90" t="inlineStr">
        <is>
          <t>JÖNKÖPING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4</v>
      </c>
      <c r="U90" t="n">
        <v>4</v>
      </c>
      <c r="V90" s="2" t="inlineStr">
        <is>
          <t>Jungfrulin</t>
        </is>
      </c>
      <c r="W90">
        <f>HYPERLINK("https://klasma.github.io/Logging_0680/artfynd/A 33849-2025 artfynd.xlsx", "A 33849-2025")</f>
        <v/>
      </c>
      <c r="X90">
        <f>HYPERLINK("https://klasma.github.io/Logging_0680/kartor/A 33849-2025 karta.png", "A 33849-2025")</f>
        <v/>
      </c>
      <c r="Y90">
        <f>HYPERLINK("https://klasma.github.io/Logging_0680/kartor_geotiff/A 33849-2025 georefererad karta.tif", "A 33849-2025")</f>
        <v/>
      </c>
      <c r="AA90">
        <f>HYPERLINK("https://klasma.github.io/Logging_0680/klagomål/A 33849-2025 FSC-klagomål.docx", "A 33849-2025")</f>
        <v/>
      </c>
      <c r="AB90">
        <f>HYPERLINK("https://klasma.github.io/Logging_0680/klagomålsmail/A 33849-2025 FSC-klagomål mail.docx", "A 33849-2025")</f>
        <v/>
      </c>
      <c r="AC90">
        <f>HYPERLINK("https://klasma.github.io/Logging_0680/tillsyn/A 33849-2025 tillsynsbegäran.docx", "A 33849-2025")</f>
        <v/>
      </c>
      <c r="AD90">
        <f>HYPERLINK("https://klasma.github.io/Logging_0680/tillsynsmail/A 33849-2025 tillsynsbegäran mail.docx", "A 33849-2025")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46324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HYPERLINK("https://klasma.github.io/Logging_0680/artfynd/A 54325-2024 artfynd.xlsx", "A 54325-2024")</f>
        <v/>
      </c>
      <c r="X91">
        <f>HYPERLINK("https://klasma.github.io/Logging_0680/kartor/A 54325-2024 karta.png", "A 54325-2024")</f>
        <v/>
      </c>
      <c r="Y91">
        <f>HYPERLINK("https://klasma.github.io/Logging_0680/kartor_geotiff/A 54325-2024 georefererad karta.tif", "A 54325-2024")</f>
        <v/>
      </c>
      <c r="AA91">
        <f>HYPERLINK("https://klasma.github.io/Logging_0680/klagomål/A 54325-2024 FSC-klagomål.docx", "A 54325-2024")</f>
        <v/>
      </c>
      <c r="AB91">
        <f>HYPERLINK("https://klasma.github.io/Logging_0680/klagomålsmail/A 54325-2024 FSC-klagomål mail.docx", "A 54325-2024")</f>
        <v/>
      </c>
      <c r="AC91">
        <f>HYPERLINK("https://klasma.github.io/Logging_0680/tillsyn/A 54325-2024 tillsynsbegäran.docx", "A 54325-2024")</f>
        <v/>
      </c>
      <c r="AD91">
        <f>HYPERLINK("https://klasma.github.io/Logging_0680/tillsynsmail/A 54325-2024 tillsynsbegäran mail.docx", "A 54325-2024")</f>
        <v/>
      </c>
      <c r="AE91">
        <f>HYPERLINK("https://klasma.github.io/Logging_0680/fåglar/A 54325-2024 prioriterade fågelarter.docx", "A 54325-2024")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46324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46324</v>
      </c>
      <c r="F93" t="inlineStr">
        <is>
          <t>JÖNKÖPINGS LÄN</t>
        </is>
      </c>
      <c r="G93" t="inlineStr">
        <is>
          <t>JÖNKÖPING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Ask</t>
        </is>
      </c>
      <c r="W93">
        <f>HYPERLINK("https://klasma.github.io/Logging_0680/artfynd/A 42038-2023 artfynd.xlsx", "A 42038-2023")</f>
        <v/>
      </c>
      <c r="X93">
        <f>HYPERLINK("https://klasma.github.io/Logging_0680/kartor/A 42038-2023 karta.png", "A 42038-2023")</f>
        <v/>
      </c>
      <c r="Y93">
        <f>HYPERLINK("https://klasma.github.io/Logging_0680/kartor_geotiff/A 42038-2023 georefererad karta.tif", "A 42038-2023")</f>
        <v/>
      </c>
      <c r="AA93">
        <f>HYPERLINK("https://klasma.github.io/Logging_0680/klagomål/A 42038-2023 FSC-klagomål.docx", "A 42038-2023")</f>
        <v/>
      </c>
      <c r="AB93">
        <f>HYPERLINK("https://klasma.github.io/Logging_0680/klagomålsmail/A 42038-2023 FSC-klagomål mail.docx", "A 42038-2023")</f>
        <v/>
      </c>
      <c r="AC93">
        <f>HYPERLINK("https://klasma.github.io/Logging_0680/tillsyn/A 42038-2023 tillsynsbegäran.docx", "A 42038-2023")</f>
        <v/>
      </c>
      <c r="AD93">
        <f>HYPERLINK("https://klasma.github.io/Logging_0680/tillsynsmail/A 42038-2023 tillsynsbegäran mail.docx", "A 42038-2023")</f>
        <v/>
      </c>
    </row>
    <row r="94" ht="15" customHeight="1">
      <c r="A94" t="inlineStr">
        <is>
          <t>A 16455-2025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46324</v>
      </c>
      <c r="F94" t="inlineStr">
        <is>
          <t>JÖNKÖPINGS LÄN</t>
        </is>
      </c>
      <c r="G94" t="inlineStr">
        <is>
          <t>JÖNKÖPING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HYPERLINK("https://klasma.github.io/Logging_0680/artfynd/A 16455-2025 artfynd.xlsx", "A 16455-2025")</f>
        <v/>
      </c>
      <c r="X94">
        <f>HYPERLINK("https://klasma.github.io/Logging_0680/kartor/A 16455-2025 karta.png", "A 16455-2025")</f>
        <v/>
      </c>
      <c r="Y94">
        <f>HYPERLINK("https://klasma.github.io/Logging_0680/kartor_geotiff/A 16455-2025 georefererad karta.tif", "A 16455-2025")</f>
        <v/>
      </c>
      <c r="AA94">
        <f>HYPERLINK("https://klasma.github.io/Logging_0680/klagomål/A 16455-2025 FSC-klagomål.docx", "A 16455-2025")</f>
        <v/>
      </c>
      <c r="AB94">
        <f>HYPERLINK("https://klasma.github.io/Logging_0680/klagomålsmail/A 16455-2025 FSC-klagomål mail.docx", "A 16455-2025")</f>
        <v/>
      </c>
      <c r="AC94">
        <f>HYPERLINK("https://klasma.github.io/Logging_0680/tillsyn/A 16455-2025 tillsynsbegäran.docx", "A 16455-2025")</f>
        <v/>
      </c>
      <c r="AD94">
        <f>HYPERLINK("https://klasma.github.io/Logging_0680/tillsynsmail/A 16455-2025 tillsynsbegäran mail.docx", "A 16455-2025")</f>
        <v/>
      </c>
    </row>
    <row r="95" ht="15" customHeight="1">
      <c r="A95" t="inlineStr">
        <is>
          <t>A 11260-2023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46324</v>
      </c>
      <c r="F95" t="inlineStr">
        <is>
          <t>JÖNKÖPINGS LÄN</t>
        </is>
      </c>
      <c r="G95" t="inlineStr">
        <is>
          <t>JÖNKÖPING</t>
        </is>
      </c>
      <c r="I95" t="n">
        <v>2.4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11260-2023 artfynd.xlsx", "A 11260-2023")</f>
        <v/>
      </c>
      <c r="X95">
        <f>HYPERLINK("https://klasma.github.io/Logging_0680/kartor/A 11260-2023 karta.png", "A 11260-2023")</f>
        <v/>
      </c>
      <c r="Y95">
        <f>HYPERLINK("https://klasma.github.io/Logging_0680/kartor_geotiff/A 11260-2023 georefererad karta.tif", "A 11260-2023")</f>
        <v/>
      </c>
      <c r="Z95">
        <f>HYPERLINK("https://klasma.github.io/Logging_0680/knärot/A 11260-2023 karta knärot.png", "A 11260-2023")</f>
        <v/>
      </c>
      <c r="AA95">
        <f>HYPERLINK("https://klasma.github.io/Logging_0680/klagomål/A 11260-2023 FSC-klagomål.docx", "A 11260-2023")</f>
        <v/>
      </c>
      <c r="AB95">
        <f>HYPERLINK("https://klasma.github.io/Logging_0680/klagomålsmail/A 11260-2023 FSC-klagomål mail.docx", "A 11260-2023")</f>
        <v/>
      </c>
      <c r="AC95">
        <f>HYPERLINK("https://klasma.github.io/Logging_0680/tillsyn/A 11260-2023 tillsynsbegäran.docx", "A 11260-2023")</f>
        <v/>
      </c>
      <c r="AD95">
        <f>HYPERLINK("https://klasma.github.io/Logging_0680/tillsynsmail/A 11260-2023 tillsynsbegäran mail.docx", "A 11260-2023")</f>
        <v/>
      </c>
    </row>
    <row r="96" ht="15" customHeight="1">
      <c r="A96" t="inlineStr">
        <is>
          <t>A 34597-2025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46324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7.3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HYPERLINK("https://klasma.github.io/Logging_0680/artfynd/A 34597-2025 artfynd.xlsx", "A 34597-2025")</f>
        <v/>
      </c>
      <c r="X96">
        <f>HYPERLINK("https://klasma.github.io/Logging_0680/kartor/A 34597-2025 karta.png", "A 34597-2025")</f>
        <v/>
      </c>
      <c r="Y96">
        <f>HYPERLINK("https://klasma.github.io/Logging_0680/kartor_geotiff/A 34597-2025 georefererad karta.tif", "A 34597-2025")</f>
        <v/>
      </c>
      <c r="Z96">
        <f>HYPERLINK("https://klasma.github.io/Logging_0680/knärot/A 34597-2025 karta knärot.png", "A 34597-2025")</f>
        <v/>
      </c>
      <c r="AA96">
        <f>HYPERLINK("https://klasma.github.io/Logging_0680/klagomål/A 34597-2025 FSC-klagomål.docx", "A 34597-2025")</f>
        <v/>
      </c>
      <c r="AB96">
        <f>HYPERLINK("https://klasma.github.io/Logging_0680/klagomålsmail/A 34597-2025 FSC-klagomål mail.docx", "A 34597-2025")</f>
        <v/>
      </c>
      <c r="AC96">
        <f>HYPERLINK("https://klasma.github.io/Logging_0680/tillsyn/A 34597-2025 tillsynsbegäran.docx", "A 34597-2025")</f>
        <v/>
      </c>
      <c r="AD96">
        <f>HYPERLINK("https://klasma.github.io/Logging_0680/tillsynsmail/A 34597-2025 tillsynsbegäran mail.docx", "A 34597-2025")</f>
        <v/>
      </c>
    </row>
    <row r="97" ht="15" customHeight="1">
      <c r="A97" t="inlineStr">
        <is>
          <t>A 20740-2024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45436</v>
      </c>
      <c r="E97" s="1" t="n">
        <v>46324</v>
      </c>
      <c r="F97" t="inlineStr">
        <is>
          <t>JÖNKÖPINGS LÄN</t>
        </is>
      </c>
      <c r="G97" t="inlineStr">
        <is>
          <t>JÖNKÖPING</t>
        </is>
      </c>
      <c r="I97" t="n">
        <v>1.3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Svartvit flugsnappare</t>
        </is>
      </c>
      <c r="W97">
        <f>HYPERLINK("https://klasma.github.io/Logging_0680/artfynd/A 20740-2024 artfynd.xlsx", "A 20740-2024")</f>
        <v/>
      </c>
      <c r="X97">
        <f>HYPERLINK("https://klasma.github.io/Logging_0680/kartor/A 20740-2024 karta.png", "A 20740-2024")</f>
        <v/>
      </c>
      <c r="Y97">
        <f>HYPERLINK("https://klasma.github.io/Logging_0680/kartor_geotiff/A 20740-2024 georefererad karta.tif", "A 20740-2024")</f>
        <v/>
      </c>
      <c r="AA97">
        <f>HYPERLINK("https://klasma.github.io/Logging_0680/klagomål/A 20740-2024 FSC-klagomål.docx", "A 20740-2024")</f>
        <v/>
      </c>
      <c r="AB97">
        <f>HYPERLINK("https://klasma.github.io/Logging_0680/klagomålsmail/A 20740-2024 FSC-klagomål mail.docx", "A 20740-2024")</f>
        <v/>
      </c>
      <c r="AC97">
        <f>HYPERLINK("https://klasma.github.io/Logging_0680/tillsyn/A 20740-2024 tillsynsbegäran.docx", "A 20740-2024")</f>
        <v/>
      </c>
      <c r="AD97">
        <f>HYPERLINK("https://klasma.github.io/Logging_0680/tillsynsmail/A 20740-2024 tillsynsbegäran mail.docx", "A 20740-2024")</f>
        <v/>
      </c>
    </row>
    <row r="98" ht="15" customHeight="1">
      <c r="A98" t="inlineStr">
        <is>
          <t>A 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45295</v>
      </c>
      <c r="E98" s="1" t="n">
        <v>46324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HYPERLINK("https://klasma.github.io/Logging_0680/artfynd/A 278-2024 artfynd.xlsx", "A 278-2024")</f>
        <v/>
      </c>
      <c r="X98">
        <f>HYPERLINK("https://klasma.github.io/Logging_0680/kartor/A 278-2024 karta.png", "A 278-2024")</f>
        <v/>
      </c>
      <c r="Y98">
        <f>HYPERLINK("https://klasma.github.io/Logging_0680/kartor_geotiff/A 278-2024 georefererad karta.tif", "A 278-2024")</f>
        <v/>
      </c>
      <c r="AA98">
        <f>HYPERLINK("https://klasma.github.io/Logging_0680/klagomål/A 278-2024 FSC-klagomål.docx", "A 278-2024")</f>
        <v/>
      </c>
      <c r="AB98">
        <f>HYPERLINK("https://klasma.github.io/Logging_0680/klagomålsmail/A 278-2024 FSC-klagomål mail.docx", "A 278-2024")</f>
        <v/>
      </c>
      <c r="AC98">
        <f>HYPERLINK("https://klasma.github.io/Logging_0680/tillsyn/A 278-2024 tillsynsbegäran.docx", "A 278-2024")</f>
        <v/>
      </c>
      <c r="AD98">
        <f>HYPERLINK("https://klasma.github.io/Logging_0680/tillsynsmail/A 278-2024 tillsynsbegäran mail.docx", "A 278-2024")</f>
        <v/>
      </c>
    </row>
    <row r="99" ht="15" customHeight="1">
      <c r="A99" t="inlineStr">
        <is>
          <t>A 12518-2025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46324</v>
      </c>
      <c r="F99" t="inlineStr">
        <is>
          <t>JÖNKÖPINGS LÄN</t>
        </is>
      </c>
      <c r="G99" t="inlineStr">
        <is>
          <t>JÖNKÖPING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5</v>
      </c>
      <c r="U99" t="n">
        <v>0</v>
      </c>
      <c r="V99" s="2" t="inlineStr">
        <is>
          <t>Ask</t>
        </is>
      </c>
      <c r="W99">
        <f>HYPERLINK("https://klasma.github.io/Logging_0680/artfynd/A 12518-2025 artfynd.xlsx", "A 12518-2025")</f>
        <v/>
      </c>
      <c r="X99">
        <f>HYPERLINK("https://klasma.github.io/Logging_0680/kartor/A 12518-2025 karta.png", "A 12518-2025")</f>
        <v/>
      </c>
      <c r="Y99">
        <f>HYPERLINK("https://klasma.github.io/Logging_0680/kartor_geotiff/A 12518-2025 georefererad karta.tif", "A 12518-2025")</f>
        <v/>
      </c>
      <c r="AA99">
        <f>HYPERLINK("https://klasma.github.io/Logging_0680/klagomål/A 12518-2025 FSC-klagomål.docx", "A 12518-2025")</f>
        <v/>
      </c>
      <c r="AB99">
        <f>HYPERLINK("https://klasma.github.io/Logging_0680/klagomålsmail/A 12518-2025 FSC-klagomål mail.docx", "A 12518-2025")</f>
        <v/>
      </c>
      <c r="AC99">
        <f>HYPERLINK("https://klasma.github.io/Logging_0680/tillsyn/A 12518-2025 tillsynsbegäran.docx", "A 12518-2025")</f>
        <v/>
      </c>
      <c r="AD99">
        <f>HYPERLINK("https://klasma.github.io/Logging_0680/tillsynsmail/A 12518-2025 tillsynsbegäran mail.docx", "A 12518-2025")</f>
        <v/>
      </c>
    </row>
    <row r="100" ht="15" customHeight="1">
      <c r="A100" t="inlineStr">
        <is>
          <t>A 45366-2022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46324</v>
      </c>
      <c r="F100" t="inlineStr">
        <is>
          <t>JÖNKÖPINGS LÄN</t>
        </is>
      </c>
      <c r="G100" t="inlineStr">
        <is>
          <t>JÖNKÖPING</t>
        </is>
      </c>
      <c r="I100" t="n">
        <v>3.2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husmossa</t>
        </is>
      </c>
      <c r="W100">
        <f>HYPERLINK("https://klasma.github.io/Logging_0680/artfynd/A 45366-2022 artfynd.xlsx", "A 45366-2022")</f>
        <v/>
      </c>
      <c r="X100">
        <f>HYPERLINK("https://klasma.github.io/Logging_0680/kartor/A 45366-2022 karta.png", "A 45366-2022")</f>
        <v/>
      </c>
      <c r="Y100">
        <f>HYPERLINK("https://klasma.github.io/Logging_0680/kartor_geotiff/A 45366-2022 georefererad karta.tif", "A 45366-2022")</f>
        <v/>
      </c>
      <c r="AA100">
        <f>HYPERLINK("https://klasma.github.io/Logging_0680/klagomål/A 45366-2022 FSC-klagomål.docx", "A 45366-2022")</f>
        <v/>
      </c>
      <c r="AB100">
        <f>HYPERLINK("https://klasma.github.io/Logging_0680/klagomålsmail/A 45366-2022 FSC-klagomål mail.docx", "A 45366-2022")</f>
        <v/>
      </c>
      <c r="AC100">
        <f>HYPERLINK("https://klasma.github.io/Logging_0680/tillsyn/A 45366-2022 tillsynsbegäran.docx", "A 45366-2022")</f>
        <v/>
      </c>
      <c r="AD100">
        <f>HYPERLINK("https://klasma.github.io/Logging_0680/tillsynsmail/A 45366-2022 tillsynsbegäran mail.docx", "A 45366-2022")</f>
        <v/>
      </c>
    </row>
    <row r="101" ht="15" customHeight="1">
      <c r="A101" t="inlineStr">
        <is>
          <t>A 53601-2022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46324</v>
      </c>
      <c r="F101" t="inlineStr">
        <is>
          <t>JÖNKÖPINGS LÄN</t>
        </is>
      </c>
      <c r="G101" t="inlineStr">
        <is>
          <t>JÖNKÖPING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HYPERLINK("https://klasma.github.io/Logging_0680/artfynd/A 53601-2022 artfynd.xlsx", "A 53601-2022")</f>
        <v/>
      </c>
      <c r="X101">
        <f>HYPERLINK("https://klasma.github.io/Logging_0680/kartor/A 53601-2022 karta.png", "A 53601-2022")</f>
        <v/>
      </c>
      <c r="Y101">
        <f>HYPERLINK("https://klasma.github.io/Logging_0680/kartor_geotiff/A 53601-2022 georefererad karta.tif", "A 53601-2022")</f>
        <v/>
      </c>
      <c r="Z101">
        <f>HYPERLINK("https://klasma.github.io/Logging_0680/knärot/A 53601-2022 karta knärot.png", "A 53601-2022")</f>
        <v/>
      </c>
      <c r="AA101">
        <f>HYPERLINK("https://klasma.github.io/Logging_0680/klagomål/A 53601-2022 FSC-klagomål.docx", "A 53601-2022")</f>
        <v/>
      </c>
      <c r="AB101">
        <f>HYPERLINK("https://klasma.github.io/Logging_0680/klagomålsmail/A 53601-2022 FSC-klagomål mail.docx", "A 53601-2022")</f>
        <v/>
      </c>
      <c r="AC101">
        <f>HYPERLINK("https://klasma.github.io/Logging_0680/tillsyn/A 53601-2022 tillsynsbegäran.docx", "A 53601-2022")</f>
        <v/>
      </c>
      <c r="AD101">
        <f>HYPERLINK("https://klasma.github.io/Logging_0680/tillsynsmail/A 53601-2022 tillsynsbegäran mail.docx", "A 53601-2022")</f>
        <v/>
      </c>
    </row>
    <row r="102" ht="15" customHeight="1">
      <c r="A102" t="inlineStr">
        <is>
          <t>A 23234-2026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46324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Klasefibbla</t>
        </is>
      </c>
      <c r="W102">
        <f>HYPERLINK("https://klasma.github.io/Logging_0680/artfynd/A 23234-2026 artfynd.xlsx", "A 23234-2026")</f>
        <v/>
      </c>
      <c r="X102">
        <f>HYPERLINK("https://klasma.github.io/Logging_0680/kartor/A 23234-2026 karta.png", "A 23234-2026")</f>
        <v/>
      </c>
      <c r="Y102">
        <f>HYPERLINK("https://klasma.github.io/Logging_0680/kartor_geotiff/A 23234-2026 georefererad karta.tif", "A 23234-2026")</f>
        <v/>
      </c>
      <c r="AA102">
        <f>HYPERLINK("https://klasma.github.io/Logging_0680/klagomål/A 23234-2026 FSC-klagomål.docx", "A 23234-2026")</f>
        <v/>
      </c>
      <c r="AB102">
        <f>HYPERLINK("https://klasma.github.io/Logging_0680/klagomålsmail/A 23234-2026 FSC-klagomål mail.docx", "A 23234-2026")</f>
        <v/>
      </c>
      <c r="AC102">
        <f>HYPERLINK("https://klasma.github.io/Logging_0680/tillsyn/A 23234-2026 tillsynsbegäran.docx", "A 23234-2026")</f>
        <v/>
      </c>
      <c r="AD102">
        <f>HYPERLINK("https://klasma.github.io/Logging_0680/tillsynsmail/A 23234-2026 tillsynsbegäran mail.docx", "A 23234-2026")</f>
        <v/>
      </c>
    </row>
    <row r="103" ht="15" customHeight="1">
      <c r="A103" t="inlineStr">
        <is>
          <t>A 23260-2026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46324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Grönvit nattviol</t>
        </is>
      </c>
      <c r="W103">
        <f>HYPERLINK("https://klasma.github.io/Logging_0680/artfynd/A 23260-2026 artfynd.xlsx", "A 23260-2026")</f>
        <v/>
      </c>
      <c r="X103">
        <f>HYPERLINK("https://klasma.github.io/Logging_0680/kartor/A 23260-2026 karta.png", "A 23260-2026")</f>
        <v/>
      </c>
      <c r="Y103">
        <f>HYPERLINK("https://klasma.github.io/Logging_0680/kartor_geotiff/A 23260-2026 georefererad karta.tif", "A 23260-2026")</f>
        <v/>
      </c>
      <c r="AA103">
        <f>HYPERLINK("https://klasma.github.io/Logging_0680/klagomål/A 23260-2026 FSC-klagomål.docx", "A 23260-2026")</f>
        <v/>
      </c>
      <c r="AB103">
        <f>HYPERLINK("https://klasma.github.io/Logging_0680/klagomålsmail/A 23260-2026 FSC-klagomål mail.docx", "A 23260-2026")</f>
        <v/>
      </c>
      <c r="AC103">
        <f>HYPERLINK("https://klasma.github.io/Logging_0680/tillsyn/A 23260-2026 tillsynsbegäran.docx", "A 23260-2026")</f>
        <v/>
      </c>
      <c r="AD103">
        <f>HYPERLINK("https://klasma.github.io/Logging_0680/tillsynsmail/A 23260-2026 tillsynsbegäran mail.docx", "A 23260-2026")</f>
        <v/>
      </c>
    </row>
    <row r="104" ht="15" customHeight="1">
      <c r="A104" t="inlineStr">
        <is>
          <t>A 7092-2024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46324</v>
      </c>
      <c r="F104" t="inlineStr">
        <is>
          <t>JÖNKÖPINGS LÄN</t>
        </is>
      </c>
      <c r="G104" t="inlineStr">
        <is>
          <t>JÖNKÖPING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Ask</t>
        </is>
      </c>
      <c r="W104">
        <f>HYPERLINK("https://klasma.github.io/Logging_0680/artfynd/A 7092-2024 artfynd.xlsx", "A 7092-2024")</f>
        <v/>
      </c>
      <c r="X104">
        <f>HYPERLINK("https://klasma.github.io/Logging_0680/kartor/A 7092-2024 karta.png", "A 7092-2024")</f>
        <v/>
      </c>
      <c r="Y104">
        <f>HYPERLINK("https://klasma.github.io/Logging_0680/kartor_geotiff/A 7092-2024 georefererad karta.tif", "A 7092-2024")</f>
        <v/>
      </c>
      <c r="AA104">
        <f>HYPERLINK("https://klasma.github.io/Logging_0680/klagomål/A 7092-2024 FSC-klagomål.docx", "A 7092-2024")</f>
        <v/>
      </c>
      <c r="AB104">
        <f>HYPERLINK("https://klasma.github.io/Logging_0680/klagomålsmail/A 7092-2024 FSC-klagomål mail.docx", "A 7092-2024")</f>
        <v/>
      </c>
      <c r="AC104">
        <f>HYPERLINK("https://klasma.github.io/Logging_0680/tillsyn/A 7092-2024 tillsynsbegäran.docx", "A 7092-2024")</f>
        <v/>
      </c>
      <c r="AD104">
        <f>HYPERLINK("https://klasma.github.io/Logging_0680/tillsynsmail/A 7092-2024 tillsynsbegäran mail.docx", "A 7092-2024")</f>
        <v/>
      </c>
    </row>
    <row r="105" ht="15" customHeight="1">
      <c r="A105" t="inlineStr">
        <is>
          <t>A 63550-2025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46324</v>
      </c>
      <c r="F105" t="inlineStr">
        <is>
          <t>JÖNKÖPINGS LÄN</t>
        </is>
      </c>
      <c r="G105" t="inlineStr">
        <is>
          <t>JÖNKÖPING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HYPERLINK("https://klasma.github.io/Logging_0680/artfynd/A 63550-2025 artfynd.xlsx", "A 63550-2025")</f>
        <v/>
      </c>
      <c r="X105">
        <f>HYPERLINK("https://klasma.github.io/Logging_0680/kartor/A 63550-2025 karta.png", "A 63550-2025")</f>
        <v/>
      </c>
      <c r="Y105">
        <f>HYPERLINK("https://klasma.github.io/Logging_0680/kartor_geotiff/A 63550-2025 georefererad karta.tif", "A 63550-2025")</f>
        <v/>
      </c>
      <c r="AA105">
        <f>HYPERLINK("https://klasma.github.io/Logging_0680/klagomål/A 63550-2025 FSC-klagomål.docx", "A 63550-2025")</f>
        <v/>
      </c>
      <c r="AB105">
        <f>HYPERLINK("https://klasma.github.io/Logging_0680/klagomålsmail/A 63550-2025 FSC-klagomål mail.docx", "A 63550-2025")</f>
        <v/>
      </c>
      <c r="AC105">
        <f>HYPERLINK("https://klasma.github.io/Logging_0680/tillsyn/A 63550-2025 tillsynsbegäran.docx", "A 63550-2025")</f>
        <v/>
      </c>
      <c r="AD105">
        <f>HYPERLINK("https://klasma.github.io/Logging_0680/tillsynsmail/A 63550-2025 tillsynsbegäran mail.docx", "A 63550-2025")</f>
        <v/>
      </c>
    </row>
    <row r="106" ht="15" customHeight="1">
      <c r="A106" t="inlineStr">
        <is>
          <t>A 58346-2022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46324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Övriga statliga verk och myndigheter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Gyllensopp</t>
        </is>
      </c>
      <c r="W106">
        <f>HYPERLINK("https://klasma.github.io/Logging_0680/artfynd/A 58346-2022 artfynd.xlsx", "A 58346-2022")</f>
        <v/>
      </c>
      <c r="X106">
        <f>HYPERLINK("https://klasma.github.io/Logging_0680/kartor/A 58346-2022 karta.png", "A 58346-2022")</f>
        <v/>
      </c>
      <c r="Y106">
        <f>HYPERLINK("https://klasma.github.io/Logging_0680/kartor_geotiff/A 58346-2022 georefererad karta.tif", "A 58346-2022")</f>
        <v/>
      </c>
      <c r="AA106">
        <f>HYPERLINK("https://klasma.github.io/Logging_0680/klagomål/A 58346-2022 FSC-klagomål.docx", "A 58346-2022")</f>
        <v/>
      </c>
      <c r="AB106">
        <f>HYPERLINK("https://klasma.github.io/Logging_0680/klagomålsmail/A 58346-2022 FSC-klagomål mail.docx", "A 58346-2022")</f>
        <v/>
      </c>
      <c r="AC106">
        <f>HYPERLINK("https://klasma.github.io/Logging_0680/tillsyn/A 58346-2022 tillsynsbegäran.docx", "A 58346-2022")</f>
        <v/>
      </c>
      <c r="AD106">
        <f>HYPERLINK("https://klasma.github.io/Logging_0680/tillsynsmail/A 58346-2022 tillsynsbegäran mail.docx", "A 58346-2022")</f>
        <v/>
      </c>
    </row>
    <row r="107" ht="15" customHeight="1">
      <c r="A107" t="inlineStr">
        <is>
          <t>A 40795-2024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46324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Kattfotslav</t>
        </is>
      </c>
      <c r="W107">
        <f>HYPERLINK("https://klasma.github.io/Logging_0680/artfynd/A 40795-2024 artfynd.xlsx", "A 40795-2024")</f>
        <v/>
      </c>
      <c r="X107">
        <f>HYPERLINK("https://klasma.github.io/Logging_0680/kartor/A 40795-2024 karta.png", "A 40795-2024")</f>
        <v/>
      </c>
      <c r="Y107">
        <f>HYPERLINK("https://klasma.github.io/Logging_0680/kartor_geotiff/A 40795-2024 georefererad karta.tif", "A 40795-2024")</f>
        <v/>
      </c>
      <c r="AA107">
        <f>HYPERLINK("https://klasma.github.io/Logging_0680/klagomål/A 40795-2024 FSC-klagomål.docx", "A 40795-2024")</f>
        <v/>
      </c>
      <c r="AB107">
        <f>HYPERLINK("https://klasma.github.io/Logging_0680/klagomålsmail/A 40795-2024 FSC-klagomål mail.docx", "A 40795-2024")</f>
        <v/>
      </c>
      <c r="AC107">
        <f>HYPERLINK("https://klasma.github.io/Logging_0680/tillsyn/A 40795-2024 tillsynsbegäran.docx", "A 40795-2024")</f>
        <v/>
      </c>
      <c r="AD107">
        <f>HYPERLINK("https://klasma.github.io/Logging_0680/tillsynsmail/A 40795-2024 tillsynsbegäran mail.docx", "A 40795-2024")</f>
        <v/>
      </c>
    </row>
    <row r="108" ht="15" customHeight="1">
      <c r="A108" t="inlineStr">
        <is>
          <t>A 4582-2026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46324</v>
      </c>
      <c r="F108" t="inlineStr">
        <is>
          <t>JÖNKÖPINGS LÄN</t>
        </is>
      </c>
      <c r="G108" t="inlineStr">
        <is>
          <t>JÖNKÖPING</t>
        </is>
      </c>
      <c r="I108" t="n">
        <v>0.5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Grovticka</t>
        </is>
      </c>
      <c r="W108">
        <f>HYPERLINK("https://klasma.github.io/Logging_0680/artfynd/A 4582-2026 artfynd.xlsx", "A 4582-2026")</f>
        <v/>
      </c>
      <c r="X108">
        <f>HYPERLINK("https://klasma.github.io/Logging_0680/kartor/A 4582-2026 karta.png", "A 4582-2026")</f>
        <v/>
      </c>
      <c r="Y108">
        <f>HYPERLINK("https://klasma.github.io/Logging_0680/kartor_geotiff/A 4582-2026 georefererad karta.tif", "A 4582-2026")</f>
        <v/>
      </c>
      <c r="AA108">
        <f>HYPERLINK("https://klasma.github.io/Logging_0680/klagomål/A 4582-2026 FSC-klagomål.docx", "A 4582-2026")</f>
        <v/>
      </c>
      <c r="AB108">
        <f>HYPERLINK("https://klasma.github.io/Logging_0680/klagomålsmail/A 4582-2026 FSC-klagomål mail.docx", "A 4582-2026")</f>
        <v/>
      </c>
      <c r="AC108">
        <f>HYPERLINK("https://klasma.github.io/Logging_0680/tillsyn/A 4582-2026 tillsynsbegäran.docx", "A 4582-2026")</f>
        <v/>
      </c>
      <c r="AD108">
        <f>HYPERLINK("https://klasma.github.io/Logging_0680/tillsynsmail/A 4582-2026 tillsynsbegäran mail.docx", "A 4582-2026")</f>
        <v/>
      </c>
    </row>
    <row r="109" ht="15" customHeight="1">
      <c r="A109" t="inlineStr">
        <is>
          <t>A 6168-2026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46324</v>
      </c>
      <c r="F109" t="inlineStr">
        <is>
          <t>JÖNKÖPINGS LÄN</t>
        </is>
      </c>
      <c r="G109" t="inlineStr">
        <is>
          <t>JÖNKÖPING</t>
        </is>
      </c>
      <c r="I109" t="n">
        <v>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Stor aspticka</t>
        </is>
      </c>
      <c r="W109">
        <f>HYPERLINK("https://klasma.github.io/Logging_0680/artfynd/A 6168-2026 artfynd.xlsx", "A 6168-2026")</f>
        <v/>
      </c>
      <c r="X109">
        <f>HYPERLINK("https://klasma.github.io/Logging_0680/kartor/A 6168-2026 karta.png", "A 6168-2026")</f>
        <v/>
      </c>
      <c r="Y109">
        <f>HYPERLINK("https://klasma.github.io/Logging_0680/kartor_geotiff/A 6168-2026 georefererad karta.tif", "A 6168-2026")</f>
        <v/>
      </c>
      <c r="AA109">
        <f>HYPERLINK("https://klasma.github.io/Logging_0680/klagomål/A 6168-2026 FSC-klagomål.docx", "A 6168-2026")</f>
        <v/>
      </c>
      <c r="AB109">
        <f>HYPERLINK("https://klasma.github.io/Logging_0680/klagomålsmail/A 6168-2026 FSC-klagomål mail.docx", "A 6168-2026")</f>
        <v/>
      </c>
      <c r="AC109">
        <f>HYPERLINK("https://klasma.github.io/Logging_0680/tillsyn/A 6168-2026 tillsynsbegäran.docx", "A 6168-2026")</f>
        <v/>
      </c>
      <c r="AD109">
        <f>HYPERLINK("https://klasma.github.io/Logging_0680/tillsynsmail/A 6168-2026 tillsynsbegäran mail.docx", "A 6168-2026")</f>
        <v/>
      </c>
    </row>
    <row r="110" ht="15" customHeight="1">
      <c r="A110" t="inlineStr">
        <is>
          <t>A 50190-2024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45600</v>
      </c>
      <c r="E110" s="1" t="n">
        <v>46324</v>
      </c>
      <c r="F110" t="inlineStr">
        <is>
          <t>JÖNKÖPINGS LÄN</t>
        </is>
      </c>
      <c r="G110" t="inlineStr">
        <is>
          <t>JÖNKÖPING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Skogsalm</t>
        </is>
      </c>
      <c r="W110">
        <f>HYPERLINK("https://klasma.github.io/Logging_0680/artfynd/A 50190-2024 artfynd.xlsx", "A 50190-2024")</f>
        <v/>
      </c>
      <c r="X110">
        <f>HYPERLINK("https://klasma.github.io/Logging_0680/kartor/A 50190-2024 karta.png", "A 50190-2024")</f>
        <v/>
      </c>
      <c r="Y110">
        <f>HYPERLINK("https://klasma.github.io/Logging_0680/kartor_geotiff/A 50190-2024 georefererad karta.tif", "A 50190-2024")</f>
        <v/>
      </c>
      <c r="AA110">
        <f>HYPERLINK("https://klasma.github.io/Logging_0680/klagomål/A 50190-2024 FSC-klagomål.docx", "A 50190-2024")</f>
        <v/>
      </c>
      <c r="AB110">
        <f>HYPERLINK("https://klasma.github.io/Logging_0680/klagomålsmail/A 50190-2024 FSC-klagomål mail.docx", "A 50190-2024")</f>
        <v/>
      </c>
      <c r="AC110">
        <f>HYPERLINK("https://klasma.github.io/Logging_0680/tillsyn/A 50190-2024 tillsynsbegäran.docx", "A 50190-2024")</f>
        <v/>
      </c>
      <c r="AD110">
        <f>HYPERLINK("https://klasma.github.io/Logging_0680/tillsynsmail/A 50190-2024 tillsynsbegäran mail.docx", "A 50190-2024")</f>
        <v/>
      </c>
    </row>
    <row r="111" ht="15" customHeight="1">
      <c r="A111" t="inlineStr">
        <is>
          <t>A 7511-2026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46324</v>
      </c>
      <c r="F111" t="inlineStr">
        <is>
          <t>JÖNKÖPINGS LÄN</t>
        </is>
      </c>
      <c r="G111" t="inlineStr">
        <is>
          <t>JÖNKÖPING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HYPERLINK("https://klasma.github.io/Logging_0680/artfynd/A 7511-2026 artfynd.xlsx", "A 7511-2026")</f>
        <v/>
      </c>
      <c r="X111">
        <f>HYPERLINK("https://klasma.github.io/Logging_0680/kartor/A 7511-2026 karta.png", "A 7511-2026")</f>
        <v/>
      </c>
      <c r="Y111">
        <f>HYPERLINK("https://klasma.github.io/Logging_0680/kartor_geotiff/A 7511-2026 georefererad karta.tif", "A 7511-2026")</f>
        <v/>
      </c>
      <c r="AA111">
        <f>HYPERLINK("https://klasma.github.io/Logging_0680/klagomål/A 7511-2026 FSC-klagomål.docx", "A 7511-2026")</f>
        <v/>
      </c>
      <c r="AB111">
        <f>HYPERLINK("https://klasma.github.io/Logging_0680/klagomålsmail/A 7511-2026 FSC-klagomål mail.docx", "A 7511-2026")</f>
        <v/>
      </c>
      <c r="AC111">
        <f>HYPERLINK("https://klasma.github.io/Logging_0680/tillsyn/A 7511-2026 tillsynsbegäran.docx", "A 7511-2026")</f>
        <v/>
      </c>
      <c r="AD111">
        <f>HYPERLINK("https://klasma.github.io/Logging_0680/tillsynsmail/A 7511-2026 tillsynsbegäran mail.docx", "A 7511-2026")</f>
        <v/>
      </c>
    </row>
    <row r="112" ht="15" customHeight="1">
      <c r="A112" t="inlineStr">
        <is>
          <t>A 54424-2024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46324</v>
      </c>
      <c r="F112" t="inlineStr">
        <is>
          <t>JÖNKÖPINGS LÄN</t>
        </is>
      </c>
      <c r="G112" t="inlineStr">
        <is>
          <t>JÖNKÖPING</t>
        </is>
      </c>
      <c r="I112" t="n">
        <v>6.2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HYPERLINK("https://klasma.github.io/Logging_0680/artfynd/A 54424-2024 artfynd.xlsx", "A 54424-2024")</f>
        <v/>
      </c>
      <c r="X112">
        <f>HYPERLINK("https://klasma.github.io/Logging_0680/kartor/A 54424-2024 karta.png", "A 54424-2024")</f>
        <v/>
      </c>
      <c r="Y112">
        <f>HYPERLINK("https://klasma.github.io/Logging_0680/kartor_geotiff/A 54424-2024 georefererad karta.tif", "A 54424-2024")</f>
        <v/>
      </c>
      <c r="AA112">
        <f>HYPERLINK("https://klasma.github.io/Logging_0680/klagomål/A 54424-2024 FSC-klagomål.docx", "A 54424-2024")</f>
        <v/>
      </c>
      <c r="AB112">
        <f>HYPERLINK("https://klasma.github.io/Logging_0680/klagomålsmail/A 54424-2024 FSC-klagomål mail.docx", "A 54424-2024")</f>
        <v/>
      </c>
      <c r="AC112">
        <f>HYPERLINK("https://klasma.github.io/Logging_0680/tillsyn/A 54424-2024 tillsynsbegäran.docx", "A 54424-2024")</f>
        <v/>
      </c>
      <c r="AD112">
        <f>HYPERLINK("https://klasma.github.io/Logging_0680/tillsynsmail/A 54424-2024 tillsynsbegäran mail.docx", "A 54424-2024")</f>
        <v/>
      </c>
    </row>
    <row r="113" ht="15" customHeight="1">
      <c r="A113" t="inlineStr">
        <is>
          <t>A 47040-2023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46324</v>
      </c>
      <c r="F113" t="inlineStr">
        <is>
          <t>JÖNKÖPINGS LÄN</t>
        </is>
      </c>
      <c r="G113" t="inlineStr">
        <is>
          <t>JÖNKÖPING</t>
        </is>
      </c>
      <c r="I113" t="n">
        <v>2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HYPERLINK("https://klasma.github.io/Logging_0680/artfynd/A 47040-2023 artfynd.xlsx", "A 47040-2023")</f>
        <v/>
      </c>
      <c r="X113">
        <f>HYPERLINK("https://klasma.github.io/Logging_0680/kartor/A 47040-2023 karta.png", "A 47040-2023")</f>
        <v/>
      </c>
      <c r="Y113">
        <f>HYPERLINK("https://klasma.github.io/Logging_0680/kartor_geotiff/A 47040-2023 georefererad karta.tif", "A 47040-2023")</f>
        <v/>
      </c>
      <c r="AA113">
        <f>HYPERLINK("https://klasma.github.io/Logging_0680/klagomål/A 47040-2023 FSC-klagomål.docx", "A 47040-2023")</f>
        <v/>
      </c>
      <c r="AB113">
        <f>HYPERLINK("https://klasma.github.io/Logging_0680/klagomålsmail/A 47040-2023 FSC-klagomål mail.docx", "A 47040-2023")</f>
        <v/>
      </c>
      <c r="AC113">
        <f>HYPERLINK("https://klasma.github.io/Logging_0680/tillsyn/A 47040-2023 tillsynsbegäran.docx", "A 47040-2023")</f>
        <v/>
      </c>
      <c r="AD113">
        <f>HYPERLINK("https://klasma.github.io/Logging_0680/tillsynsmail/A 47040-2023 tillsynsbegäran mail.docx", "A 47040-2023")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46324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62844-2023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46324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Ask</t>
        </is>
      </c>
      <c r="W115">
        <f>HYPERLINK("https://klasma.github.io/Logging_0680/artfynd/A 62844-2023 artfynd.xlsx", "A 62844-2023")</f>
        <v/>
      </c>
      <c r="X115">
        <f>HYPERLINK("https://klasma.github.io/Logging_0680/kartor/A 62844-2023 karta.png", "A 62844-2023")</f>
        <v/>
      </c>
      <c r="Y115">
        <f>HYPERLINK("https://klasma.github.io/Logging_0680/kartor_geotiff/A 62844-2023 georefererad karta.tif", "A 62844-2023")</f>
        <v/>
      </c>
      <c r="AA115">
        <f>HYPERLINK("https://klasma.github.io/Logging_0680/klagomål/A 62844-2023 FSC-klagomål.docx", "A 62844-2023")</f>
        <v/>
      </c>
      <c r="AB115">
        <f>HYPERLINK("https://klasma.github.io/Logging_0680/klagomålsmail/A 62844-2023 FSC-klagomål mail.docx", "A 62844-2023")</f>
        <v/>
      </c>
      <c r="AC115">
        <f>HYPERLINK("https://klasma.github.io/Logging_0680/tillsyn/A 62844-2023 tillsynsbegäran.docx", "A 62844-2023")</f>
        <v/>
      </c>
      <c r="AD115">
        <f>HYPERLINK("https://klasma.github.io/Logging_0680/tillsynsmail/A 62844-2023 tillsynsbegäran mail.docx", "A 62844-2023")</f>
        <v/>
      </c>
    </row>
    <row r="116" ht="15" customHeight="1">
      <c r="A116" t="inlineStr">
        <is>
          <t>A 48371-2023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45205</v>
      </c>
      <c r="E116" s="1" t="n">
        <v>46324</v>
      </c>
      <c r="F116" t="inlineStr">
        <is>
          <t>JÖNKÖPINGS LÄN</t>
        </is>
      </c>
      <c r="G116" t="inlineStr">
        <is>
          <t>JÖNKÖPING</t>
        </is>
      </c>
      <c r="I116" t="n">
        <v>4.9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HYPERLINK("https://klasma.github.io/Logging_0680/artfynd/A 48371-2023 artfynd.xlsx", "A 48371-2023")</f>
        <v/>
      </c>
      <c r="X116">
        <f>HYPERLINK("https://klasma.github.io/Logging_0680/kartor/A 48371-2023 karta.png", "A 48371-2023")</f>
        <v/>
      </c>
      <c r="Y116">
        <f>HYPERLINK("https://klasma.github.io/Logging_0680/kartor_geotiff/A 48371-2023 georefererad karta.tif", "A 48371-2023")</f>
        <v/>
      </c>
      <c r="AA116">
        <f>HYPERLINK("https://klasma.github.io/Logging_0680/klagomål/A 48371-2023 FSC-klagomål.docx", "A 48371-2023")</f>
        <v/>
      </c>
      <c r="AB116">
        <f>HYPERLINK("https://klasma.github.io/Logging_0680/klagomålsmail/A 48371-2023 FSC-klagomål mail.docx", "A 48371-2023")</f>
        <v/>
      </c>
      <c r="AC116">
        <f>HYPERLINK("https://klasma.github.io/Logging_0680/tillsyn/A 48371-2023 tillsynsbegäran.docx", "A 48371-2023")</f>
        <v/>
      </c>
      <c r="AD116">
        <f>HYPERLINK("https://klasma.github.io/Logging_0680/tillsynsmail/A 48371-2023 tillsynsbegäran mail.docx", "A 48371-2023")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46324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46324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46324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15516-2026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46324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Revlummer</t>
        </is>
      </c>
      <c r="W120">
        <f>HYPERLINK("https://klasma.github.io/Logging_0680/artfynd/A 15516-2026 artfynd.xlsx", "A 15516-2026")</f>
        <v/>
      </c>
      <c r="X120">
        <f>HYPERLINK("https://klasma.github.io/Logging_0680/kartor/A 15516-2026 karta.png", "A 15516-2026")</f>
        <v/>
      </c>
      <c r="Y120">
        <f>HYPERLINK("https://klasma.github.io/Logging_0680/kartor_geotiff/A 15516-2026 georefererad karta.tif", "A 15516-2026")</f>
        <v/>
      </c>
      <c r="AA120">
        <f>HYPERLINK("https://klasma.github.io/Logging_0680/klagomål/A 15516-2026 FSC-klagomål.docx", "A 15516-2026")</f>
        <v/>
      </c>
      <c r="AB120">
        <f>HYPERLINK("https://klasma.github.io/Logging_0680/klagomålsmail/A 15516-2026 FSC-klagomål mail.docx", "A 15516-2026")</f>
        <v/>
      </c>
      <c r="AC120">
        <f>HYPERLINK("https://klasma.github.io/Logging_0680/tillsyn/A 15516-2026 tillsynsbegäran.docx", "A 15516-2026")</f>
        <v/>
      </c>
      <c r="AD120">
        <f>HYPERLINK("https://klasma.github.io/Logging_0680/tillsynsmail/A 15516-2026 tillsynsbegäran mail.docx", "A 15516-2026")</f>
        <v/>
      </c>
    </row>
    <row r="121" ht="15" customHeight="1">
      <c r="A121" t="inlineStr">
        <is>
          <t>A 40549-2026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46294</v>
      </c>
      <c r="E121" s="1" t="n">
        <v>46324</v>
      </c>
      <c r="F121" t="inlineStr">
        <is>
          <t>JÖNKÖPINGS LÄN</t>
        </is>
      </c>
      <c r="G121" t="inlineStr">
        <is>
          <t>JÖNKÖPING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40549-2026 artfynd.xlsx", "A 40549-2026")</f>
        <v/>
      </c>
      <c r="X121">
        <f>HYPERLINK("https://klasma.github.io/Logging_0680/kartor/A 40549-2026 karta.png", "A 40549-2026")</f>
        <v/>
      </c>
      <c r="Y121">
        <f>HYPERLINK("https://klasma.github.io/Logging_0680/kartor_geotiff/A 40549-2026 georefererad karta.tif", "A 40549-2026")</f>
        <v/>
      </c>
      <c r="AA121">
        <f>HYPERLINK("https://klasma.github.io/Logging_0680/klagomål/A 40549-2026 FSC-klagomål.docx", "A 40549-2026")</f>
        <v/>
      </c>
      <c r="AB121">
        <f>HYPERLINK("https://klasma.github.io/Logging_0680/klagomålsmail/A 40549-2026 FSC-klagomål mail.docx", "A 40549-2026")</f>
        <v/>
      </c>
      <c r="AC121">
        <f>HYPERLINK("https://klasma.github.io/Logging_0680/tillsyn/A 40549-2026 tillsynsbegäran.docx", "A 40549-2026")</f>
        <v/>
      </c>
      <c r="AD121">
        <f>HYPERLINK("https://klasma.github.io/Logging_0680/tillsynsmail/A 40549-2026 tillsynsbegäran mail.docx", "A 40549-2026")</f>
        <v/>
      </c>
    </row>
    <row r="122" ht="15" customHeight="1">
      <c r="A122" t="inlineStr">
        <is>
          <t>A 34046-2026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46252</v>
      </c>
      <c r="E122" s="1" t="n">
        <v>46324</v>
      </c>
      <c r="F122" t="inlineStr">
        <is>
          <t>JÖNKÖPINGS LÄN</t>
        </is>
      </c>
      <c r="G122" t="inlineStr">
        <is>
          <t>JÖNKÖPING</t>
        </is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HYPERLINK("https://klasma.github.io/Logging_0680/artfynd/A 34046-2026 artfynd.xlsx", "A 34046-2026")</f>
        <v/>
      </c>
      <c r="X122">
        <f>HYPERLINK("https://klasma.github.io/Logging_0680/kartor/A 34046-2026 karta.png", "A 34046-2026")</f>
        <v/>
      </c>
      <c r="Y122">
        <f>HYPERLINK("https://klasma.github.io/Logging_0680/kartor_geotiff/A 34046-2026 georefererad karta.tif", "A 34046-2026")</f>
        <v/>
      </c>
      <c r="AA122">
        <f>HYPERLINK("https://klasma.github.io/Logging_0680/klagomål/A 34046-2026 FSC-klagomål.docx", "A 34046-2026")</f>
        <v/>
      </c>
      <c r="AB122">
        <f>HYPERLINK("https://klasma.github.io/Logging_0680/klagomålsmail/A 34046-2026 FSC-klagomål mail.docx", "A 34046-2026")</f>
        <v/>
      </c>
      <c r="AC122">
        <f>HYPERLINK("https://klasma.github.io/Logging_0680/tillsyn/A 34046-2026 tillsynsbegäran.docx", "A 34046-2026")</f>
        <v/>
      </c>
      <c r="AD122">
        <f>HYPERLINK("https://klasma.github.io/Logging_0680/tillsynsmail/A 34046-2026 tillsynsbegäran mail.docx", "A 34046-2026")</f>
        <v/>
      </c>
    </row>
    <row r="123" ht="15" customHeight="1">
      <c r="A123" t="inlineStr">
        <is>
          <t>A 41617-2026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46324</v>
      </c>
      <c r="F123" t="inlineStr">
        <is>
          <t>JÖNKÖPINGS LÄN</t>
        </is>
      </c>
      <c r="G123" t="inlineStr">
        <is>
          <t>JÖNKÖPING</t>
        </is>
      </c>
      <c r="I123" t="n">
        <v>1.2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Knärot</t>
        </is>
      </c>
      <c r="W123">
        <f>HYPERLINK("https://klasma.github.io/Logging_0680/artfynd/A 41617-2026 artfynd.xlsx", "A 41617-2026")</f>
        <v/>
      </c>
      <c r="X123">
        <f>HYPERLINK("https://klasma.github.io/Logging_0680/kartor/A 41617-2026 karta.png", "A 41617-2026")</f>
        <v/>
      </c>
      <c r="Y123">
        <f>HYPERLINK("https://klasma.github.io/Logging_0680/kartor_geotiff/A 41617-2026 georefererad karta.tif", "A 41617-2026")</f>
        <v/>
      </c>
      <c r="Z123">
        <f>HYPERLINK("https://klasma.github.io/Logging_0680/knärot/A 41617-2026 karta knärot.png", "A 41617-2026")</f>
        <v/>
      </c>
      <c r="AA123">
        <f>HYPERLINK("https://klasma.github.io/Logging_0680/klagomål/A 41617-2026 FSC-klagomål.docx", "A 41617-2026")</f>
        <v/>
      </c>
      <c r="AB123">
        <f>HYPERLINK("https://klasma.github.io/Logging_0680/klagomålsmail/A 41617-2026 FSC-klagomål mail.docx", "A 41617-2026")</f>
        <v/>
      </c>
      <c r="AC123">
        <f>HYPERLINK("https://klasma.github.io/Logging_0680/tillsyn/A 41617-2026 tillsynsbegäran.docx", "A 41617-2026")</f>
        <v/>
      </c>
      <c r="AD123">
        <f>HYPERLINK("https://klasma.github.io/Logging_0680/tillsynsmail/A 41617-2026 tillsynsbegäran mail.docx", "A 41617-2026")</f>
        <v/>
      </c>
    </row>
    <row r="124" ht="15" customHeight="1">
      <c r="A124" t="inlineStr">
        <is>
          <t>A 6456-2024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45338</v>
      </c>
      <c r="E124" s="1" t="n">
        <v>46324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Kyrkan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Slåttergubbe</t>
        </is>
      </c>
      <c r="W124">
        <f>HYPERLINK("https://klasma.github.io/Logging_0680/artfynd/A 6456-2024 artfynd.xlsx", "A 6456-2024")</f>
        <v/>
      </c>
      <c r="X124">
        <f>HYPERLINK("https://klasma.github.io/Logging_0680/kartor/A 6456-2024 karta.png", "A 6456-2024")</f>
        <v/>
      </c>
      <c r="Y124">
        <f>HYPERLINK("https://klasma.github.io/Logging_0680/kartor_geotiff/A 6456-2024 georefererad karta.tif", "A 6456-2024")</f>
        <v/>
      </c>
      <c r="AA124">
        <f>HYPERLINK("https://klasma.github.io/Logging_0680/klagomål/A 6456-2024 FSC-klagomål.docx", "A 6456-2024")</f>
        <v/>
      </c>
      <c r="AB124">
        <f>HYPERLINK("https://klasma.github.io/Logging_0680/klagomålsmail/A 6456-2024 FSC-klagomål mail.docx", "A 6456-2024")</f>
        <v/>
      </c>
      <c r="AC124">
        <f>HYPERLINK("https://klasma.github.io/Logging_0680/tillsyn/A 6456-2024 tillsynsbegäran.docx", "A 6456-2024")</f>
        <v/>
      </c>
      <c r="AD124">
        <f>HYPERLINK("https://klasma.github.io/Logging_0680/tillsynsmail/A 6456-2024 tillsynsbegäran mail.docx", "A 6456-2024")</f>
        <v/>
      </c>
    </row>
    <row r="125" ht="15" customHeight="1">
      <c r="A125" t="inlineStr">
        <is>
          <t>A 41676-2026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46302</v>
      </c>
      <c r="E125" s="1" t="n">
        <v>46324</v>
      </c>
      <c r="F125" t="inlineStr">
        <is>
          <t>JÖNKÖPINGS LÄN</t>
        </is>
      </c>
      <c r="G125" t="inlineStr">
        <is>
          <t>JÖNKÖPING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Svedjenäva</t>
        </is>
      </c>
      <c r="W125">
        <f>HYPERLINK("https://klasma.github.io/Logging_0680/artfynd/A 41676-2026 artfynd.xlsx", "A 41676-2026")</f>
        <v/>
      </c>
      <c r="X125">
        <f>HYPERLINK("https://klasma.github.io/Logging_0680/kartor/A 41676-2026 karta.png", "A 41676-2026")</f>
        <v/>
      </c>
      <c r="Y125">
        <f>HYPERLINK("https://klasma.github.io/Logging_0680/kartor_geotiff/A 41676-2026 georefererad karta.tif", "A 41676-2026")</f>
        <v/>
      </c>
      <c r="AA125">
        <f>HYPERLINK("https://klasma.github.io/Logging_0680/klagomål/A 41676-2026 FSC-klagomål.docx", "A 41676-2026")</f>
        <v/>
      </c>
      <c r="AB125">
        <f>HYPERLINK("https://klasma.github.io/Logging_0680/klagomålsmail/A 41676-2026 FSC-klagomål mail.docx", "A 41676-2026")</f>
        <v/>
      </c>
      <c r="AC125">
        <f>HYPERLINK("https://klasma.github.io/Logging_0680/tillsyn/A 41676-2026 tillsynsbegäran.docx", "A 41676-2026")</f>
        <v/>
      </c>
      <c r="AD125">
        <f>HYPERLINK("https://klasma.github.io/Logging_0680/tillsynsmail/A 41676-2026 tillsynsbegäran mail.docx", "A 41676-2026")</f>
        <v/>
      </c>
    </row>
    <row r="126" ht="15" customHeight="1">
      <c r="A126" t="inlineStr">
        <is>
          <t>A 48114-2023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46324</v>
      </c>
      <c r="F126" t="inlineStr">
        <is>
          <t>JÖNKÖPINGS LÄN</t>
        </is>
      </c>
      <c r="G126" t="inlineStr">
        <is>
          <t>JÖNKÖPING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HYPERLINK("https://klasma.github.io/Logging_0680/artfynd/A 48114-2023 artfynd.xlsx", "A 48114-2023")</f>
        <v/>
      </c>
      <c r="X126">
        <f>HYPERLINK("https://klasma.github.io/Logging_0680/kartor/A 48114-2023 karta.png", "A 48114-2023")</f>
        <v/>
      </c>
      <c r="Y126">
        <f>HYPERLINK("https://klasma.github.io/Logging_0680/kartor_geotiff/A 48114-2023 georefererad karta.tif", "A 48114-2023")</f>
        <v/>
      </c>
      <c r="AA126">
        <f>HYPERLINK("https://klasma.github.io/Logging_0680/klagomål/A 48114-2023 FSC-klagomål.docx", "A 48114-2023")</f>
        <v/>
      </c>
      <c r="AB126">
        <f>HYPERLINK("https://klasma.github.io/Logging_0680/klagomålsmail/A 48114-2023 FSC-klagomål mail.docx", "A 48114-2023")</f>
        <v/>
      </c>
      <c r="AC126">
        <f>HYPERLINK("https://klasma.github.io/Logging_0680/tillsyn/A 48114-2023 tillsynsbegäran.docx", "A 48114-2023")</f>
        <v/>
      </c>
      <c r="AD126">
        <f>HYPERLINK("https://klasma.github.io/Logging_0680/tillsynsmail/A 48114-2023 tillsynsbegäran mail.docx", "A 48114-2023")</f>
        <v/>
      </c>
    </row>
    <row r="127" ht="15" customHeight="1">
      <c r="A127" t="inlineStr">
        <is>
          <t>A 38900-2026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46286</v>
      </c>
      <c r="E127" s="1" t="n">
        <v>46324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Motaggsvamp</t>
        </is>
      </c>
      <c r="W127">
        <f>HYPERLINK("https://klasma.github.io/Logging_0680/artfynd/A 38900-2026 artfynd.xlsx", "A 38900-2026")</f>
        <v/>
      </c>
      <c r="X127">
        <f>HYPERLINK("https://klasma.github.io/Logging_0680/kartor/A 38900-2026 karta.png", "A 38900-2026")</f>
        <v/>
      </c>
      <c r="Y127">
        <f>HYPERLINK("https://klasma.github.io/Logging_0680/kartor_geotiff/A 38900-2026 georefererad karta.tif", "A 38900-2026")</f>
        <v/>
      </c>
      <c r="AA127">
        <f>HYPERLINK("https://klasma.github.io/Logging_0680/klagomål/A 38900-2026 FSC-klagomål.docx", "A 38900-2026")</f>
        <v/>
      </c>
      <c r="AB127">
        <f>HYPERLINK("https://klasma.github.io/Logging_0680/klagomålsmail/A 38900-2026 FSC-klagomål mail.docx", "A 38900-2026")</f>
        <v/>
      </c>
      <c r="AC127">
        <f>HYPERLINK("https://klasma.github.io/Logging_0680/tillsyn/A 38900-2026 tillsynsbegäran.docx", "A 38900-2026")</f>
        <v/>
      </c>
      <c r="AD127">
        <f>HYPERLINK("https://klasma.github.io/Logging_0680/tillsynsmail/A 38900-2026 tillsynsbegäran mail.docx", "A 38900-2026")</f>
        <v/>
      </c>
    </row>
    <row r="128" ht="15" customHeight="1">
      <c r="A128" t="inlineStr">
        <is>
          <t>A 18770-2025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45764</v>
      </c>
      <c r="E128" s="1" t="n">
        <v>46324</v>
      </c>
      <c r="F128" t="inlineStr">
        <is>
          <t>JÖNKÖPINGS LÄN</t>
        </is>
      </c>
      <c r="G128" t="inlineStr">
        <is>
          <t>JÖNKÖPING</t>
        </is>
      </c>
      <c r="I128" t="n">
        <v>3.3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Gullpudra</t>
        </is>
      </c>
      <c r="W128">
        <f>HYPERLINK("https://klasma.github.io/Logging_0680/artfynd/A 18770-2025 artfynd.xlsx", "A 18770-2025")</f>
        <v/>
      </c>
      <c r="X128">
        <f>HYPERLINK("https://klasma.github.io/Logging_0680/kartor/A 18770-2025 karta.png", "A 18770-2025")</f>
        <v/>
      </c>
      <c r="Y128">
        <f>HYPERLINK("https://klasma.github.io/Logging_0680/kartor_geotiff/A 18770-2025 georefererad karta.tif", "A 18770-2025")</f>
        <v/>
      </c>
      <c r="AA128">
        <f>HYPERLINK("https://klasma.github.io/Logging_0680/klagomål/A 18770-2025 FSC-klagomål.docx", "A 18770-2025")</f>
        <v/>
      </c>
      <c r="AB128">
        <f>HYPERLINK("https://klasma.github.io/Logging_0680/klagomålsmail/A 18770-2025 FSC-klagomål mail.docx", "A 18770-2025")</f>
        <v/>
      </c>
      <c r="AC128">
        <f>HYPERLINK("https://klasma.github.io/Logging_0680/tillsyn/A 18770-2025 tillsynsbegäran.docx", "A 18770-2025")</f>
        <v/>
      </c>
      <c r="AD128">
        <f>HYPERLINK("https://klasma.github.io/Logging_0680/tillsynsmail/A 18770-2025 tillsynsbegäran mail.docx", "A 18770-2025")</f>
        <v/>
      </c>
    </row>
    <row r="129" ht="15" customHeight="1">
      <c r="A129" t="inlineStr">
        <is>
          <t>A 41618-2026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46324</v>
      </c>
      <c r="F129" t="inlineStr">
        <is>
          <t>JÖNKÖPINGS LÄN</t>
        </is>
      </c>
      <c r="G129" t="inlineStr">
        <is>
          <t>JÖNKÖPING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HYPERLINK("https://klasma.github.io/Logging_0680/artfynd/A 41618-2026 artfynd.xlsx", "A 41618-2026")</f>
        <v/>
      </c>
      <c r="X129">
        <f>HYPERLINK("https://klasma.github.io/Logging_0680/kartor/A 41618-2026 karta.png", "A 41618-2026")</f>
        <v/>
      </c>
      <c r="Y129">
        <f>HYPERLINK("https://klasma.github.io/Logging_0680/kartor_geotiff/A 41618-2026 georefererad karta.tif", "A 41618-2026")</f>
        <v/>
      </c>
      <c r="AA129">
        <f>HYPERLINK("https://klasma.github.io/Logging_0680/klagomål/A 41618-2026 FSC-klagomål.docx", "A 41618-2026")</f>
        <v/>
      </c>
      <c r="AB129">
        <f>HYPERLINK("https://klasma.github.io/Logging_0680/klagomålsmail/A 41618-2026 FSC-klagomål mail.docx", "A 41618-2026")</f>
        <v/>
      </c>
      <c r="AC129">
        <f>HYPERLINK("https://klasma.github.io/Logging_0680/tillsyn/A 41618-2026 tillsynsbegäran.docx", "A 41618-2026")</f>
        <v/>
      </c>
      <c r="AD129">
        <f>HYPERLINK("https://klasma.github.io/Logging_0680/tillsynsmail/A 41618-2026 tillsynsbegäran mail.docx", "A 41618-2026")</f>
        <v/>
      </c>
    </row>
    <row r="130" ht="15" customHeight="1">
      <c r="A130" t="inlineStr">
        <is>
          <t>A 44866-2026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46323</v>
      </c>
      <c r="E130" s="1" t="n">
        <v>46324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Rosenfink</t>
        </is>
      </c>
      <c r="W130">
        <f>HYPERLINK("https://klasma.github.io/Logging_0680/artfynd/A 44866-2026 artfynd.xlsx", "A 44866-2026")</f>
        <v/>
      </c>
      <c r="X130">
        <f>HYPERLINK("https://klasma.github.io/Logging_0680/kartor/A 44866-2026 karta.png", "A 44866-2026")</f>
        <v/>
      </c>
      <c r="Y130">
        <f>HYPERLINK("https://klasma.github.io/Logging_0680/kartor_geotiff/A 44866-2026 georefererad karta.tif", "A 44866-2026")</f>
        <v/>
      </c>
      <c r="AA130">
        <f>HYPERLINK("https://klasma.github.io/Logging_0680/klagomål/A 44866-2026 FSC-klagomål.docx", "A 44866-2026")</f>
        <v/>
      </c>
      <c r="AB130">
        <f>HYPERLINK("https://klasma.github.io/Logging_0680/klagomålsmail/A 44866-2026 FSC-klagomål mail.docx", "A 44866-2026")</f>
        <v/>
      </c>
      <c r="AC130">
        <f>HYPERLINK("https://klasma.github.io/Logging_0680/tillsyn/A 44866-2026 tillsynsbegäran.docx", "A 44866-2026")</f>
        <v/>
      </c>
      <c r="AD130">
        <f>HYPERLINK("https://klasma.github.io/Logging_0680/tillsynsmail/A 44866-2026 tillsynsbegäran mail.docx", "A 44866-2026")</f>
        <v/>
      </c>
      <c r="AE130">
        <f>HYPERLINK("https://klasma.github.io/Logging_0680/fåglar/A 44866-2026 prioriterade fågelarter.docx", "A 44866-2026")</f>
        <v/>
      </c>
    </row>
    <row r="131" ht="15" customHeight="1">
      <c r="A131" t="inlineStr">
        <is>
          <t>A 37885-2026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46279</v>
      </c>
      <c r="E131" s="1" t="n">
        <v>46324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HYPERLINK("https://klasma.github.io/Logging_0680/artfynd/A 37885-2026 artfynd.xlsx", "A 37885-2026")</f>
        <v/>
      </c>
      <c r="X131">
        <f>HYPERLINK("https://klasma.github.io/Logging_0680/kartor/A 37885-2026 karta.png", "A 37885-2026")</f>
        <v/>
      </c>
      <c r="Y131">
        <f>HYPERLINK("https://klasma.github.io/Logging_0680/kartor_geotiff/A 37885-2026 georefererad karta.tif", "A 37885-2026")</f>
        <v/>
      </c>
      <c r="AA131">
        <f>HYPERLINK("https://klasma.github.io/Logging_0680/klagomål/A 37885-2026 FSC-klagomål.docx", "A 37885-2026")</f>
        <v/>
      </c>
      <c r="AB131">
        <f>HYPERLINK("https://klasma.github.io/Logging_0680/klagomålsmail/A 37885-2026 FSC-klagomål mail.docx", "A 37885-2026")</f>
        <v/>
      </c>
      <c r="AC131">
        <f>HYPERLINK("https://klasma.github.io/Logging_0680/tillsyn/A 37885-2026 tillsynsbegäran.docx", "A 37885-2026")</f>
        <v/>
      </c>
      <c r="AD131">
        <f>HYPERLINK("https://klasma.github.io/Logging_0680/tillsynsmail/A 37885-2026 tillsynsbegäran mail.docx", "A 37885-2026")</f>
        <v/>
      </c>
    </row>
    <row r="132" ht="15" customHeight="1">
      <c r="A132" t="inlineStr">
        <is>
          <t>S 273-2023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44955</v>
      </c>
      <c r="E132" s="1" t="n">
        <v>46324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26.3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Hållav</t>
        </is>
      </c>
      <c r="W132">
        <f>HYPERLINK("https://klasma.github.io/Logging_0680/artfynd/S 273-2023 artfynd.xlsx", "S 273-2023")</f>
        <v/>
      </c>
      <c r="X132">
        <f>HYPERLINK("https://klasma.github.io/Logging_0680/kartor/S 273-2023 karta.png", "S 273-2023")</f>
        <v/>
      </c>
      <c r="Y132">
        <f>HYPERLINK("https://klasma.github.io/Logging_0680/kartor_geotiff/S 273-2023 georefererad karta.tif", "S 273-2023")</f>
        <v/>
      </c>
      <c r="AA132">
        <f>HYPERLINK("https://klasma.github.io/Logging_0680/klagomål/S 273-2023 FSC-klagomål.docx", "S 273-2023")</f>
        <v/>
      </c>
      <c r="AB132">
        <f>HYPERLINK("https://klasma.github.io/Logging_0680/klagomålsmail/S 273-2023 FSC-klagomål mail.docx", "S 273-2023")</f>
        <v/>
      </c>
      <c r="AC132">
        <f>HYPERLINK("https://klasma.github.io/Logging_0680/tillsyn/S 273-2023 tillsynsbegäran.docx", "S 273-2023")</f>
        <v/>
      </c>
      <c r="AD132">
        <f>HYPERLINK("https://klasma.github.io/Logging_0680/tillsynsmail/S 273-2023 tillsynsbegäran mail.docx", "S 273-2023")</f>
        <v/>
      </c>
    </row>
    <row r="133" ht="15" customHeight="1">
      <c r="A133" t="inlineStr">
        <is>
          <t>S 1266-2023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45029</v>
      </c>
      <c r="E133" s="1" t="n">
        <v>46324</v>
      </c>
      <c r="F133" t="inlineStr">
        <is>
          <t>JÖNKÖPINGS LÄN</t>
        </is>
      </c>
      <c r="G133" t="inlineStr">
        <is>
          <t>JÖNKÖPING</t>
        </is>
      </c>
      <c r="I133" t="n">
        <v>16.7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Grönsångare</t>
        </is>
      </c>
      <c r="W133">
        <f>HYPERLINK("https://klasma.github.io/Logging_0680/artfynd/S 1266-2023 artfynd.xlsx", "S 1266-2023")</f>
        <v/>
      </c>
      <c r="X133">
        <f>HYPERLINK("https://klasma.github.io/Logging_0680/kartor/S 1266-2023 karta.png", "S 1266-2023")</f>
        <v/>
      </c>
      <c r="Y133">
        <f>HYPERLINK("https://klasma.github.io/Logging_0680/kartor_geotiff/S 1266-2023 georefererad karta.tif", "S 1266-2023")</f>
        <v/>
      </c>
      <c r="AA133">
        <f>HYPERLINK("https://klasma.github.io/Logging_0680/klagomål/S 1266-2023 FSC-klagomål.docx", "S 1266-2023")</f>
        <v/>
      </c>
      <c r="AB133">
        <f>HYPERLINK("https://klasma.github.io/Logging_0680/klagomålsmail/S 1266-2023 FSC-klagomål mail.docx", "S 1266-2023")</f>
        <v/>
      </c>
      <c r="AC133">
        <f>HYPERLINK("https://klasma.github.io/Logging_0680/tillsyn/S 1266-2023 tillsynsbegäran.docx", "S 1266-2023")</f>
        <v/>
      </c>
      <c r="AD133">
        <f>HYPERLINK("https://klasma.github.io/Logging_0680/tillsynsmail/S 1266-2023 tillsynsbegäran mail.docx", "S 1266-2023")</f>
        <v/>
      </c>
      <c r="AE133">
        <f>HYPERLINK("https://klasma.github.io/Logging_0680/fåglar/S 1266-2023 prioriterade fågelarter.docx", "S 1266-2023")</f>
        <v/>
      </c>
    </row>
    <row r="134" ht="15" customHeight="1">
      <c r="A134" t="inlineStr">
        <is>
          <t>S 2902-2022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44711</v>
      </c>
      <c r="E134" s="1" t="n">
        <v>46324</v>
      </c>
      <c r="F134" t="inlineStr">
        <is>
          <t>JÖNKÖPINGS LÄN</t>
        </is>
      </c>
      <c r="G134" t="inlineStr">
        <is>
          <t>JÖNKÖPING</t>
        </is>
      </c>
      <c r="I134" t="n">
        <v>38.4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HYPERLINK("https://klasma.github.io/Logging_0680/artfynd/S 2902-2022 artfynd.xlsx", "S 2902-2022")</f>
        <v/>
      </c>
      <c r="X134">
        <f>HYPERLINK("https://klasma.github.io/Logging_0680/kartor/S 2902-2022 karta.png", "S 2902-2022")</f>
        <v/>
      </c>
      <c r="Y134">
        <f>HYPERLINK("https://klasma.github.io/Logging_0680/kartor_geotiff/S 2902-2022 georefererad karta.tif", "S 2902-2022")</f>
        <v/>
      </c>
      <c r="AA134">
        <f>HYPERLINK("https://klasma.github.io/Logging_0680/klagomål/S 2902-2022 FSC-klagomål.docx", "S 2902-2022")</f>
        <v/>
      </c>
      <c r="AB134">
        <f>HYPERLINK("https://klasma.github.io/Logging_0680/klagomålsmail/S 2902-2022 FSC-klagomål mail.docx", "S 2902-2022")</f>
        <v/>
      </c>
      <c r="AC134">
        <f>HYPERLINK("https://klasma.github.io/Logging_0680/tillsyn/S 2902-2022 tillsynsbegäran.docx", "S 2902-2022")</f>
        <v/>
      </c>
      <c r="AD134">
        <f>HYPERLINK("https://klasma.github.io/Logging_0680/tillsynsmail/S 2902-2022 tillsynsbegäran mail.docx", "S 2902-2022")</f>
        <v/>
      </c>
    </row>
    <row r="135" ht="15" customHeight="1">
      <c r="A135" t="inlineStr">
        <is>
          <t>S 1317-2022</t>
        </is>
      </c>
      <c r="B135" t="inlineStr">
        <is>
          <t>samrådsanmälan</t>
        </is>
      </c>
      <c r="C135" t="inlineStr">
        <is>
          <t>Åtgärd i nyckelbiotop</t>
        </is>
      </c>
      <c r="D135" s="1" t="n">
        <v>44628</v>
      </c>
      <c r="E135" s="1" t="n">
        <v>46324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4</v>
      </c>
      <c r="U135" t="n">
        <v>0</v>
      </c>
      <c r="V135" s="2" t="inlineStr">
        <is>
          <t>Ask</t>
        </is>
      </c>
      <c r="W135">
        <f>HYPERLINK("https://klasma.github.io/Logging_0680/artfynd/S 1317-2022 artfynd.xlsx", "S 1317-2022")</f>
        <v/>
      </c>
      <c r="X135">
        <f>HYPERLINK("https://klasma.github.io/Logging_0680/kartor/S 1317-2022 karta.png", "S 1317-2022")</f>
        <v/>
      </c>
      <c r="Y135">
        <f>HYPERLINK("https://klasma.github.io/Logging_0680/kartor_geotiff/S 1317-2022 georefererad karta.tif", "S 1317-2022")</f>
        <v/>
      </c>
      <c r="AA135">
        <f>HYPERLINK("https://klasma.github.io/Logging_0680/klagomål/S 1317-2022 FSC-klagomål.docx", "S 1317-2022")</f>
        <v/>
      </c>
      <c r="AB135">
        <f>HYPERLINK("https://klasma.github.io/Logging_0680/klagomålsmail/S 1317-2022 FSC-klagomål mail.docx", "S 1317-2022")</f>
        <v/>
      </c>
      <c r="AC135">
        <f>HYPERLINK("https://klasma.github.io/Logging_0680/tillsyn/S 1317-2022 tillsynsbegäran.docx", "S 1317-2022")</f>
        <v/>
      </c>
      <c r="AD135">
        <f>HYPERLINK("https://klasma.github.io/Logging_0680/tillsynsmail/S 1317-2022 tillsynsbegäran mail.docx", "S 1317-2022")</f>
        <v/>
      </c>
    </row>
    <row r="136" ht="15" customHeight="1">
      <c r="A136" t="inlineStr">
        <is>
          <t>S 575-2025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46324</v>
      </c>
      <c r="F136" t="inlineStr">
        <is>
          <t>JÖNKÖPINGS LÄN</t>
        </is>
      </c>
      <c r="G136" t="inlineStr">
        <is>
          <t>JÖNKÖPING</t>
        </is>
      </c>
      <c r="I136" t="n">
        <v>14.1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Gullpudra</t>
        </is>
      </c>
      <c r="W136">
        <f>HYPERLINK("https://klasma.github.io/Logging_0680/artfynd/S 575-2025 artfynd.xlsx", "S 575-2025")</f>
        <v/>
      </c>
      <c r="X136">
        <f>HYPERLINK("https://klasma.github.io/Logging_0680/kartor/S 575-2025 karta.png", "S 575-2025")</f>
        <v/>
      </c>
      <c r="Y136">
        <f>HYPERLINK("https://klasma.github.io/Logging_0680/kartor_geotiff/S 575-2025 georefererad karta.tif", "S 575-2025")</f>
        <v/>
      </c>
      <c r="AA136">
        <f>HYPERLINK("https://klasma.github.io/Logging_0680/klagomål/S 575-2025 FSC-klagomål.docx", "S 575-2025")</f>
        <v/>
      </c>
      <c r="AB136">
        <f>HYPERLINK("https://klasma.github.io/Logging_0680/klagomålsmail/S 575-2025 FSC-klagomål mail.docx", "S 575-2025")</f>
        <v/>
      </c>
      <c r="AC136">
        <f>HYPERLINK("https://klasma.github.io/Logging_0680/tillsyn/S 575-2025 tillsynsbegäran.docx", "S 575-2025")</f>
        <v/>
      </c>
      <c r="AD136">
        <f>HYPERLINK("https://klasma.github.io/Logging_0680/tillsynsmail/S 575-2025 tillsynsbegäran mail.docx", "S 575-2025")</f>
        <v/>
      </c>
    </row>
    <row r="137" ht="15" customHeight="1">
      <c r="A137" t="inlineStr">
        <is>
          <t>S 571-2025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45712</v>
      </c>
      <c r="E137" s="1" t="n">
        <v>46324</v>
      </c>
      <c r="F137" t="inlineStr">
        <is>
          <t>JÖNKÖPINGS LÄN</t>
        </is>
      </c>
      <c r="G137" t="inlineStr">
        <is>
          <t>JÖNKÖPING</t>
        </is>
      </c>
      <c r="I137" t="n">
        <v>34.2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HYPERLINK("https://klasma.github.io/Logging_0680/artfynd/S 571-2025 artfynd.xlsx", "S 571-2025")</f>
        <v/>
      </c>
      <c r="X137">
        <f>HYPERLINK("https://klasma.github.io/Logging_0680/kartor/S 571-2025 karta.png", "S 571-2025")</f>
        <v/>
      </c>
      <c r="Y137">
        <f>HYPERLINK("https://klasma.github.io/Logging_0680/kartor_geotiff/S 571-2025 georefererad karta.tif", "S 571-2025")</f>
        <v/>
      </c>
      <c r="AA137">
        <f>HYPERLINK("https://klasma.github.io/Logging_0680/klagomål/S 571-2025 FSC-klagomål.docx", "S 571-2025")</f>
        <v/>
      </c>
      <c r="AB137">
        <f>HYPERLINK("https://klasma.github.io/Logging_0680/klagomålsmail/S 571-2025 FSC-klagomål mail.docx", "S 571-2025")</f>
        <v/>
      </c>
      <c r="AC137">
        <f>HYPERLINK("https://klasma.github.io/Logging_0680/tillsyn/S 571-2025 tillsynsbegäran.docx", "S 571-2025")</f>
        <v/>
      </c>
      <c r="AD137">
        <f>HYPERLINK("https://klasma.github.io/Logging_0680/tillsynsmail/S 571-2025 tillsynsbegäran mail.docx", "S 571-2025")</f>
        <v/>
      </c>
      <c r="AE137">
        <f>HYPERLINK("https://klasma.github.io/Logging_0680/fåglar/S 571-2025 prioriterade fågelarter.docx", "S 571-2025")</f>
        <v/>
      </c>
    </row>
    <row r="138" ht="15" customHeight="1">
      <c r="A138" t="inlineStr">
        <is>
          <t>S 2136-2025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45846</v>
      </c>
      <c r="E138" s="1" t="n">
        <v>46324</v>
      </c>
      <c r="F138" t="inlineStr">
        <is>
          <t>JÖNKÖPINGS LÄN</t>
        </is>
      </c>
      <c r="G138" t="inlineStr">
        <is>
          <t>JÖNKÖPING</t>
        </is>
      </c>
      <c r="H138" t="inlineStr">
        <is>
          <t>Sveaskog</t>
        </is>
      </c>
      <c r="I138" t="n">
        <v>60.1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Nattskärra</t>
        </is>
      </c>
      <c r="W138">
        <f>HYPERLINK("https://klasma.github.io/Logging_0680/artfynd/S 2136-2025 artfynd.xlsx", "S 2136-2025")</f>
        <v/>
      </c>
      <c r="X138">
        <f>HYPERLINK("https://klasma.github.io/Logging_0680/kartor/S 2136-2025 karta.png", "S 2136-2025")</f>
        <v/>
      </c>
      <c r="Y138">
        <f>HYPERLINK("https://klasma.github.io/Logging_0680/kartor_geotiff/S 2136-2025 georefererad karta.tif", "S 2136-2025")</f>
        <v/>
      </c>
      <c r="AA138">
        <f>HYPERLINK("https://klasma.github.io/Logging_0680/klagomål/S 2136-2025 FSC-klagomål.docx", "S 2136-2025")</f>
        <v/>
      </c>
      <c r="AB138">
        <f>HYPERLINK("https://klasma.github.io/Logging_0680/klagomålsmail/S 2136-2025 FSC-klagomål mail.docx", "S 2136-2025")</f>
        <v/>
      </c>
      <c r="AC138">
        <f>HYPERLINK("https://klasma.github.io/Logging_0680/tillsyn/S 2136-2025 tillsynsbegäran.docx", "S 2136-2025")</f>
        <v/>
      </c>
      <c r="AD138">
        <f>HYPERLINK("https://klasma.github.io/Logging_0680/tillsynsmail/S 2136-2025 tillsynsbegäran mail.docx", "S 2136-2025")</f>
        <v/>
      </c>
      <c r="AE138">
        <f>HYPERLINK("https://klasma.github.io/Logging_0680/fåglar/S 2136-2025 prioriterade fågelarter.docx", "S 2136-2025")</f>
        <v/>
      </c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46324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46324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46324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46324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46324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46324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46324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46324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46324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46324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46324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46324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46324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46324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46324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46324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46324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46324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46324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46324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46324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46324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46324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46324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46324</v>
      </c>
      <c r="F163" t="inlineStr">
        <is>
          <t>JÖNKÖPINGS LÄN</t>
        </is>
      </c>
      <c r="G163" t="inlineStr">
        <is>
          <t>JÖNKÖPING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46324</v>
      </c>
      <c r="F164" t="inlineStr">
        <is>
          <t>JÖNKÖPINGS LÄN</t>
        </is>
      </c>
      <c r="G164" t="inlineStr">
        <is>
          <t>JÖNKÖPING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46324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46324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46324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46324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46324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46324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46324</v>
      </c>
      <c r="F171" t="inlineStr">
        <is>
          <t>JÖNKÖPINGS LÄN</t>
        </is>
      </c>
      <c r="G171" t="inlineStr">
        <is>
          <t>JÖNKÖPING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46324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46324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44729</v>
      </c>
      <c r="E174" s="1" t="n">
        <v>46324</v>
      </c>
      <c r="F174" t="inlineStr">
        <is>
          <t>JÖNKÖPINGS LÄN</t>
        </is>
      </c>
      <c r="G174" t="inlineStr">
        <is>
          <t>JÖNKÖPING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44957</v>
      </c>
      <c r="E175" s="1" t="n">
        <v>46324</v>
      </c>
      <c r="F175" t="inlineStr">
        <is>
          <t>JÖNKÖPINGS LÄN</t>
        </is>
      </c>
      <c r="G175" t="inlineStr">
        <is>
          <t>JÖNKÖPING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46324</v>
      </c>
      <c r="F176" t="inlineStr">
        <is>
          <t>JÖNKÖPINGS LÄN</t>
        </is>
      </c>
      <c r="G176" t="inlineStr">
        <is>
          <t>JÖNKÖPING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46324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46324</v>
      </c>
      <c r="F178" t="inlineStr">
        <is>
          <t>JÖNKÖPINGS LÄN</t>
        </is>
      </c>
      <c r="G178" t="inlineStr">
        <is>
          <t>JÖNKÖPING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36861-2022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44805</v>
      </c>
      <c r="E179" s="1" t="n">
        <v>46324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44811</v>
      </c>
      <c r="E180" s="1" t="n">
        <v>46324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46324</v>
      </c>
      <c r="F181" t="inlineStr">
        <is>
          <t>JÖNKÖPINGS LÄN</t>
        </is>
      </c>
      <c r="G181" t="inlineStr">
        <is>
          <t>JÖNKÖPING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46324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46324</v>
      </c>
      <c r="F183" t="inlineStr">
        <is>
          <t>JÖNKÖPINGS LÄN</t>
        </is>
      </c>
      <c r="G183" t="inlineStr">
        <is>
          <t>JÖNKÖPING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46324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44787</v>
      </c>
      <c r="E185" s="1" t="n">
        <v>46324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44498</v>
      </c>
      <c r="E186" s="1" t="n">
        <v>46324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46324</v>
      </c>
      <c r="F187" t="inlineStr">
        <is>
          <t>JÖNKÖPINGS LÄN</t>
        </is>
      </c>
      <c r="G187" t="inlineStr">
        <is>
          <t>JÖNKÖPING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45182</v>
      </c>
      <c r="E188" s="1" t="n">
        <v>46324</v>
      </c>
      <c r="F188" t="inlineStr">
        <is>
          <t>JÖNKÖPINGS LÄN</t>
        </is>
      </c>
      <c r="G188" t="inlineStr">
        <is>
          <t>JÖNKÖPING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46324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46324</v>
      </c>
      <c r="F190" t="inlineStr">
        <is>
          <t>JÖNKÖPINGS LÄN</t>
        </is>
      </c>
      <c r="G190" t="inlineStr">
        <is>
          <t>JÖNKÖPING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46324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46324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46324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46324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46324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46324</v>
      </c>
      <c r="F196" t="inlineStr">
        <is>
          <t>JÖNKÖPINGS LÄN</t>
        </is>
      </c>
      <c r="G196" t="inlineStr">
        <is>
          <t>JÖNKÖPING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46324</v>
      </c>
      <c r="F197" t="inlineStr">
        <is>
          <t>JÖNKÖPINGS LÄN</t>
        </is>
      </c>
      <c r="G197" t="inlineStr">
        <is>
          <t>JÖNKÖPING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21149-2022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46324</v>
      </c>
      <c r="F198" t="inlineStr">
        <is>
          <t>JÖNKÖPINGS LÄN</t>
        </is>
      </c>
      <c r="G198" t="inlineStr">
        <is>
          <t>JÖNKÖPING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45401</v>
      </c>
      <c r="E199" s="1" t="n">
        <v>46324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Kommuner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44853</v>
      </c>
      <c r="E200" s="1" t="n">
        <v>46324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46324</v>
      </c>
      <c r="F201" t="inlineStr">
        <is>
          <t>JÖNKÖPINGS LÄN</t>
        </is>
      </c>
      <c r="G201" t="inlineStr">
        <is>
          <t>JÖNKÖPING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46324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43782-2024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45570</v>
      </c>
      <c r="E203" s="1" t="n">
        <v>46324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46324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46324</v>
      </c>
      <c r="F205" t="inlineStr">
        <is>
          <t>JÖNKÖPINGS LÄN</t>
        </is>
      </c>
      <c r="G205" t="inlineStr">
        <is>
          <t>JÖNKÖPING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46324</v>
      </c>
      <c r="F206" t="inlineStr">
        <is>
          <t>JÖNKÖPINGS LÄN</t>
        </is>
      </c>
      <c r="G206" t="inlineStr">
        <is>
          <t>JÖNKÖPING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45435</v>
      </c>
      <c r="E207" s="1" t="n">
        <v>46324</v>
      </c>
      <c r="F207" t="inlineStr">
        <is>
          <t>JÖNKÖPINGS LÄN</t>
        </is>
      </c>
      <c r="G207" t="inlineStr">
        <is>
          <t>JÖNKÖPING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46324</v>
      </c>
      <c r="F208" t="inlineStr">
        <is>
          <t>JÖNKÖPINGS LÄN</t>
        </is>
      </c>
      <c r="G208" t="inlineStr">
        <is>
          <t>JÖNKÖPING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46324</v>
      </c>
      <c r="F209" t="inlineStr">
        <is>
          <t>JÖNKÖPINGS LÄN</t>
        </is>
      </c>
      <c r="G209" t="inlineStr">
        <is>
          <t>JÖNKÖPING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44658</v>
      </c>
      <c r="E210" s="1" t="n">
        <v>46324</v>
      </c>
      <c r="F210" t="inlineStr">
        <is>
          <t>JÖNKÖPINGS LÄN</t>
        </is>
      </c>
      <c r="G210" t="inlineStr">
        <is>
          <t>JÖNKÖPING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45740</v>
      </c>
      <c r="E211" s="1" t="n">
        <v>46324</v>
      </c>
      <c r="F211" t="inlineStr">
        <is>
          <t>JÖNKÖPINGS LÄN</t>
        </is>
      </c>
      <c r="G211" t="inlineStr">
        <is>
          <t>JÖNKÖPING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46324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46324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46324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73003-2021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46324</v>
      </c>
      <c r="F215" t="inlineStr">
        <is>
          <t>JÖNKÖPINGS LÄN</t>
        </is>
      </c>
      <c r="G215" t="inlineStr">
        <is>
          <t>JÖNKÖPING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46324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46324</v>
      </c>
      <c r="F217" t="inlineStr">
        <is>
          <t>JÖNKÖPINGS LÄN</t>
        </is>
      </c>
      <c r="G217" t="inlineStr">
        <is>
          <t>JÖNKÖPING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45734</v>
      </c>
      <c r="E218" s="1" t="n">
        <v>46324</v>
      </c>
      <c r="F218" t="inlineStr">
        <is>
          <t>JÖNKÖPINGS LÄN</t>
        </is>
      </c>
      <c r="G218" t="inlineStr">
        <is>
          <t>JÖNKÖPING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45130</v>
      </c>
      <c r="E219" s="1" t="n">
        <v>46324</v>
      </c>
      <c r="F219" t="inlineStr">
        <is>
          <t>JÖNKÖPINGS LÄN</t>
        </is>
      </c>
      <c r="G219" t="inlineStr">
        <is>
          <t>JÖNKÖPING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46324</v>
      </c>
      <c r="F220" t="inlineStr">
        <is>
          <t>JÖNKÖPINGS LÄN</t>
        </is>
      </c>
      <c r="G220" t="inlineStr">
        <is>
          <t>JÖNKÖPING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46324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46324</v>
      </c>
      <c r="F222" t="inlineStr">
        <is>
          <t>JÖNKÖPINGS LÄN</t>
        </is>
      </c>
      <c r="G222" t="inlineStr">
        <is>
          <t>JÖNKÖPING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46324</v>
      </c>
      <c r="F223" t="inlineStr">
        <is>
          <t>JÖNKÖPINGS LÄN</t>
        </is>
      </c>
      <c r="G223" t="inlineStr">
        <is>
          <t>JÖNKÖPING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46324</v>
      </c>
      <c r="F224" t="inlineStr">
        <is>
          <t>JÖNKÖPINGS LÄN</t>
        </is>
      </c>
      <c r="G224" t="inlineStr">
        <is>
          <t>JÖNKÖPING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45174</v>
      </c>
      <c r="E225" s="1" t="n">
        <v>46324</v>
      </c>
      <c r="F225" t="inlineStr">
        <is>
          <t>JÖNKÖPINGS LÄN</t>
        </is>
      </c>
      <c r="G225" t="inlineStr">
        <is>
          <t>JÖNKÖPING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45557</v>
      </c>
      <c r="E226" s="1" t="n">
        <v>46324</v>
      </c>
      <c r="F226" t="inlineStr">
        <is>
          <t>JÖNKÖPINGS LÄN</t>
        </is>
      </c>
      <c r="G226" t="inlineStr">
        <is>
          <t>JÖNKÖPING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44992</v>
      </c>
      <c r="E227" s="1" t="n">
        <v>46324</v>
      </c>
      <c r="F227" t="inlineStr">
        <is>
          <t>JÖNKÖPINGS LÄN</t>
        </is>
      </c>
      <c r="G227" t="inlineStr">
        <is>
          <t>JÖNKÖPING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8752-2022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44614</v>
      </c>
      <c r="E228" s="1" t="n">
        <v>46324</v>
      </c>
      <c r="F228" t="inlineStr">
        <is>
          <t>JÖNKÖPINGS LÄN</t>
        </is>
      </c>
      <c r="G228" t="inlineStr">
        <is>
          <t>JÖNKÖPING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45462</v>
      </c>
      <c r="E229" s="1" t="n">
        <v>46324</v>
      </c>
      <c r="F229" t="inlineStr">
        <is>
          <t>JÖNKÖPINGS LÄN</t>
        </is>
      </c>
      <c r="G229" t="inlineStr">
        <is>
          <t>JÖNKÖPING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49392-2022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46324</v>
      </c>
      <c r="F230" t="inlineStr">
        <is>
          <t>JÖNKÖPINGS LÄN</t>
        </is>
      </c>
      <c r="G230" t="inlineStr">
        <is>
          <t>JÖNKÖPING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45114</v>
      </c>
      <c r="E231" s="1" t="n">
        <v>46324</v>
      </c>
      <c r="F231" t="inlineStr">
        <is>
          <t>JÖNKÖPINGS LÄN</t>
        </is>
      </c>
      <c r="G231" t="inlineStr">
        <is>
          <t>JÖNKÖPING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46324</v>
      </c>
      <c r="F232" t="inlineStr">
        <is>
          <t>JÖNKÖPINGS LÄN</t>
        </is>
      </c>
      <c r="G232" t="inlineStr">
        <is>
          <t>JÖNKÖPING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21935-2022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44711</v>
      </c>
      <c r="E233" s="1" t="n">
        <v>46324</v>
      </c>
      <c r="F233" t="inlineStr">
        <is>
          <t>JÖNKÖPINGS LÄN</t>
        </is>
      </c>
      <c r="G233" t="inlineStr">
        <is>
          <t>JÖNKÖPING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46324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46324</v>
      </c>
      <c r="F235" t="inlineStr">
        <is>
          <t>JÖNKÖPINGS LÄN</t>
        </is>
      </c>
      <c r="G235" t="inlineStr">
        <is>
          <t>JÖNKÖPING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45806</v>
      </c>
      <c r="E236" s="1" t="n">
        <v>46324</v>
      </c>
      <c r="F236" t="inlineStr">
        <is>
          <t>JÖNKÖPINGS LÄN</t>
        </is>
      </c>
      <c r="G236" t="inlineStr">
        <is>
          <t>JÖNKÖPING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46324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Kyrkan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45270</v>
      </c>
      <c r="E238" s="1" t="n">
        <v>46324</v>
      </c>
      <c r="F238" t="inlineStr">
        <is>
          <t>JÖNKÖPINGS LÄN</t>
        </is>
      </c>
      <c r="G238" t="inlineStr">
        <is>
          <t>JÖNKÖPING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38901-2025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45887</v>
      </c>
      <c r="E239" s="1" t="n">
        <v>46324</v>
      </c>
      <c r="F239" t="inlineStr">
        <is>
          <t>JÖNKÖPINGS LÄN</t>
        </is>
      </c>
      <c r="G239" t="inlineStr">
        <is>
          <t>JÖNKÖPING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46324</v>
      </c>
      <c r="F240" t="inlineStr">
        <is>
          <t>JÖNKÖPINGS LÄN</t>
        </is>
      </c>
      <c r="G240" t="inlineStr">
        <is>
          <t>JÖNKÖPING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46324</v>
      </c>
      <c r="F241" t="inlineStr">
        <is>
          <t>JÖNKÖPINGS LÄN</t>
        </is>
      </c>
      <c r="G241" t="inlineStr">
        <is>
          <t>JÖNKÖPING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45179</v>
      </c>
      <c r="E242" s="1" t="n">
        <v>46324</v>
      </c>
      <c r="F242" t="inlineStr">
        <is>
          <t>JÖNKÖPINGS LÄN</t>
        </is>
      </c>
      <c r="G242" t="inlineStr">
        <is>
          <t>JÖNKÖPING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44507</v>
      </c>
      <c r="E243" s="1" t="n">
        <v>46324</v>
      </c>
      <c r="F243" t="inlineStr">
        <is>
          <t>JÖNKÖPINGS LÄN</t>
        </is>
      </c>
      <c r="G243" t="inlineStr">
        <is>
          <t>JÖNKÖPING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46324</v>
      </c>
      <c r="F244" t="inlineStr">
        <is>
          <t>JÖNKÖPINGS LÄN</t>
        </is>
      </c>
      <c r="G244" t="inlineStr">
        <is>
          <t>JÖNKÖPING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45618</v>
      </c>
      <c r="E245" s="1" t="n">
        <v>46324</v>
      </c>
      <c r="F245" t="inlineStr">
        <is>
          <t>JÖNKÖPINGS LÄN</t>
        </is>
      </c>
      <c r="G245" t="inlineStr">
        <is>
          <t>JÖNKÖPING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46324</v>
      </c>
      <c r="F246" t="inlineStr">
        <is>
          <t>JÖNKÖPINGS LÄN</t>
        </is>
      </c>
      <c r="G246" t="inlineStr">
        <is>
          <t>JÖNKÖPING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46324</v>
      </c>
      <c r="F247" t="inlineStr">
        <is>
          <t>JÖNKÖPINGS LÄN</t>
        </is>
      </c>
      <c r="G247" t="inlineStr">
        <is>
          <t>JÖNKÖPING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46324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46324</v>
      </c>
      <c r="F249" t="inlineStr">
        <is>
          <t>JÖNKÖPINGS LÄN</t>
        </is>
      </c>
      <c r="G249" t="inlineStr">
        <is>
          <t>JÖNKÖPING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45561</v>
      </c>
      <c r="E250" s="1" t="n">
        <v>46324</v>
      </c>
      <c r="F250" t="inlineStr">
        <is>
          <t>JÖNKÖPINGS LÄN</t>
        </is>
      </c>
      <c r="G250" t="inlineStr">
        <is>
          <t>JÖNKÖPING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45697</v>
      </c>
      <c r="E251" s="1" t="n">
        <v>46324</v>
      </c>
      <c r="F251" t="inlineStr">
        <is>
          <t>JÖNKÖPINGS LÄN</t>
        </is>
      </c>
      <c r="G251" t="inlineStr">
        <is>
          <t>JÖNKÖPING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45169</v>
      </c>
      <c r="E252" s="1" t="n">
        <v>46324</v>
      </c>
      <c r="F252" t="inlineStr">
        <is>
          <t>JÖNKÖPINGS LÄN</t>
        </is>
      </c>
      <c r="G252" t="inlineStr">
        <is>
          <t>JÖNKÖPING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46324</v>
      </c>
      <c r="F253" t="inlineStr">
        <is>
          <t>JÖNKÖPINGS LÄN</t>
        </is>
      </c>
      <c r="G253" t="inlineStr">
        <is>
          <t>JÖNKÖPING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45048</v>
      </c>
      <c r="E254" s="1" t="n">
        <v>46324</v>
      </c>
      <c r="F254" t="inlineStr">
        <is>
          <t>JÖNKÖPINGS LÄN</t>
        </is>
      </c>
      <c r="G254" t="inlineStr">
        <is>
          <t>JÖNKÖPING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46324</v>
      </c>
      <c r="F255" t="inlineStr">
        <is>
          <t>JÖNKÖPINGS LÄN</t>
        </is>
      </c>
      <c r="G255" t="inlineStr">
        <is>
          <t>JÖNKÖPING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46324</v>
      </c>
      <c r="F256" t="inlineStr">
        <is>
          <t>JÖNKÖPINGS LÄN</t>
        </is>
      </c>
      <c r="G256" t="inlineStr">
        <is>
          <t>JÖNKÖPING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46324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46324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45302</v>
      </c>
      <c r="E259" s="1" t="n">
        <v>46324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46324</v>
      </c>
      <c r="F260" t="inlineStr">
        <is>
          <t>JÖNKÖPINGS LÄN</t>
        </is>
      </c>
      <c r="G260" t="inlineStr">
        <is>
          <t>JÖNKÖPING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46324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46324</v>
      </c>
      <c r="F262" t="inlineStr">
        <is>
          <t>JÖNKÖPINGS LÄN</t>
        </is>
      </c>
      <c r="G262" t="inlineStr">
        <is>
          <t>JÖNKÖPING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45892</v>
      </c>
      <c r="E263" s="1" t="n">
        <v>46324</v>
      </c>
      <c r="F263" t="inlineStr">
        <is>
          <t>JÖNKÖPINGS LÄN</t>
        </is>
      </c>
      <c r="G263" t="inlineStr">
        <is>
          <t>JÖNKÖPING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46324</v>
      </c>
      <c r="F264" t="inlineStr">
        <is>
          <t>JÖNKÖPINGS LÄN</t>
        </is>
      </c>
      <c r="G264" t="inlineStr">
        <is>
          <t>JÖNKÖPING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45892</v>
      </c>
      <c r="E265" s="1" t="n">
        <v>46324</v>
      </c>
      <c r="F265" t="inlineStr">
        <is>
          <t>JÖNKÖPINGS LÄN</t>
        </is>
      </c>
      <c r="G265" t="inlineStr">
        <is>
          <t>JÖNKÖPING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45892</v>
      </c>
      <c r="E266" s="1" t="n">
        <v>46324</v>
      </c>
      <c r="F266" t="inlineStr">
        <is>
          <t>JÖNKÖPINGS LÄN</t>
        </is>
      </c>
      <c r="G266" t="inlineStr">
        <is>
          <t>JÖNKÖPING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46324</v>
      </c>
      <c r="F267" t="inlineStr">
        <is>
          <t>JÖNKÖPINGS LÄN</t>
        </is>
      </c>
      <c r="G267" t="inlineStr">
        <is>
          <t>JÖNKÖPING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45149</v>
      </c>
      <c r="E268" s="1" t="n">
        <v>46324</v>
      </c>
      <c r="F268" t="inlineStr">
        <is>
          <t>JÖNKÖPINGS LÄN</t>
        </is>
      </c>
      <c r="G268" t="inlineStr">
        <is>
          <t>JÖNKÖPING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46324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44943</v>
      </c>
      <c r="E270" s="1" t="n">
        <v>46324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46324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45615</v>
      </c>
      <c r="E272" s="1" t="n">
        <v>46324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45523</v>
      </c>
      <c r="E273" s="1" t="n">
        <v>46324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46324</v>
      </c>
      <c r="F274" t="inlineStr">
        <is>
          <t>JÖNKÖPINGS LÄN</t>
        </is>
      </c>
      <c r="G274" t="inlineStr">
        <is>
          <t>JÖNKÖPING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46324</v>
      </c>
      <c r="F275" t="inlineStr">
        <is>
          <t>JÖNKÖPINGS LÄN</t>
        </is>
      </c>
      <c r="G275" t="inlineStr">
        <is>
          <t>JÖNKÖPING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46324</v>
      </c>
      <c r="F276" t="inlineStr">
        <is>
          <t>JÖNKÖPINGS LÄN</t>
        </is>
      </c>
      <c r="G276" t="inlineStr">
        <is>
          <t>JÖNKÖPING</t>
        </is>
      </c>
      <c r="I276" t="n">
        <v>11.9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46324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46324</v>
      </c>
      <c r="F278" t="inlineStr">
        <is>
          <t>JÖNKÖPINGS LÄN</t>
        </is>
      </c>
      <c r="G278" t="inlineStr">
        <is>
          <t>JÖNKÖPING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46324</v>
      </c>
      <c r="F279" t="inlineStr">
        <is>
          <t>JÖNKÖPINGS LÄN</t>
        </is>
      </c>
      <c r="G279" t="inlineStr">
        <is>
          <t>JÖNKÖPING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44628</v>
      </c>
      <c r="E280" s="1" t="n">
        <v>46324</v>
      </c>
      <c r="F280" t="inlineStr">
        <is>
          <t>JÖNKÖPINGS LÄN</t>
        </is>
      </c>
      <c r="G280" t="inlineStr">
        <is>
          <t>JÖNKÖPING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44944</v>
      </c>
      <c r="E281" s="1" t="n">
        <v>46324</v>
      </c>
      <c r="F281" t="inlineStr">
        <is>
          <t>JÖNKÖPINGS LÄN</t>
        </is>
      </c>
      <c r="G281" t="inlineStr">
        <is>
          <t>JÖNKÖPING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46324</v>
      </c>
      <c r="F282" t="inlineStr">
        <is>
          <t>JÖNKÖPINGS LÄN</t>
        </is>
      </c>
      <c r="G282" t="inlineStr">
        <is>
          <t>JÖNKÖPING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44729</v>
      </c>
      <c r="E283" s="1" t="n">
        <v>46324</v>
      </c>
      <c r="F283" t="inlineStr">
        <is>
          <t>JÖNKÖPINGS LÄN</t>
        </is>
      </c>
      <c r="G283" t="inlineStr">
        <is>
          <t>JÖNKÖPING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46324</v>
      </c>
      <c r="F284" t="inlineStr">
        <is>
          <t>JÖNKÖPINGS LÄN</t>
        </is>
      </c>
      <c r="G284" t="inlineStr">
        <is>
          <t>JÖNKÖPING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13632-2022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44648</v>
      </c>
      <c r="E285" s="1" t="n">
        <v>46324</v>
      </c>
      <c r="F285" t="inlineStr">
        <is>
          <t>JÖNKÖPINGS LÄN</t>
        </is>
      </c>
      <c r="G285" t="inlineStr">
        <is>
          <t>JÖNKÖPING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45177</v>
      </c>
      <c r="E286" s="1" t="n">
        <v>46324</v>
      </c>
      <c r="F286" t="inlineStr">
        <is>
          <t>JÖNKÖPINGS LÄN</t>
        </is>
      </c>
      <c r="G286" t="inlineStr">
        <is>
          <t>JÖNKÖPING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46324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46324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46324</v>
      </c>
      <c r="F289" t="inlineStr">
        <is>
          <t>JÖNKÖPINGS LÄN</t>
        </is>
      </c>
      <c r="G289" t="inlineStr">
        <is>
          <t>JÖNKÖPING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46324</v>
      </c>
      <c r="F290" t="inlineStr">
        <is>
          <t>JÖNKÖPINGS LÄN</t>
        </is>
      </c>
      <c r="G290" t="inlineStr">
        <is>
          <t>JÖNKÖPING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46324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Kyrkan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45693</v>
      </c>
      <c r="E292" s="1" t="n">
        <v>46324</v>
      </c>
      <c r="F292" t="inlineStr">
        <is>
          <t>JÖNKÖPINGS LÄN</t>
        </is>
      </c>
      <c r="G292" t="inlineStr">
        <is>
          <t>JÖNKÖPING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47740-2024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45588</v>
      </c>
      <c r="E293" s="1" t="n">
        <v>46324</v>
      </c>
      <c r="F293" t="inlineStr">
        <is>
          <t>JÖNKÖPINGS LÄN</t>
        </is>
      </c>
      <c r="G293" t="inlineStr">
        <is>
          <t>JÖNKÖPING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14566-2022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44655</v>
      </c>
      <c r="E294" s="1" t="n">
        <v>46324</v>
      </c>
      <c r="F294" t="inlineStr">
        <is>
          <t>JÖNKÖPINGS LÄN</t>
        </is>
      </c>
      <c r="G294" t="inlineStr">
        <is>
          <t>JÖNKÖPING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46324</v>
      </c>
      <c r="F295" t="inlineStr">
        <is>
          <t>JÖNKÖPINGS LÄN</t>
        </is>
      </c>
      <c r="G295" t="inlineStr">
        <is>
          <t>JÖNKÖPING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44106-2022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44839</v>
      </c>
      <c r="E296" s="1" t="n">
        <v>46324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46324</v>
      </c>
      <c r="F297" t="inlineStr">
        <is>
          <t>JÖNKÖPINGS LÄN</t>
        </is>
      </c>
      <c r="G297" t="inlineStr">
        <is>
          <t>JÖNKÖPING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46324</v>
      </c>
      <c r="F298" t="inlineStr">
        <is>
          <t>JÖNKÖPINGS LÄN</t>
        </is>
      </c>
      <c r="G298" t="inlineStr">
        <is>
          <t>JÖNKÖPING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44893</v>
      </c>
      <c r="E299" s="1" t="n">
        <v>46324</v>
      </c>
      <c r="F299" t="inlineStr">
        <is>
          <t>JÖNKÖPINGS LÄN</t>
        </is>
      </c>
      <c r="G299" t="inlineStr">
        <is>
          <t>JÖNKÖPING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46324</v>
      </c>
      <c r="F300" t="inlineStr">
        <is>
          <t>JÖNKÖPINGS LÄN</t>
        </is>
      </c>
      <c r="G300" t="inlineStr">
        <is>
          <t>JÖNKÖPING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46324</v>
      </c>
      <c r="F301" t="inlineStr">
        <is>
          <t>JÖNKÖPINGS LÄN</t>
        </is>
      </c>
      <c r="G301" t="inlineStr">
        <is>
          <t>JÖNKÖPING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45363</v>
      </c>
      <c r="E302" s="1" t="n">
        <v>46324</v>
      </c>
      <c r="F302" t="inlineStr">
        <is>
          <t>JÖNKÖPINGS LÄN</t>
        </is>
      </c>
      <c r="G302" t="inlineStr">
        <is>
          <t>JÖNKÖPING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46324</v>
      </c>
      <c r="F303" t="inlineStr">
        <is>
          <t>JÖNKÖPINGS LÄN</t>
        </is>
      </c>
      <c r="G303" t="inlineStr">
        <is>
          <t>JÖNKÖPING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45797</v>
      </c>
      <c r="E304" s="1" t="n">
        <v>46324</v>
      </c>
      <c r="F304" t="inlineStr">
        <is>
          <t>JÖNKÖPINGS LÄN</t>
        </is>
      </c>
      <c r="G304" t="inlineStr">
        <is>
          <t>JÖNKÖPING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45587</v>
      </c>
      <c r="E305" s="1" t="n">
        <v>46324</v>
      </c>
      <c r="F305" t="inlineStr">
        <is>
          <t>JÖNKÖPINGS LÄN</t>
        </is>
      </c>
      <c r="G305" t="inlineStr">
        <is>
          <t>JÖNKÖPING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46324</v>
      </c>
      <c r="F306" t="inlineStr">
        <is>
          <t>JÖNKÖPINGS LÄN</t>
        </is>
      </c>
      <c r="G306" t="inlineStr">
        <is>
          <t>JÖNKÖPING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46324</v>
      </c>
      <c r="F307" t="inlineStr">
        <is>
          <t>JÖNKÖPINGS LÄN</t>
        </is>
      </c>
      <c r="G307" t="inlineStr">
        <is>
          <t>JÖNKÖPING</t>
        </is>
      </c>
      <c r="H307" t="inlineStr">
        <is>
          <t>Kyrkan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46324</v>
      </c>
      <c r="F308" t="inlineStr">
        <is>
          <t>JÖNKÖPINGS LÄN</t>
        </is>
      </c>
      <c r="G308" t="inlineStr">
        <is>
          <t>JÖNKÖPING</t>
        </is>
      </c>
      <c r="H308" t="inlineStr">
        <is>
          <t>Kyrkan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45226</v>
      </c>
      <c r="E309" s="1" t="n">
        <v>46324</v>
      </c>
      <c r="F309" t="inlineStr">
        <is>
          <t>JÖNKÖPINGS LÄN</t>
        </is>
      </c>
      <c r="G309" t="inlineStr">
        <is>
          <t>JÖNKÖPING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44589</v>
      </c>
      <c r="E310" s="1" t="n">
        <v>46324</v>
      </c>
      <c r="F310" t="inlineStr">
        <is>
          <t>JÖNKÖPINGS LÄN</t>
        </is>
      </c>
      <c r="G310" t="inlineStr">
        <is>
          <t>JÖNKÖPING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44578</v>
      </c>
      <c r="E311" s="1" t="n">
        <v>46324</v>
      </c>
      <c r="F311" t="inlineStr">
        <is>
          <t>JÖNKÖPINGS LÄN</t>
        </is>
      </c>
      <c r="G311" t="inlineStr">
        <is>
          <t>JÖNKÖPING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45751</v>
      </c>
      <c r="E312" s="1" t="n">
        <v>46324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45587</v>
      </c>
      <c r="E313" s="1" t="n">
        <v>46324</v>
      </c>
      <c r="F313" t="inlineStr">
        <is>
          <t>JÖNKÖPINGS LÄN</t>
        </is>
      </c>
      <c r="G313" t="inlineStr">
        <is>
          <t>JÖNKÖPING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46324</v>
      </c>
      <c r="F314" t="inlineStr">
        <is>
          <t>JÖNKÖPINGS LÄN</t>
        </is>
      </c>
      <c r="G314" t="inlineStr">
        <is>
          <t>JÖNKÖPING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46324</v>
      </c>
      <c r="F315" t="inlineStr">
        <is>
          <t>JÖNKÖPINGS LÄN</t>
        </is>
      </c>
      <c r="G315" t="inlineStr">
        <is>
          <t>JÖNKÖPING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46324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46324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46324</v>
      </c>
      <c r="F318" t="inlineStr">
        <is>
          <t>JÖNKÖPINGS LÄN</t>
        </is>
      </c>
      <c r="G318" t="inlineStr">
        <is>
          <t>JÖNKÖPING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45788</v>
      </c>
      <c r="E319" s="1" t="n">
        <v>46324</v>
      </c>
      <c r="F319" t="inlineStr">
        <is>
          <t>JÖNKÖPINGS LÄN</t>
        </is>
      </c>
      <c r="G319" t="inlineStr">
        <is>
          <t>JÖNKÖPING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45861</v>
      </c>
      <c r="E320" s="1" t="n">
        <v>46324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46324</v>
      </c>
      <c r="F321" t="inlineStr">
        <is>
          <t>JÖNKÖPINGS LÄN</t>
        </is>
      </c>
      <c r="G321" t="inlineStr">
        <is>
          <t>JÖNKÖPING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48413-2025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45934</v>
      </c>
      <c r="E322" s="1" t="n">
        <v>46324</v>
      </c>
      <c r="F322" t="inlineStr">
        <is>
          <t>JÖNKÖPINGS LÄN</t>
        </is>
      </c>
      <c r="G322" t="inlineStr">
        <is>
          <t>JÖNKÖPING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45012</v>
      </c>
      <c r="E323" s="1" t="n">
        <v>46324</v>
      </c>
      <c r="F323" t="inlineStr">
        <is>
          <t>JÖNKÖPINGS LÄN</t>
        </is>
      </c>
      <c r="G323" t="inlineStr">
        <is>
          <t>JÖNKÖPING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46324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45788</v>
      </c>
      <c r="E325" s="1" t="n">
        <v>46324</v>
      </c>
      <c r="F325" t="inlineStr">
        <is>
          <t>JÖNKÖPINGS LÄN</t>
        </is>
      </c>
      <c r="G325" t="inlineStr">
        <is>
          <t>JÖNKÖPING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46324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45726</v>
      </c>
      <c r="E327" s="1" t="n">
        <v>46324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Övriga Aktiebolag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46324</v>
      </c>
      <c r="F328" t="inlineStr">
        <is>
          <t>JÖNKÖPINGS LÄN</t>
        </is>
      </c>
      <c r="G328" t="inlineStr">
        <is>
          <t>JÖNKÖPING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46324</v>
      </c>
      <c r="F329" t="inlineStr">
        <is>
          <t>JÖNKÖPINGS LÄN</t>
        </is>
      </c>
      <c r="G329" t="inlineStr">
        <is>
          <t>JÖNKÖPING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46324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Kommuner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45734</v>
      </c>
      <c r="E331" s="1" t="n">
        <v>46324</v>
      </c>
      <c r="F331" t="inlineStr">
        <is>
          <t>JÖNKÖPINGS LÄN</t>
        </is>
      </c>
      <c r="G331" t="inlineStr">
        <is>
          <t>JÖNKÖPING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46324</v>
      </c>
      <c r="F332" t="inlineStr">
        <is>
          <t>JÖNKÖPINGS LÄN</t>
        </is>
      </c>
      <c r="G332" t="inlineStr">
        <is>
          <t>JÖNKÖPING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45405</v>
      </c>
      <c r="E333" s="1" t="n">
        <v>46324</v>
      </c>
      <c r="F333" t="inlineStr">
        <is>
          <t>JÖNKÖPINGS LÄN</t>
        </is>
      </c>
      <c r="G333" t="inlineStr">
        <is>
          <t>JÖNKÖPING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44608</v>
      </c>
      <c r="E334" s="1" t="n">
        <v>46324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46324</v>
      </c>
      <c r="F335" t="inlineStr">
        <is>
          <t>JÖNKÖPINGS LÄN</t>
        </is>
      </c>
      <c r="G335" t="inlineStr">
        <is>
          <t>JÖNKÖPING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45621</v>
      </c>
      <c r="E336" s="1" t="n">
        <v>46324</v>
      </c>
      <c r="F336" t="inlineStr">
        <is>
          <t>JÖNKÖPINGS LÄN</t>
        </is>
      </c>
      <c r="G336" t="inlineStr">
        <is>
          <t>JÖNKÖPING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44734</v>
      </c>
      <c r="E337" s="1" t="n">
        <v>46324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46324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46324</v>
      </c>
      <c r="F339" t="inlineStr">
        <is>
          <t>JÖNKÖPINGS LÄN</t>
        </is>
      </c>
      <c r="G339" t="inlineStr">
        <is>
          <t>JÖNKÖPING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46324</v>
      </c>
      <c r="F340" t="inlineStr">
        <is>
          <t>JÖNKÖPINGS LÄN</t>
        </is>
      </c>
      <c r="G340" t="inlineStr">
        <is>
          <t>JÖNKÖPING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59318-2022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46324</v>
      </c>
      <c r="F341" t="inlineStr">
        <is>
          <t>JÖNKÖPINGS LÄN</t>
        </is>
      </c>
      <c r="G341" t="inlineStr">
        <is>
          <t>JÖNKÖPING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46324</v>
      </c>
      <c r="F342" t="inlineStr">
        <is>
          <t>JÖNKÖPINGS LÄN</t>
        </is>
      </c>
      <c r="G342" t="inlineStr">
        <is>
          <t>JÖNKÖPING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46321-2023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46324</v>
      </c>
      <c r="F343" t="inlineStr">
        <is>
          <t>JÖNKÖPINGS LÄN</t>
        </is>
      </c>
      <c r="G343" t="inlineStr">
        <is>
          <t>JÖNKÖPING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46324</v>
      </c>
      <c r="F344" t="inlineStr">
        <is>
          <t>JÖNKÖPINGS LÄN</t>
        </is>
      </c>
      <c r="G344" t="inlineStr">
        <is>
          <t>JÖNKÖPING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46324</v>
      </c>
      <c r="F345" t="inlineStr">
        <is>
          <t>JÖNKÖPINGS LÄN</t>
        </is>
      </c>
      <c r="G345" t="inlineStr">
        <is>
          <t>JÖNKÖPING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46324</v>
      </c>
      <c r="F346" t="inlineStr">
        <is>
          <t>JÖNKÖPINGS LÄN</t>
        </is>
      </c>
      <c r="G346" t="inlineStr">
        <is>
          <t>JÖNKÖPING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45883</v>
      </c>
      <c r="E347" s="1" t="n">
        <v>46324</v>
      </c>
      <c r="F347" t="inlineStr">
        <is>
          <t>JÖNKÖPINGS LÄN</t>
        </is>
      </c>
      <c r="G347" t="inlineStr">
        <is>
          <t>JÖNKÖPING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45043</v>
      </c>
      <c r="E348" s="1" t="n">
        <v>46324</v>
      </c>
      <c r="F348" t="inlineStr">
        <is>
          <t>JÖNKÖPINGS LÄN</t>
        </is>
      </c>
      <c r="G348" t="inlineStr">
        <is>
          <t>JÖNKÖPING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46324</v>
      </c>
      <c r="F349" t="inlineStr">
        <is>
          <t>JÖNKÖPINGS LÄN</t>
        </is>
      </c>
      <c r="G349" t="inlineStr">
        <is>
          <t>JÖNKÖPING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44998</v>
      </c>
      <c r="E350" s="1" t="n">
        <v>46324</v>
      </c>
      <c r="F350" t="inlineStr">
        <is>
          <t>JÖNKÖPINGS LÄN</t>
        </is>
      </c>
      <c r="G350" t="inlineStr">
        <is>
          <t>JÖNKÖPING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45621</v>
      </c>
      <c r="E351" s="1" t="n">
        <v>46324</v>
      </c>
      <c r="F351" t="inlineStr">
        <is>
          <t>JÖNKÖPINGS LÄN</t>
        </is>
      </c>
      <c r="G351" t="inlineStr">
        <is>
          <t>JÖNKÖPING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45621</v>
      </c>
      <c r="E352" s="1" t="n">
        <v>46324</v>
      </c>
      <c r="F352" t="inlineStr">
        <is>
          <t>JÖNKÖPINGS LÄN</t>
        </is>
      </c>
      <c r="G352" t="inlineStr">
        <is>
          <t>JÖNKÖPING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45295</v>
      </c>
      <c r="E353" s="1" t="n">
        <v>46324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14078-2024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46324</v>
      </c>
      <c r="F354" t="inlineStr">
        <is>
          <t>JÖNKÖPINGS LÄN</t>
        </is>
      </c>
      <c r="G354" t="inlineStr">
        <is>
          <t>JÖNKÖPING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45545</v>
      </c>
      <c r="E355" s="1" t="n">
        <v>46324</v>
      </c>
      <c r="F355" t="inlineStr">
        <is>
          <t>JÖNKÖPINGS LÄN</t>
        </is>
      </c>
      <c r="G355" t="inlineStr">
        <is>
          <t>JÖNKÖPING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44711</v>
      </c>
      <c r="E356" s="1" t="n">
        <v>46324</v>
      </c>
      <c r="F356" t="inlineStr">
        <is>
          <t>JÖNKÖPINGS LÄN</t>
        </is>
      </c>
      <c r="G356" t="inlineStr">
        <is>
          <t>JÖNKÖPING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46324</v>
      </c>
      <c r="F357" t="inlineStr">
        <is>
          <t>JÖNKÖPINGS LÄN</t>
        </is>
      </c>
      <c r="G357" t="inlineStr">
        <is>
          <t>JÖNKÖPING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46324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46324</v>
      </c>
      <c r="F359" t="inlineStr">
        <is>
          <t>JÖNKÖPINGS LÄN</t>
        </is>
      </c>
      <c r="G359" t="inlineStr">
        <is>
          <t>JÖNKÖPING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28307-2024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45477</v>
      </c>
      <c r="E360" s="1" t="n">
        <v>46324</v>
      </c>
      <c r="F360" t="inlineStr">
        <is>
          <t>JÖNKÖPINGS LÄN</t>
        </is>
      </c>
      <c r="G360" t="inlineStr">
        <is>
          <t>JÖNKÖPING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46324</v>
      </c>
      <c r="F361" t="inlineStr">
        <is>
          <t>JÖNKÖPINGS LÄN</t>
        </is>
      </c>
      <c r="G361" t="inlineStr">
        <is>
          <t>JÖNKÖPING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46324</v>
      </c>
      <c r="F362" t="inlineStr">
        <is>
          <t>JÖNKÖPINGS LÄN</t>
        </is>
      </c>
      <c r="G362" t="inlineStr">
        <is>
          <t>JÖNKÖPING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46324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45299</v>
      </c>
      <c r="E364" s="1" t="n">
        <v>46324</v>
      </c>
      <c r="F364" t="inlineStr">
        <is>
          <t>JÖNKÖPINGS LÄN</t>
        </is>
      </c>
      <c r="G364" t="inlineStr">
        <is>
          <t>JÖNKÖPING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46324</v>
      </c>
      <c r="F365" t="inlineStr">
        <is>
          <t>JÖNKÖPINGS LÄN</t>
        </is>
      </c>
      <c r="G365" t="inlineStr">
        <is>
          <t>JÖNKÖPING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41481-2023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45175</v>
      </c>
      <c r="E366" s="1" t="n">
        <v>46324</v>
      </c>
      <c r="F366" t="inlineStr">
        <is>
          <t>JÖNKÖPINGS LÄN</t>
        </is>
      </c>
      <c r="G366" t="inlineStr">
        <is>
          <t>JÖNKÖPING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45118</v>
      </c>
      <c r="E367" s="1" t="n">
        <v>46324</v>
      </c>
      <c r="F367" t="inlineStr">
        <is>
          <t>JÖNKÖPINGS LÄN</t>
        </is>
      </c>
      <c r="G367" t="inlineStr">
        <is>
          <t>JÖNKÖPING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44591</v>
      </c>
      <c r="E368" s="1" t="n">
        <v>46324</v>
      </c>
      <c r="F368" t="inlineStr">
        <is>
          <t>JÖNKÖPINGS LÄN</t>
        </is>
      </c>
      <c r="G368" t="inlineStr">
        <is>
          <t>JÖNKÖPING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45708</v>
      </c>
      <c r="E369" s="1" t="n">
        <v>46324</v>
      </c>
      <c r="F369" t="inlineStr">
        <is>
          <t>JÖNKÖPINGS LÄN</t>
        </is>
      </c>
      <c r="G369" t="inlineStr">
        <is>
          <t>JÖNKÖPING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46324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46324</v>
      </c>
      <c r="F371" t="inlineStr">
        <is>
          <t>JÖNKÖPINGS LÄN</t>
        </is>
      </c>
      <c r="G371" t="inlineStr">
        <is>
          <t>JÖNKÖPING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45966</v>
      </c>
      <c r="E372" s="1" t="n">
        <v>46324</v>
      </c>
      <c r="F372" t="inlineStr">
        <is>
          <t>JÖNKÖPINGS LÄN</t>
        </is>
      </c>
      <c r="G372" t="inlineStr">
        <is>
          <t>JÖNKÖPING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46324</v>
      </c>
      <c r="F373" t="inlineStr">
        <is>
          <t>JÖNKÖPINGS LÄN</t>
        </is>
      </c>
      <c r="G373" t="inlineStr">
        <is>
          <t>JÖNKÖPING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46324</v>
      </c>
      <c r="F374" t="inlineStr">
        <is>
          <t>JÖNKÖPINGS LÄN</t>
        </is>
      </c>
      <c r="G374" t="inlineStr">
        <is>
          <t>JÖNKÖPING</t>
        </is>
      </c>
      <c r="I374" t="n">
        <v>9.699999999999999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46324</v>
      </c>
      <c r="F375" t="inlineStr">
        <is>
          <t>JÖNKÖPINGS LÄN</t>
        </is>
      </c>
      <c r="G375" t="inlineStr">
        <is>
          <t>JÖNKÖPING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46324</v>
      </c>
      <c r="F376" t="inlineStr">
        <is>
          <t>JÖNKÖPINGS LÄN</t>
        </is>
      </c>
      <c r="G376" t="inlineStr">
        <is>
          <t>JÖNKÖPING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46324</v>
      </c>
      <c r="F377" t="inlineStr">
        <is>
          <t>JÖNKÖPINGS LÄN</t>
        </is>
      </c>
      <c r="G377" t="inlineStr">
        <is>
          <t>JÖNKÖPING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45456</v>
      </c>
      <c r="E378" s="1" t="n">
        <v>46324</v>
      </c>
      <c r="F378" t="inlineStr">
        <is>
          <t>JÖNKÖPINGS LÄN</t>
        </is>
      </c>
      <c r="G378" t="inlineStr">
        <is>
          <t>JÖNKÖPING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11801-2024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45375</v>
      </c>
      <c r="E379" s="1" t="n">
        <v>46324</v>
      </c>
      <c r="F379" t="inlineStr">
        <is>
          <t>JÖNKÖPINGS LÄN</t>
        </is>
      </c>
      <c r="G379" t="inlineStr">
        <is>
          <t>JÖNKÖPING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46324</v>
      </c>
      <c r="F380" t="inlineStr">
        <is>
          <t>JÖNKÖPINGS LÄN</t>
        </is>
      </c>
      <c r="G380" t="inlineStr">
        <is>
          <t>JÖNKÖPING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46324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48305-2022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46324</v>
      </c>
      <c r="F382" t="inlineStr">
        <is>
          <t>JÖNKÖPINGS LÄN</t>
        </is>
      </c>
      <c r="G382" t="inlineStr">
        <is>
          <t>JÖNKÖPING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45492</v>
      </c>
      <c r="E383" s="1" t="n">
        <v>46324</v>
      </c>
      <c r="F383" t="inlineStr">
        <is>
          <t>JÖNKÖPINGS LÄN</t>
        </is>
      </c>
      <c r="G383" t="inlineStr">
        <is>
          <t>JÖNKÖPING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46324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46324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46324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56327-2025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46324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46324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45975</v>
      </c>
      <c r="E389" s="1" t="n">
        <v>46324</v>
      </c>
      <c r="F389" t="inlineStr">
        <is>
          <t>JÖNKÖPINGS LÄN</t>
        </is>
      </c>
      <c r="G389" t="inlineStr">
        <is>
          <t>JÖNKÖPING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46324</v>
      </c>
      <c r="F390" t="inlineStr">
        <is>
          <t>JÖNKÖPINGS LÄN</t>
        </is>
      </c>
      <c r="G390" t="inlineStr">
        <is>
          <t>JÖNKÖPING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46324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46324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46324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45562</v>
      </c>
      <c r="E394" s="1" t="n">
        <v>46324</v>
      </c>
      <c r="F394" t="inlineStr">
        <is>
          <t>JÖNKÖPINGS LÄN</t>
        </is>
      </c>
      <c r="G394" t="inlineStr">
        <is>
          <t>JÖNKÖPING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46324</v>
      </c>
      <c r="F395" t="inlineStr">
        <is>
          <t>JÖNKÖPINGS LÄN</t>
        </is>
      </c>
      <c r="G395" t="inlineStr">
        <is>
          <t>JÖNKÖPING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45477</v>
      </c>
      <c r="E396" s="1" t="n">
        <v>46324</v>
      </c>
      <c r="F396" t="inlineStr">
        <is>
          <t>JÖNKÖPINGS LÄN</t>
        </is>
      </c>
      <c r="G396" t="inlineStr">
        <is>
          <t>JÖNKÖPING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45477</v>
      </c>
      <c r="E397" s="1" t="n">
        <v>46324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46324</v>
      </c>
      <c r="F398" t="inlineStr">
        <is>
          <t>JÖNKÖPINGS LÄN</t>
        </is>
      </c>
      <c r="G398" t="inlineStr">
        <is>
          <t>JÖNKÖPING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45359</v>
      </c>
      <c r="E399" s="1" t="n">
        <v>46324</v>
      </c>
      <c r="F399" t="inlineStr">
        <is>
          <t>JÖNKÖPINGS LÄN</t>
        </is>
      </c>
      <c r="G399" t="inlineStr">
        <is>
          <t>JÖNKÖPING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46324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45184</v>
      </c>
      <c r="E401" s="1" t="n">
        <v>46324</v>
      </c>
      <c r="F401" t="inlineStr">
        <is>
          <t>JÖNKÖPINGS LÄN</t>
        </is>
      </c>
      <c r="G401" t="inlineStr">
        <is>
          <t>JÖNKÖPING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45470</v>
      </c>
      <c r="E402" s="1" t="n">
        <v>46324</v>
      </c>
      <c r="F402" t="inlineStr">
        <is>
          <t>JÖNKÖPINGS LÄN</t>
        </is>
      </c>
      <c r="G402" t="inlineStr">
        <is>
          <t>JÖNKÖPING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44950</v>
      </c>
      <c r="E403" s="1" t="n">
        <v>46324</v>
      </c>
      <c r="F403" t="inlineStr">
        <is>
          <t>JÖNKÖPINGS LÄN</t>
        </is>
      </c>
      <c r="G403" t="inlineStr">
        <is>
          <t>JÖNKÖPING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3522-2023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44950</v>
      </c>
      <c r="E404" s="1" t="n">
        <v>46324</v>
      </c>
      <c r="F404" t="inlineStr">
        <is>
          <t>JÖNKÖPINGS LÄN</t>
        </is>
      </c>
      <c r="G404" t="inlineStr">
        <is>
          <t>JÖNKÖPING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46324</v>
      </c>
      <c r="F405" t="inlineStr">
        <is>
          <t>JÖNKÖPINGS LÄN</t>
        </is>
      </c>
      <c r="G405" t="inlineStr">
        <is>
          <t>JÖNKÖPING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35451-2024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46324</v>
      </c>
      <c r="F406" t="inlineStr">
        <is>
          <t>JÖNKÖPINGS LÄN</t>
        </is>
      </c>
      <c r="G406" t="inlineStr">
        <is>
          <t>JÖNKÖPING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45757</v>
      </c>
      <c r="E407" s="1" t="n">
        <v>46324</v>
      </c>
      <c r="F407" t="inlineStr">
        <is>
          <t>JÖNKÖPINGS LÄN</t>
        </is>
      </c>
      <c r="G407" t="inlineStr">
        <is>
          <t>JÖNKÖPING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46324</v>
      </c>
      <c r="F408" t="inlineStr">
        <is>
          <t>JÖNKÖPINGS LÄN</t>
        </is>
      </c>
      <c r="G408" t="inlineStr">
        <is>
          <t>JÖNKÖPING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45462</v>
      </c>
      <c r="E409" s="1" t="n">
        <v>46324</v>
      </c>
      <c r="F409" t="inlineStr">
        <is>
          <t>JÖNKÖPINGS LÄN</t>
        </is>
      </c>
      <c r="G409" t="inlineStr">
        <is>
          <t>JÖNKÖPING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47070-2023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46324</v>
      </c>
      <c r="F410" t="inlineStr">
        <is>
          <t>JÖNKÖPINGS LÄN</t>
        </is>
      </c>
      <c r="G410" t="inlineStr">
        <is>
          <t>JÖNKÖPING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46324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23252-2026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46324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46324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46324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45201</v>
      </c>
      <c r="E415" s="1" t="n">
        <v>46324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45757</v>
      </c>
      <c r="E416" s="1" t="n">
        <v>46324</v>
      </c>
      <c r="F416" t="inlineStr">
        <is>
          <t>JÖNKÖPINGS LÄN</t>
        </is>
      </c>
      <c r="G416" t="inlineStr">
        <is>
          <t>JÖNKÖPING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44719</v>
      </c>
      <c r="E417" s="1" t="n">
        <v>46324</v>
      </c>
      <c r="F417" t="inlineStr">
        <is>
          <t>JÖNKÖPINGS LÄN</t>
        </is>
      </c>
      <c r="G417" t="inlineStr">
        <is>
          <t>JÖNKÖPING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46324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45335</v>
      </c>
      <c r="E419" s="1" t="n">
        <v>46324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Kyrkan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46324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46324</v>
      </c>
      <c r="F421" t="inlineStr">
        <is>
          <t>JÖNKÖPINGS LÄN</t>
        </is>
      </c>
      <c r="G421" t="inlineStr">
        <is>
          <t>JÖNKÖPING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45995</v>
      </c>
      <c r="E422" s="1" t="n">
        <v>46324</v>
      </c>
      <c r="F422" t="inlineStr">
        <is>
          <t>JÖNKÖPINGS LÄN</t>
        </is>
      </c>
      <c r="G422" t="inlineStr">
        <is>
          <t>JÖNKÖPING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46324</v>
      </c>
      <c r="F423" t="inlineStr">
        <is>
          <t>JÖNKÖPINGS LÄN</t>
        </is>
      </c>
      <c r="G423" t="inlineStr">
        <is>
          <t>JÖNKÖPING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46324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45099</v>
      </c>
      <c r="E425" s="1" t="n">
        <v>46324</v>
      </c>
      <c r="F425" t="inlineStr">
        <is>
          <t>JÖNKÖPINGS LÄN</t>
        </is>
      </c>
      <c r="G425" t="inlineStr">
        <is>
          <t>JÖNKÖPING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44943</v>
      </c>
      <c r="E426" s="1" t="n">
        <v>46324</v>
      </c>
      <c r="F426" t="inlineStr">
        <is>
          <t>JÖNKÖPINGS LÄN</t>
        </is>
      </c>
      <c r="G426" t="inlineStr">
        <is>
          <t>JÖNKÖPING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48404-2023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46324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Kyrkan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9924-2023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44985</v>
      </c>
      <c r="E428" s="1" t="n">
        <v>46324</v>
      </c>
      <c r="F428" t="inlineStr">
        <is>
          <t>JÖNKÖPINGS LÄN</t>
        </is>
      </c>
      <c r="G428" t="inlineStr">
        <is>
          <t>JÖNKÖPING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46324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46000</v>
      </c>
      <c r="E430" s="1" t="n">
        <v>46324</v>
      </c>
      <c r="F430" t="inlineStr">
        <is>
          <t>JÖNKÖPINGS LÄN</t>
        </is>
      </c>
      <c r="G430" t="inlineStr">
        <is>
          <t>JÖNKÖPING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46324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46324</v>
      </c>
      <c r="F432" t="inlineStr">
        <is>
          <t>JÖNKÖPINGS LÄN</t>
        </is>
      </c>
      <c r="G432" t="inlineStr">
        <is>
          <t>JÖNKÖPING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24422-2026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46168</v>
      </c>
      <c r="E433" s="1" t="n">
        <v>46324</v>
      </c>
      <c r="F433" t="inlineStr">
        <is>
          <t>JÖNKÖPINGS LÄN</t>
        </is>
      </c>
      <c r="G433" t="inlineStr">
        <is>
          <t>JÖNKÖPING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45107</v>
      </c>
      <c r="E434" s="1" t="n">
        <v>46324</v>
      </c>
      <c r="F434" t="inlineStr">
        <is>
          <t>JÖNKÖPINGS LÄN</t>
        </is>
      </c>
      <c r="G434" t="inlineStr">
        <is>
          <t>JÖNKÖPING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45314</v>
      </c>
      <c r="E435" s="1" t="n">
        <v>46324</v>
      </c>
      <c r="F435" t="inlineStr">
        <is>
          <t>JÖNKÖPINGS LÄN</t>
        </is>
      </c>
      <c r="G435" t="inlineStr">
        <is>
          <t>JÖNKÖPING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45295</v>
      </c>
      <c r="E436" s="1" t="n">
        <v>46324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46324</v>
      </c>
      <c r="F437" t="inlineStr">
        <is>
          <t>JÖNKÖPINGS LÄN</t>
        </is>
      </c>
      <c r="G437" t="inlineStr">
        <is>
          <t>JÖNKÖPING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46324</v>
      </c>
      <c r="F438" t="inlineStr">
        <is>
          <t>JÖNKÖPINGS LÄN</t>
        </is>
      </c>
      <c r="G438" t="inlineStr">
        <is>
          <t>JÖNKÖPING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46324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44938</v>
      </c>
      <c r="E440" s="1" t="n">
        <v>46324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Kyrkan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46324</v>
      </c>
      <c r="F441" t="inlineStr">
        <is>
          <t>JÖNKÖPINGS LÄN</t>
        </is>
      </c>
      <c r="G441" t="inlineStr">
        <is>
          <t>JÖNKÖPING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45534</v>
      </c>
      <c r="E442" s="1" t="n">
        <v>46324</v>
      </c>
      <c r="F442" t="inlineStr">
        <is>
          <t>JÖNKÖPINGS LÄN</t>
        </is>
      </c>
      <c r="G442" t="inlineStr">
        <is>
          <t>JÖNKÖPING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46324</v>
      </c>
      <c r="F443" t="inlineStr">
        <is>
          <t>JÖNKÖPINGS LÄN</t>
        </is>
      </c>
      <c r="G443" t="inlineStr">
        <is>
          <t>JÖNKÖPING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45617</v>
      </c>
      <c r="E444" s="1" t="n">
        <v>46324</v>
      </c>
      <c r="F444" t="inlineStr">
        <is>
          <t>JÖNKÖPINGS LÄN</t>
        </is>
      </c>
      <c r="G444" t="inlineStr">
        <is>
          <t>JÖNKÖPING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46324</v>
      </c>
      <c r="F445" t="inlineStr">
        <is>
          <t>JÖNKÖPINGS LÄN</t>
        </is>
      </c>
      <c r="G445" t="inlineStr">
        <is>
          <t>JÖNKÖPING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62876-2025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46008</v>
      </c>
      <c r="E446" s="1" t="n">
        <v>46324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46324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46324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44628</v>
      </c>
      <c r="E449" s="1" t="n">
        <v>46324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46324</v>
      </c>
      <c r="F450" t="inlineStr">
        <is>
          <t>JÖNKÖPINGS LÄN</t>
        </is>
      </c>
      <c r="G450" t="inlineStr">
        <is>
          <t>JÖNKÖPING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45219</v>
      </c>
      <c r="E451" s="1" t="n">
        <v>46324</v>
      </c>
      <c r="F451" t="inlineStr">
        <is>
          <t>JÖNKÖPINGS LÄN</t>
        </is>
      </c>
      <c r="G451" t="inlineStr">
        <is>
          <t>JÖNKÖPING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53282-2025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45958</v>
      </c>
      <c r="E452" s="1" t="n">
        <v>46324</v>
      </c>
      <c r="F452" t="inlineStr">
        <is>
          <t>JÖNKÖPINGS LÄN</t>
        </is>
      </c>
      <c r="G452" t="inlineStr">
        <is>
          <t>JÖNKÖPING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63564-2025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46324</v>
      </c>
      <c r="F453" t="inlineStr">
        <is>
          <t>JÖNKÖPINGS LÄN</t>
        </is>
      </c>
      <c r="G453" t="inlineStr">
        <is>
          <t>JÖNKÖPING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45363</v>
      </c>
      <c r="E454" s="1" t="n">
        <v>46324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46324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46324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56051-2023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45240</v>
      </c>
      <c r="E457" s="1" t="n">
        <v>46324</v>
      </c>
      <c r="F457" t="inlineStr">
        <is>
          <t>JÖNKÖPINGS LÄN</t>
        </is>
      </c>
      <c r="G457" t="inlineStr">
        <is>
          <t>JÖNKÖPING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46324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25064-2026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46324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46013</v>
      </c>
      <c r="E460" s="1" t="n">
        <v>46324</v>
      </c>
      <c r="F460" t="inlineStr">
        <is>
          <t>JÖNKÖPINGS LÄN</t>
        </is>
      </c>
      <c r="G460" t="inlineStr">
        <is>
          <t>JÖNKÖPING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46324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46324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46324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Kyrkan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45408-2023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45194</v>
      </c>
      <c r="E464" s="1" t="n">
        <v>46324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63452-2025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46324</v>
      </c>
      <c r="F465" t="inlineStr">
        <is>
          <t>JÖNKÖPINGS LÄN</t>
        </is>
      </c>
      <c r="G465" t="inlineStr">
        <is>
          <t>JÖNKÖPING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63563-2025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46324</v>
      </c>
      <c r="F466" t="inlineStr">
        <is>
          <t>JÖNKÖPINGS LÄN</t>
        </is>
      </c>
      <c r="G466" t="inlineStr">
        <is>
          <t>JÖNKÖPING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46324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46324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63577-2025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46324</v>
      </c>
      <c r="F469" t="inlineStr">
        <is>
          <t>JÖNKÖPINGS LÄN</t>
        </is>
      </c>
      <c r="G469" t="inlineStr">
        <is>
          <t>JÖNKÖPING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44943</v>
      </c>
      <c r="E470" s="1" t="n">
        <v>46324</v>
      </c>
      <c r="F470" t="inlineStr">
        <is>
          <t>JÖNKÖPINGS LÄN</t>
        </is>
      </c>
      <c r="G470" t="inlineStr">
        <is>
          <t>JÖNKÖPING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45107</v>
      </c>
      <c r="E471" s="1" t="n">
        <v>46324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45015</v>
      </c>
      <c r="E472" s="1" t="n">
        <v>46324</v>
      </c>
      <c r="F472" t="inlineStr">
        <is>
          <t>JÖNKÖPINGS LÄN</t>
        </is>
      </c>
      <c r="G472" t="inlineStr">
        <is>
          <t>JÖNKÖPING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59218-2022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46324</v>
      </c>
      <c r="F473" t="inlineStr">
        <is>
          <t>JÖNKÖPINGS LÄN</t>
        </is>
      </c>
      <c r="G473" t="inlineStr">
        <is>
          <t>JÖNKÖPING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46324</v>
      </c>
      <c r="F474" t="inlineStr">
        <is>
          <t>JÖNKÖPINGS LÄN</t>
        </is>
      </c>
      <c r="G474" t="inlineStr">
        <is>
          <t>JÖNKÖPING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45338</v>
      </c>
      <c r="E475" s="1" t="n">
        <v>46324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Kyrkan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47009-2025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46324</v>
      </c>
      <c r="F476" t="inlineStr">
        <is>
          <t>JÖNKÖPINGS LÄN</t>
        </is>
      </c>
      <c r="G476" t="inlineStr">
        <is>
          <t>JÖNKÖPING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46026</v>
      </c>
      <c r="E477" s="1" t="n">
        <v>46324</v>
      </c>
      <c r="F477" t="inlineStr">
        <is>
          <t>JÖNKÖPINGS LÄN</t>
        </is>
      </c>
      <c r="G477" t="inlineStr">
        <is>
          <t>JÖNKÖPING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46324</v>
      </c>
      <c r="F478" t="inlineStr">
        <is>
          <t>JÖNKÖPINGS LÄN</t>
        </is>
      </c>
      <c r="G478" t="inlineStr">
        <is>
          <t>JÖNKÖPING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46324</v>
      </c>
      <c r="F479" t="inlineStr">
        <is>
          <t>JÖNKÖPINGS LÄN</t>
        </is>
      </c>
      <c r="G479" t="inlineStr">
        <is>
          <t>JÖNKÖPING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46324</v>
      </c>
      <c r="F480" t="inlineStr">
        <is>
          <t>JÖNKÖPINGS LÄN</t>
        </is>
      </c>
      <c r="G480" t="inlineStr">
        <is>
          <t>JÖNKÖPING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46324</v>
      </c>
      <c r="F481" t="inlineStr">
        <is>
          <t>JÖNKÖPINGS LÄN</t>
        </is>
      </c>
      <c r="G481" t="inlineStr">
        <is>
          <t>JÖNKÖPING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46324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46324</v>
      </c>
      <c r="F483" t="inlineStr">
        <is>
          <t>JÖNKÖPINGS LÄN</t>
        </is>
      </c>
      <c r="G483" t="inlineStr">
        <is>
          <t>JÖNKÖPING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56569-2022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44893</v>
      </c>
      <c r="E484" s="1" t="n">
        <v>46324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44605</v>
      </c>
      <c r="E485" s="1" t="n">
        <v>46324</v>
      </c>
      <c r="F485" t="inlineStr">
        <is>
          <t>JÖNKÖPINGS LÄN</t>
        </is>
      </c>
      <c r="G485" t="inlineStr">
        <is>
          <t>JÖNKÖPING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46460-2023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45197</v>
      </c>
      <c r="E486" s="1" t="n">
        <v>46324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45406</v>
      </c>
      <c r="E487" s="1" t="n">
        <v>46324</v>
      </c>
      <c r="F487" t="inlineStr">
        <is>
          <t>JÖNKÖPINGS LÄN</t>
        </is>
      </c>
      <c r="G487" t="inlineStr">
        <is>
          <t>JÖNKÖPING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9897-2023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44985</v>
      </c>
      <c r="E488" s="1" t="n">
        <v>46324</v>
      </c>
      <c r="F488" t="inlineStr">
        <is>
          <t>JÖNKÖPINGS LÄN</t>
        </is>
      </c>
      <c r="G488" t="inlineStr">
        <is>
          <t>JÖNKÖPING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46324</v>
      </c>
      <c r="F489" t="inlineStr">
        <is>
          <t>JÖNKÖPINGS LÄN</t>
        </is>
      </c>
      <c r="G489" t="inlineStr">
        <is>
          <t>JÖNKÖPING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45051</v>
      </c>
      <c r="E490" s="1" t="n">
        <v>46324</v>
      </c>
      <c r="F490" t="inlineStr">
        <is>
          <t>JÖNKÖPINGS LÄN</t>
        </is>
      </c>
      <c r="G490" t="inlineStr">
        <is>
          <t>JÖNKÖPING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46324</v>
      </c>
      <c r="F491" t="inlineStr">
        <is>
          <t>JÖNKÖPINGS LÄN</t>
        </is>
      </c>
      <c r="G491" t="inlineStr">
        <is>
          <t>JÖNKÖPING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7847-2025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46324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45671</v>
      </c>
      <c r="E493" s="1" t="n">
        <v>46324</v>
      </c>
      <c r="F493" t="inlineStr">
        <is>
          <t>JÖNKÖPINGS LÄN</t>
        </is>
      </c>
      <c r="G493" t="inlineStr">
        <is>
          <t>JÖNKÖPING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7401-2025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45705</v>
      </c>
      <c r="E494" s="1" t="n">
        <v>46324</v>
      </c>
      <c r="F494" t="inlineStr">
        <is>
          <t>JÖNKÖPINGS LÄN</t>
        </is>
      </c>
      <c r="G494" t="inlineStr">
        <is>
          <t>JÖNKÖPING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46041</v>
      </c>
      <c r="E495" s="1" t="n">
        <v>46324</v>
      </c>
      <c r="F495" t="inlineStr">
        <is>
          <t>JÖNKÖPINGS LÄN</t>
        </is>
      </c>
      <c r="G495" t="inlineStr">
        <is>
          <t>JÖNKÖPING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46324</v>
      </c>
      <c r="F496" t="inlineStr">
        <is>
          <t>JÖNKÖPINGS LÄN</t>
        </is>
      </c>
      <c r="G496" t="inlineStr">
        <is>
          <t>JÖNKÖPING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59370-2023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46324</v>
      </c>
      <c r="F497" t="inlineStr">
        <is>
          <t>JÖNKÖPINGS LÄN</t>
        </is>
      </c>
      <c r="G497" t="inlineStr">
        <is>
          <t>JÖNKÖPING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46324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5661-2025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45693</v>
      </c>
      <c r="E499" s="1" t="n">
        <v>46324</v>
      </c>
      <c r="F499" t="inlineStr">
        <is>
          <t>JÖNKÖPINGS LÄN</t>
        </is>
      </c>
      <c r="G499" t="inlineStr">
        <is>
          <t>JÖNKÖPING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46038</v>
      </c>
      <c r="E500" s="1" t="n">
        <v>46324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46324</v>
      </c>
      <c r="F501" t="inlineStr">
        <is>
          <t>JÖNKÖPINGS LÄN</t>
        </is>
      </c>
      <c r="G501" t="inlineStr">
        <is>
          <t>JÖNKÖPING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46324</v>
      </c>
      <c r="F502" t="inlineStr">
        <is>
          <t>JÖNKÖPINGS LÄN</t>
        </is>
      </c>
      <c r="G502" t="inlineStr">
        <is>
          <t>JÖNKÖPING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46324</v>
      </c>
      <c r="F503" t="inlineStr">
        <is>
          <t>JÖNKÖPINGS LÄN</t>
        </is>
      </c>
      <c r="G503" t="inlineStr">
        <is>
          <t>JÖNKÖPING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3667-2026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46043</v>
      </c>
      <c r="E504" s="1" t="n">
        <v>46324</v>
      </c>
      <c r="F504" t="inlineStr">
        <is>
          <t>JÖNKÖPINGS LÄN</t>
        </is>
      </c>
      <c r="G504" t="inlineStr">
        <is>
          <t>JÖNKÖPING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7425-2026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46059</v>
      </c>
      <c r="E505" s="1" t="n">
        <v>46324</v>
      </c>
      <c r="F505" t="inlineStr">
        <is>
          <t>JÖNKÖPINGS LÄN</t>
        </is>
      </c>
      <c r="G505" t="inlineStr">
        <is>
          <t>JÖNKÖPING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46324</v>
      </c>
      <c r="F506" t="inlineStr">
        <is>
          <t>JÖNKÖPINGS LÄN</t>
        </is>
      </c>
      <c r="G506" t="inlineStr">
        <is>
          <t>JÖNKÖPING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45127</v>
      </c>
      <c r="E507" s="1" t="n">
        <v>46324</v>
      </c>
      <c r="F507" t="inlineStr">
        <is>
          <t>JÖNKÖPINGS LÄN</t>
        </is>
      </c>
      <c r="G507" t="inlineStr">
        <is>
          <t>JÖNKÖPING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17203-2022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44677</v>
      </c>
      <c r="E508" s="1" t="n">
        <v>46324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46324</v>
      </c>
      <c r="F509" t="inlineStr">
        <is>
          <t>JÖNKÖPINGS LÄN</t>
        </is>
      </c>
      <c r="G509" t="inlineStr">
        <is>
          <t>JÖNKÖPING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46324</v>
      </c>
      <c r="F510" t="inlineStr">
        <is>
          <t>JÖNKÖPINGS LÄN</t>
        </is>
      </c>
      <c r="G510" t="inlineStr">
        <is>
          <t>JÖNKÖPING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44696-2023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45184</v>
      </c>
      <c r="E511" s="1" t="n">
        <v>46324</v>
      </c>
      <c r="F511" t="inlineStr">
        <is>
          <t>JÖNKÖPINGS LÄN</t>
        </is>
      </c>
      <c r="G511" t="inlineStr">
        <is>
          <t>JÖNKÖPING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26378-2022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46324</v>
      </c>
      <c r="F512" t="inlineStr">
        <is>
          <t>JÖNKÖPINGS LÄN</t>
        </is>
      </c>
      <c r="G512" t="inlineStr">
        <is>
          <t>JÖNKÖPING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46324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Kyrkan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45324</v>
      </c>
      <c r="E514" s="1" t="n">
        <v>46324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Kyrkan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45324</v>
      </c>
      <c r="E515" s="1" t="n">
        <v>46324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Kyrkan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46324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46324</v>
      </c>
      <c r="F517" t="inlineStr">
        <is>
          <t>JÖNKÖPINGS LÄN</t>
        </is>
      </c>
      <c r="G517" t="inlineStr">
        <is>
          <t>JÖNKÖPING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18069-2025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45761</v>
      </c>
      <c r="E518" s="1" t="n">
        <v>46324</v>
      </c>
      <c r="F518" t="inlineStr">
        <is>
          <t>JÖNKÖPINGS LÄN</t>
        </is>
      </c>
      <c r="G518" t="inlineStr">
        <is>
          <t>JÖNKÖPING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46324</v>
      </c>
      <c r="F519" t="inlineStr">
        <is>
          <t>JÖNKÖPINGS LÄN</t>
        </is>
      </c>
      <c r="G519" t="inlineStr">
        <is>
          <t>JÖNKÖPING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46324</v>
      </c>
      <c r="F520" t="inlineStr">
        <is>
          <t>JÖNKÖPINGS LÄN</t>
        </is>
      </c>
      <c r="G520" t="inlineStr">
        <is>
          <t>JÖNKÖPING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46324</v>
      </c>
      <c r="F521" t="inlineStr">
        <is>
          <t>JÖNKÖPINGS LÄN</t>
        </is>
      </c>
      <c r="G521" t="inlineStr">
        <is>
          <t>JÖNKÖPING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46324</v>
      </c>
      <c r="F522" t="inlineStr">
        <is>
          <t>JÖNKÖPINGS LÄN</t>
        </is>
      </c>
      <c r="G522" t="inlineStr">
        <is>
          <t>JÖNKÖPING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46324</v>
      </c>
      <c r="F523" t="inlineStr">
        <is>
          <t>JÖNKÖPINGS LÄN</t>
        </is>
      </c>
      <c r="G523" t="inlineStr">
        <is>
          <t>JÖNKÖPING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4805-2026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46048</v>
      </c>
      <c r="E524" s="1" t="n">
        <v>46324</v>
      </c>
      <c r="F524" t="inlineStr">
        <is>
          <t>JÖNKÖPINGS LÄN</t>
        </is>
      </c>
      <c r="G524" t="inlineStr">
        <is>
          <t>JÖNKÖPING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46324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Övriga Aktiebolag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46324</v>
      </c>
      <c r="F526" t="inlineStr">
        <is>
          <t>JÖNKÖPINGS LÄN</t>
        </is>
      </c>
      <c r="G526" t="inlineStr">
        <is>
          <t>JÖNKÖPING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27246-2022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44741</v>
      </c>
      <c r="E527" s="1" t="n">
        <v>46324</v>
      </c>
      <c r="F527" t="inlineStr">
        <is>
          <t>JÖNKÖPINGS LÄN</t>
        </is>
      </c>
      <c r="G527" t="inlineStr">
        <is>
          <t>JÖNKÖPING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5332-2026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46050</v>
      </c>
      <c r="E528" s="1" t="n">
        <v>46324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52058-2023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45223</v>
      </c>
      <c r="E529" s="1" t="n">
        <v>46324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46324</v>
      </c>
      <c r="F530" t="inlineStr">
        <is>
          <t>JÖNKÖPINGS LÄN</t>
        </is>
      </c>
      <c r="G530" t="inlineStr">
        <is>
          <t>JÖNKÖPING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46324</v>
      </c>
      <c r="F531" t="inlineStr">
        <is>
          <t>JÖNKÖPINGS LÄN</t>
        </is>
      </c>
      <c r="G531" t="inlineStr">
        <is>
          <t>JÖNKÖPING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46324</v>
      </c>
      <c r="F532" t="inlineStr">
        <is>
          <t>JÖNKÖPINGS LÄN</t>
        </is>
      </c>
      <c r="G532" t="inlineStr">
        <is>
          <t>JÖNKÖPING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46324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45541</v>
      </c>
      <c r="E534" s="1" t="n">
        <v>46324</v>
      </c>
      <c r="F534" t="inlineStr">
        <is>
          <t>JÖNKÖPINGS LÄN</t>
        </is>
      </c>
      <c r="G534" t="inlineStr">
        <is>
          <t>JÖNKÖPING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46059</v>
      </c>
      <c r="E535" s="1" t="n">
        <v>46324</v>
      </c>
      <c r="F535" t="inlineStr">
        <is>
          <t>JÖNKÖPINGS LÄN</t>
        </is>
      </c>
      <c r="G535" t="inlineStr">
        <is>
          <t>JÖNKÖPING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46059</v>
      </c>
      <c r="E536" s="1" t="n">
        <v>46324</v>
      </c>
      <c r="F536" t="inlineStr">
        <is>
          <t>JÖNKÖPINGS LÄN</t>
        </is>
      </c>
      <c r="G536" t="inlineStr">
        <is>
          <t>JÖNKÖPING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46059</v>
      </c>
      <c r="E537" s="1" t="n">
        <v>46324</v>
      </c>
      <c r="F537" t="inlineStr">
        <is>
          <t>JÖNKÖPINGS LÄN</t>
        </is>
      </c>
      <c r="G537" t="inlineStr">
        <is>
          <t>JÖNKÖPING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46324</v>
      </c>
      <c r="F538" t="inlineStr">
        <is>
          <t>JÖNKÖPINGS LÄN</t>
        </is>
      </c>
      <c r="G538" t="inlineStr">
        <is>
          <t>JÖNKÖPING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46324</v>
      </c>
      <c r="F539" t="inlineStr">
        <is>
          <t>JÖNKÖPINGS LÄN</t>
        </is>
      </c>
      <c r="G539" t="inlineStr">
        <is>
          <t>JÖNKÖPING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20384-2024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45435</v>
      </c>
      <c r="E540" s="1" t="n">
        <v>46324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Kyrkan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46324</v>
      </c>
      <c r="F541" t="inlineStr">
        <is>
          <t>JÖNKÖPINGS LÄN</t>
        </is>
      </c>
      <c r="G541" t="inlineStr">
        <is>
          <t>JÖNKÖPING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46324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46324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6970-2023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44967</v>
      </c>
      <c r="E544" s="1" t="n">
        <v>46324</v>
      </c>
      <c r="F544" t="inlineStr">
        <is>
          <t>JÖNKÖPINGS LÄN</t>
        </is>
      </c>
      <c r="G544" t="inlineStr">
        <is>
          <t>JÖNKÖPING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46324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46324</v>
      </c>
      <c r="F546" t="inlineStr">
        <is>
          <t>JÖNKÖPINGS LÄN</t>
        </is>
      </c>
      <c r="G546" t="inlineStr">
        <is>
          <t>JÖNKÖPING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46324</v>
      </c>
      <c r="F547" t="inlineStr">
        <is>
          <t>JÖNKÖPINGS LÄN</t>
        </is>
      </c>
      <c r="G547" t="inlineStr">
        <is>
          <t>JÖNKÖPING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46324</v>
      </c>
      <c r="F548" t="inlineStr">
        <is>
          <t>JÖNKÖPINGS LÄN</t>
        </is>
      </c>
      <c r="G548" t="inlineStr">
        <is>
          <t>JÖNKÖPING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26208-2022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44734</v>
      </c>
      <c r="E549" s="1" t="n">
        <v>46324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46324</v>
      </c>
      <c r="F550" t="inlineStr">
        <is>
          <t>JÖNKÖPINGS LÄN</t>
        </is>
      </c>
      <c r="G550" t="inlineStr">
        <is>
          <t>JÖNKÖPING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9067-2026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46069</v>
      </c>
      <c r="E551" s="1" t="n">
        <v>46324</v>
      </c>
      <c r="F551" t="inlineStr">
        <is>
          <t>JÖNKÖPINGS LÄN</t>
        </is>
      </c>
      <c r="G551" t="inlineStr">
        <is>
          <t>JÖNKÖPING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9073-2026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46069</v>
      </c>
      <c r="E552" s="1" t="n">
        <v>46324</v>
      </c>
      <c r="F552" t="inlineStr">
        <is>
          <t>JÖNKÖPINGS LÄN</t>
        </is>
      </c>
      <c r="G552" t="inlineStr">
        <is>
          <t>JÖNKÖPING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9020-2026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46069</v>
      </c>
      <c r="E553" s="1" t="n">
        <v>46324</v>
      </c>
      <c r="F553" t="inlineStr">
        <is>
          <t>JÖNKÖPINGS LÄN</t>
        </is>
      </c>
      <c r="G553" t="inlineStr">
        <is>
          <t>JÖNKÖPING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46324</v>
      </c>
      <c r="F554" t="inlineStr">
        <is>
          <t>JÖNKÖPINGS LÄN</t>
        </is>
      </c>
      <c r="G554" t="inlineStr">
        <is>
          <t>JÖNKÖPING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46324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45533</v>
      </c>
      <c r="E556" s="1" t="n">
        <v>46324</v>
      </c>
      <c r="F556" t="inlineStr">
        <is>
          <t>JÖNKÖPINGS LÄN</t>
        </is>
      </c>
      <c r="G556" t="inlineStr">
        <is>
          <t>JÖNKÖPING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29292-2026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46197</v>
      </c>
      <c r="E557" s="1" t="n">
        <v>46324</v>
      </c>
      <c r="F557" t="inlineStr">
        <is>
          <t>JÖNKÖPINGS LÄN</t>
        </is>
      </c>
      <c r="G557" t="inlineStr">
        <is>
          <t>JÖNKÖPING</t>
        </is>
      </c>
      <c r="I557" t="n">
        <v>7.5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46324</v>
      </c>
      <c r="F558" t="inlineStr">
        <is>
          <t>JÖNKÖPINGS LÄN</t>
        </is>
      </c>
      <c r="G558" t="inlineStr">
        <is>
          <t>JÖNKÖPING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46324</v>
      </c>
      <c r="F559" t="inlineStr">
        <is>
          <t>JÖNKÖPINGS LÄN</t>
        </is>
      </c>
      <c r="G559" t="inlineStr">
        <is>
          <t>JÖNKÖPING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9926-2026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46073</v>
      </c>
      <c r="E560" s="1" t="n">
        <v>46324</v>
      </c>
      <c r="F560" t="inlineStr">
        <is>
          <t>JÖNKÖPINGS LÄN</t>
        </is>
      </c>
      <c r="G560" t="inlineStr">
        <is>
          <t>JÖNKÖPING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58437-2024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45635</v>
      </c>
      <c r="E561" s="1" t="n">
        <v>46324</v>
      </c>
      <c r="F561" t="inlineStr">
        <is>
          <t>JÖNKÖPINGS LÄN</t>
        </is>
      </c>
      <c r="G561" t="inlineStr">
        <is>
          <t>JÖNKÖPING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37510-2024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45541</v>
      </c>
      <c r="E562" s="1" t="n">
        <v>46324</v>
      </c>
      <c r="F562" t="inlineStr">
        <is>
          <t>JÖNKÖPINGS LÄN</t>
        </is>
      </c>
      <c r="G562" t="inlineStr">
        <is>
          <t>JÖNKÖPING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47067-2023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45201</v>
      </c>
      <c r="E563" s="1" t="n">
        <v>46324</v>
      </c>
      <c r="F563" t="inlineStr">
        <is>
          <t>JÖNKÖPINGS LÄN</t>
        </is>
      </c>
      <c r="G563" t="inlineStr">
        <is>
          <t>JÖNKÖPING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46324</v>
      </c>
      <c r="F564" t="inlineStr">
        <is>
          <t>JÖNKÖPINGS LÄN</t>
        </is>
      </c>
      <c r="G564" t="inlineStr">
        <is>
          <t>JÖNKÖPING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45341</v>
      </c>
      <c r="E565" s="1" t="n">
        <v>46324</v>
      </c>
      <c r="F565" t="inlineStr">
        <is>
          <t>JÖNKÖPINGS LÄN</t>
        </is>
      </c>
      <c r="G565" t="inlineStr">
        <is>
          <t>JÖNKÖPING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31518-2023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45116</v>
      </c>
      <c r="E566" s="1" t="n">
        <v>46324</v>
      </c>
      <c r="F566" t="inlineStr">
        <is>
          <t>JÖNKÖPINGS LÄN</t>
        </is>
      </c>
      <c r="G566" t="inlineStr">
        <is>
          <t>JÖNKÖPING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46324</v>
      </c>
      <c r="F567" t="inlineStr">
        <is>
          <t>JÖNKÖPINGS LÄN</t>
        </is>
      </c>
      <c r="G567" t="inlineStr">
        <is>
          <t>JÖNKÖPING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44950</v>
      </c>
      <c r="E568" s="1" t="n">
        <v>46324</v>
      </c>
      <c r="F568" t="inlineStr">
        <is>
          <t>JÖNKÖPINGS LÄN</t>
        </is>
      </c>
      <c r="G568" t="inlineStr">
        <is>
          <t>JÖNKÖPING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45099</v>
      </c>
      <c r="E569" s="1" t="n">
        <v>46324</v>
      </c>
      <c r="F569" t="inlineStr">
        <is>
          <t>JÖNKÖPINGS LÄN</t>
        </is>
      </c>
      <c r="G569" t="inlineStr">
        <is>
          <t>JÖNKÖPING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46324</v>
      </c>
      <c r="F570" t="inlineStr">
        <is>
          <t>JÖNKÖPINGS LÄN</t>
        </is>
      </c>
      <c r="G570" t="inlineStr">
        <is>
          <t>JÖNKÖPING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45715</v>
      </c>
      <c r="E571" s="1" t="n">
        <v>46324</v>
      </c>
      <c r="F571" t="inlineStr">
        <is>
          <t>JÖNKÖPINGS LÄN</t>
        </is>
      </c>
      <c r="G571" t="inlineStr">
        <is>
          <t>JÖNKÖPING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45545</v>
      </c>
      <c r="E572" s="1" t="n">
        <v>46324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46201</v>
      </c>
      <c r="E573" s="1" t="n">
        <v>46324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46201</v>
      </c>
      <c r="E574" s="1" t="n">
        <v>46324</v>
      </c>
      <c r="F574" t="inlineStr">
        <is>
          <t>JÖNKÖPINGS LÄN</t>
        </is>
      </c>
      <c r="G574" t="inlineStr">
        <is>
          <t>JÖNKÖPING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46201</v>
      </c>
      <c r="E575" s="1" t="n">
        <v>46324</v>
      </c>
      <c r="F575" t="inlineStr">
        <is>
          <t>JÖNKÖPINGS LÄN</t>
        </is>
      </c>
      <c r="G575" t="inlineStr">
        <is>
          <t>JÖNKÖPING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44627</v>
      </c>
      <c r="E576" s="1" t="n">
        <v>46324</v>
      </c>
      <c r="F576" t="inlineStr">
        <is>
          <t>JÖNKÖPINGS LÄN</t>
        </is>
      </c>
      <c r="G576" t="inlineStr">
        <is>
          <t>JÖNKÖPING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20425-2023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45056</v>
      </c>
      <c r="E577" s="1" t="n">
        <v>46324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46324</v>
      </c>
      <c r="F578" t="inlineStr">
        <is>
          <t>JÖNKÖPINGS LÄN</t>
        </is>
      </c>
      <c r="G578" t="inlineStr">
        <is>
          <t>JÖNKÖPING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46324</v>
      </c>
      <c r="F579" t="inlineStr">
        <is>
          <t>JÖNKÖPINGS LÄN</t>
        </is>
      </c>
      <c r="G579" t="inlineStr">
        <is>
          <t>JÖNKÖPING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46324</v>
      </c>
      <c r="F580" t="inlineStr">
        <is>
          <t>JÖNKÖPINGS LÄN</t>
        </is>
      </c>
      <c r="G580" t="inlineStr">
        <is>
          <t>JÖNKÖPING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46324</v>
      </c>
      <c r="F581" t="inlineStr">
        <is>
          <t>JÖNKÖPINGS LÄN</t>
        </is>
      </c>
      <c r="G581" t="inlineStr">
        <is>
          <t>JÖNKÖPING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8554-2024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45355</v>
      </c>
      <c r="E582" s="1" t="n">
        <v>46324</v>
      </c>
      <c r="F582" t="inlineStr">
        <is>
          <t>JÖNKÖPINGS LÄN</t>
        </is>
      </c>
      <c r="G582" t="inlineStr">
        <is>
          <t>JÖNKÖPING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6601-2023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44966</v>
      </c>
      <c r="E583" s="1" t="n">
        <v>46324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Kyrkan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44662</v>
      </c>
      <c r="E584" s="1" t="n">
        <v>46324</v>
      </c>
      <c r="F584" t="inlineStr">
        <is>
          <t>JÖNKÖPINGS LÄN</t>
        </is>
      </c>
      <c r="G584" t="inlineStr">
        <is>
          <t>JÖNKÖPING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59195-2022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46324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44588</v>
      </c>
      <c r="E586" s="1" t="n">
        <v>46324</v>
      </c>
      <c r="F586" t="inlineStr">
        <is>
          <t>JÖNKÖPINGS LÄN</t>
        </is>
      </c>
      <c r="G586" t="inlineStr">
        <is>
          <t>JÖNKÖPING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46091</v>
      </c>
      <c r="E587" s="1" t="n">
        <v>46324</v>
      </c>
      <c r="F587" t="inlineStr">
        <is>
          <t>JÖNKÖPINGS LÄN</t>
        </is>
      </c>
      <c r="G587" t="inlineStr">
        <is>
          <t>JÖNKÖPING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46324</v>
      </c>
      <c r="F588" t="inlineStr">
        <is>
          <t>JÖNKÖPINGS LÄN</t>
        </is>
      </c>
      <c r="G588" t="inlineStr">
        <is>
          <t>JÖNKÖPING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46324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46324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30287-2026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46324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59269-2022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44904</v>
      </c>
      <c r="E592" s="1" t="n">
        <v>46324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Kommuner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59293-2022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44897</v>
      </c>
      <c r="E593" s="1" t="n">
        <v>46324</v>
      </c>
      <c r="F593" t="inlineStr">
        <is>
          <t>JÖNKÖPINGS LÄN</t>
        </is>
      </c>
      <c r="G593" t="inlineStr">
        <is>
          <t>JÖNKÖPING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59294-2022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44904</v>
      </c>
      <c r="E594" s="1" t="n">
        <v>46324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Kommuner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49379-2022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44861</v>
      </c>
      <c r="E595" s="1" t="n">
        <v>46324</v>
      </c>
      <c r="F595" t="inlineStr">
        <is>
          <t>JÖNKÖPINGS LÄN</t>
        </is>
      </c>
      <c r="G595" t="inlineStr">
        <is>
          <t>JÖNKÖPING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49396-2022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44861</v>
      </c>
      <c r="E596" s="1" t="n">
        <v>46324</v>
      </c>
      <c r="F596" t="inlineStr">
        <is>
          <t>JÖNKÖPINGS LÄN</t>
        </is>
      </c>
      <c r="G596" t="inlineStr">
        <is>
          <t>JÖNKÖPING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46324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16184-2024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45406</v>
      </c>
      <c r="E598" s="1" t="n">
        <v>46324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43573-2024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45569</v>
      </c>
      <c r="E599" s="1" t="n">
        <v>46324</v>
      </c>
      <c r="F599" t="inlineStr">
        <is>
          <t>JÖNKÖPINGS LÄN</t>
        </is>
      </c>
      <c r="G599" t="inlineStr">
        <is>
          <t>JÖNKÖPING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57620-2022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44897</v>
      </c>
      <c r="E600" s="1" t="n">
        <v>46324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18836-2025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45764</v>
      </c>
      <c r="E601" s="1" t="n">
        <v>46324</v>
      </c>
      <c r="F601" t="inlineStr">
        <is>
          <t>JÖNKÖPINGS LÄN</t>
        </is>
      </c>
      <c r="G601" t="inlineStr">
        <is>
          <t>JÖNKÖPING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55294-2022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44882</v>
      </c>
      <c r="E602" s="1" t="n">
        <v>46324</v>
      </c>
      <c r="F602" t="inlineStr">
        <is>
          <t>JÖNKÖPINGS LÄN</t>
        </is>
      </c>
      <c r="G602" t="inlineStr">
        <is>
          <t>JÖNKÖPING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46324</v>
      </c>
      <c r="F603" t="inlineStr">
        <is>
          <t>JÖNKÖPINGS LÄN</t>
        </is>
      </c>
      <c r="G603" t="inlineStr">
        <is>
          <t>JÖNKÖPING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46324</v>
      </c>
      <c r="F604" t="inlineStr">
        <is>
          <t>JÖNKÖPINGS LÄN</t>
        </is>
      </c>
      <c r="G604" t="inlineStr">
        <is>
          <t>JÖNKÖPING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46741-2023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45198</v>
      </c>
      <c r="E605" s="1" t="n">
        <v>46324</v>
      </c>
      <c r="F605" t="inlineStr">
        <is>
          <t>JÖNKÖPINGS LÄN</t>
        </is>
      </c>
      <c r="G605" t="inlineStr">
        <is>
          <t>JÖNKÖPING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46212</v>
      </c>
      <c r="E606" s="1" t="n">
        <v>46324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46324</v>
      </c>
      <c r="F607" t="inlineStr">
        <is>
          <t>JÖNKÖPINGS LÄN</t>
        </is>
      </c>
      <c r="G607" t="inlineStr">
        <is>
          <t>JÖNKÖPING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46324</v>
      </c>
      <c r="F608" t="inlineStr">
        <is>
          <t>JÖNKÖPINGS LÄN</t>
        </is>
      </c>
      <c r="G608" t="inlineStr">
        <is>
          <t>JÖNKÖPING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20410-2023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45056</v>
      </c>
      <c r="E609" s="1" t="n">
        <v>46324</v>
      </c>
      <c r="F609" t="inlineStr">
        <is>
          <t>JÖNKÖPINGS LÄN</t>
        </is>
      </c>
      <c r="G609" t="inlineStr">
        <is>
          <t>JÖNKÖPING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46324</v>
      </c>
      <c r="F610" t="inlineStr">
        <is>
          <t>JÖNKÖPINGS LÄN</t>
        </is>
      </c>
      <c r="G610" t="inlineStr">
        <is>
          <t>JÖNKÖPING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46324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46324</v>
      </c>
      <c r="F612" t="inlineStr">
        <is>
          <t>JÖNKÖPINGS LÄN</t>
        </is>
      </c>
      <c r="G612" t="inlineStr">
        <is>
          <t>JÖNKÖPING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46212</v>
      </c>
      <c r="E613" s="1" t="n">
        <v>46324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46324</v>
      </c>
      <c r="F614" t="inlineStr">
        <is>
          <t>JÖNKÖPINGS LÄN</t>
        </is>
      </c>
      <c r="G614" t="inlineStr">
        <is>
          <t>JÖNKÖPING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46324</v>
      </c>
      <c r="F615" t="inlineStr">
        <is>
          <t>JÖNKÖPINGS LÄN</t>
        </is>
      </c>
      <c r="G615" t="inlineStr">
        <is>
          <t>JÖNKÖPING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46324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46324</v>
      </c>
      <c r="F617" t="inlineStr">
        <is>
          <t>JÖNKÖPINGS LÄN</t>
        </is>
      </c>
      <c r="G617" t="inlineStr">
        <is>
          <t>JÖNKÖPING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45406</v>
      </c>
      <c r="E618" s="1" t="n">
        <v>46324</v>
      </c>
      <c r="F618" t="inlineStr">
        <is>
          <t>JÖNKÖPINGS LÄN</t>
        </is>
      </c>
      <c r="G618" t="inlineStr">
        <is>
          <t>JÖNKÖPING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16213-2024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45406</v>
      </c>
      <c r="E619" s="1" t="n">
        <v>46324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46324</v>
      </c>
      <c r="F620" t="inlineStr">
        <is>
          <t>JÖNKÖPINGS LÄN</t>
        </is>
      </c>
      <c r="G620" t="inlineStr">
        <is>
          <t>JÖNKÖPING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43290-2023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45183</v>
      </c>
      <c r="E621" s="1" t="n">
        <v>46324</v>
      </c>
      <c r="F621" t="inlineStr">
        <is>
          <t>JÖNKÖPINGS LÄN</t>
        </is>
      </c>
      <c r="G621" t="inlineStr">
        <is>
          <t>JÖNKÖPING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21132-2024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45440</v>
      </c>
      <c r="E622" s="1" t="n">
        <v>46324</v>
      </c>
      <c r="F622" t="inlineStr">
        <is>
          <t>JÖNKÖPINGS LÄN</t>
        </is>
      </c>
      <c r="G622" t="inlineStr">
        <is>
          <t>JÖNKÖPING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46324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14.5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50293-2023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45216</v>
      </c>
      <c r="E624" s="1" t="n">
        <v>46324</v>
      </c>
      <c r="F624" t="inlineStr">
        <is>
          <t>JÖNKÖPINGS LÄN</t>
        </is>
      </c>
      <c r="G624" t="inlineStr">
        <is>
          <t>JÖNKÖPING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11700-2024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45373</v>
      </c>
      <c r="E625" s="1" t="n">
        <v>46324</v>
      </c>
      <c r="F625" t="inlineStr">
        <is>
          <t>JÖNKÖPINGS LÄN</t>
        </is>
      </c>
      <c r="G625" t="inlineStr">
        <is>
          <t>JÖNKÖPING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50896-2025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45946</v>
      </c>
      <c r="E626" s="1" t="n">
        <v>46324</v>
      </c>
      <c r="F626" t="inlineStr">
        <is>
          <t>JÖNKÖPINGS LÄN</t>
        </is>
      </c>
      <c r="G626" t="inlineStr">
        <is>
          <t>JÖNKÖPING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1365-2025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45667</v>
      </c>
      <c r="E627" s="1" t="n">
        <v>46324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44571</v>
      </c>
      <c r="E628" s="1" t="n">
        <v>46324</v>
      </c>
      <c r="F628" t="inlineStr">
        <is>
          <t>JÖNKÖPINGS LÄN</t>
        </is>
      </c>
      <c r="G628" t="inlineStr">
        <is>
          <t>JÖNKÖPING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46219</v>
      </c>
      <c r="E629" s="1" t="n">
        <v>46324</v>
      </c>
      <c r="F629" t="inlineStr">
        <is>
          <t>JÖNKÖPINGS LÄN</t>
        </is>
      </c>
      <c r="G629" t="inlineStr">
        <is>
          <t>JÖNKÖPING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33850-2025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45842</v>
      </c>
      <c r="E630" s="1" t="n">
        <v>46324</v>
      </c>
      <c r="F630" t="inlineStr">
        <is>
          <t>JÖNKÖPINGS LÄN</t>
        </is>
      </c>
      <c r="G630" t="inlineStr">
        <is>
          <t>JÖNKÖPING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37003-2024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45539</v>
      </c>
      <c r="E631" s="1" t="n">
        <v>46324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31405-2026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46220</v>
      </c>
      <c r="E632" s="1" t="n">
        <v>46324</v>
      </c>
      <c r="F632" t="inlineStr">
        <is>
          <t>JÖNKÖPINGS LÄN</t>
        </is>
      </c>
      <c r="G632" t="inlineStr">
        <is>
          <t>JÖNKÖPING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45519</v>
      </c>
      <c r="E633" s="1" t="n">
        <v>46324</v>
      </c>
      <c r="F633" t="inlineStr">
        <is>
          <t>JÖNKÖPINGS LÄN</t>
        </is>
      </c>
      <c r="G633" t="inlineStr">
        <is>
          <t>JÖNKÖPING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44592</v>
      </c>
      <c r="E634" s="1" t="n">
        <v>46324</v>
      </c>
      <c r="F634" t="inlineStr">
        <is>
          <t>JÖNKÖPINGS LÄN</t>
        </is>
      </c>
      <c r="G634" t="inlineStr">
        <is>
          <t>JÖNKÖPING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38918-2024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45547</v>
      </c>
      <c r="E635" s="1" t="n">
        <v>46324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17295-2026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46119</v>
      </c>
      <c r="E636" s="1" t="n">
        <v>46324</v>
      </c>
      <c r="F636" t="inlineStr">
        <is>
          <t>JÖNKÖPINGS LÄN</t>
        </is>
      </c>
      <c r="G636" t="inlineStr">
        <is>
          <t>JÖNKÖPING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46119</v>
      </c>
      <c r="E637" s="1" t="n">
        <v>46324</v>
      </c>
      <c r="F637" t="inlineStr">
        <is>
          <t>JÖNKÖPINGS LÄN</t>
        </is>
      </c>
      <c r="G637" t="inlineStr">
        <is>
          <t>JÖNKÖPING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17532-2026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46120</v>
      </c>
      <c r="E638" s="1" t="n">
        <v>46324</v>
      </c>
      <c r="F638" t="inlineStr">
        <is>
          <t>JÖNKÖPINGS LÄN</t>
        </is>
      </c>
      <c r="G638" t="inlineStr">
        <is>
          <t>JÖNKÖPING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17535-2026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46324</v>
      </c>
      <c r="F639" t="inlineStr">
        <is>
          <t>JÖNKÖPINGS LÄN</t>
        </is>
      </c>
      <c r="G639" t="inlineStr">
        <is>
          <t>JÖNKÖPING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46120</v>
      </c>
      <c r="E640" s="1" t="n">
        <v>46324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17294-2026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46324</v>
      </c>
      <c r="F641" t="inlineStr">
        <is>
          <t>JÖNKÖPINGS LÄN</t>
        </is>
      </c>
      <c r="G641" t="inlineStr">
        <is>
          <t>JÖNKÖPING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47190-2024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45586</v>
      </c>
      <c r="E642" s="1" t="n">
        <v>46324</v>
      </c>
      <c r="F642" t="inlineStr">
        <is>
          <t>JÖNKÖPINGS LÄN</t>
        </is>
      </c>
      <c r="G642" t="inlineStr">
        <is>
          <t>JÖNKÖPING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46324</v>
      </c>
      <c r="F643" t="inlineStr">
        <is>
          <t>JÖNKÖPINGS LÄN</t>
        </is>
      </c>
      <c r="G643" t="inlineStr">
        <is>
          <t>JÖNKÖPING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31771-2026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46230</v>
      </c>
      <c r="E644" s="1" t="n">
        <v>46324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46230</v>
      </c>
      <c r="E645" s="1" t="n">
        <v>46324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37515-2024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45541</v>
      </c>
      <c r="E646" s="1" t="n">
        <v>46324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46324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39280-2024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45551</v>
      </c>
      <c r="E648" s="1" t="n">
        <v>46324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46234</v>
      </c>
      <c r="E649" s="1" t="n">
        <v>46324</v>
      </c>
      <c r="F649" t="inlineStr">
        <is>
          <t>JÖNKÖPINGS LÄN</t>
        </is>
      </c>
      <c r="G649" t="inlineStr">
        <is>
          <t>JÖNKÖPING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46234</v>
      </c>
      <c r="E650" s="1" t="n">
        <v>46324</v>
      </c>
      <c r="F650" t="inlineStr">
        <is>
          <t>JÖNKÖPINGS LÄN</t>
        </is>
      </c>
      <c r="G650" t="inlineStr">
        <is>
          <t>JÖNKÖPING</t>
        </is>
      </c>
      <c r="I650" t="n">
        <v>7.7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46234</v>
      </c>
      <c r="E651" s="1" t="n">
        <v>46324</v>
      </c>
      <c r="F651" t="inlineStr">
        <is>
          <t>JÖNKÖPINGS LÄN</t>
        </is>
      </c>
      <c r="G651" t="inlineStr">
        <is>
          <t>JÖNKÖPING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32147-2026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46234</v>
      </c>
      <c r="E652" s="1" t="n">
        <v>46324</v>
      </c>
      <c r="F652" t="inlineStr">
        <is>
          <t>JÖNKÖPINGS LÄN</t>
        </is>
      </c>
      <c r="G652" t="inlineStr">
        <is>
          <t>JÖNKÖPING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46324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23794-2024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45455</v>
      </c>
      <c r="E654" s="1" t="n">
        <v>46324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7959-2024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45350</v>
      </c>
      <c r="E655" s="1" t="n">
        <v>46324</v>
      </c>
      <c r="F655" t="inlineStr">
        <is>
          <t>JÖNKÖPINGS LÄN</t>
        </is>
      </c>
      <c r="G655" t="inlineStr">
        <is>
          <t>JÖNKÖPING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32329-2026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46238</v>
      </c>
      <c r="E656" s="1" t="n">
        <v>46324</v>
      </c>
      <c r="F656" t="inlineStr">
        <is>
          <t>JÖNKÖPINGS LÄN</t>
        </is>
      </c>
      <c r="G656" t="inlineStr">
        <is>
          <t>JÖNKÖPING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46324</v>
      </c>
      <c r="F657" t="inlineStr">
        <is>
          <t>JÖNKÖPINGS LÄN</t>
        </is>
      </c>
      <c r="G657" t="inlineStr">
        <is>
          <t>JÖNKÖPING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45182</v>
      </c>
      <c r="E658" s="1" t="n">
        <v>46324</v>
      </c>
      <c r="F658" t="inlineStr">
        <is>
          <t>JÖNKÖPINGS LÄN</t>
        </is>
      </c>
      <c r="G658" t="inlineStr">
        <is>
          <t>JÖNKÖPING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46239</v>
      </c>
      <c r="E659" s="1" t="n">
        <v>46324</v>
      </c>
      <c r="F659" t="inlineStr">
        <is>
          <t>JÖNKÖPINGS LÄN</t>
        </is>
      </c>
      <c r="G659" t="inlineStr">
        <is>
          <t>JÖNKÖPING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45810</v>
      </c>
      <c r="E660" s="1" t="n">
        <v>46324</v>
      </c>
      <c r="F660" t="inlineStr">
        <is>
          <t>JÖNKÖPINGS LÄN</t>
        </is>
      </c>
      <c r="G660" t="inlineStr">
        <is>
          <t>JÖNKÖPING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32543-2026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46239</v>
      </c>
      <c r="E661" s="1" t="n">
        <v>46324</v>
      </c>
      <c r="F661" t="inlineStr">
        <is>
          <t>JÖNKÖPINGS LÄN</t>
        </is>
      </c>
      <c r="G661" t="inlineStr">
        <is>
          <t>JÖNKÖPING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31757-2025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46324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40923-2024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45558</v>
      </c>
      <c r="E663" s="1" t="n">
        <v>46324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46324</v>
      </c>
      <c r="F664" t="inlineStr">
        <is>
          <t>JÖNKÖPINGS LÄN</t>
        </is>
      </c>
      <c r="G664" t="inlineStr">
        <is>
          <t>JÖNKÖPING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45461</v>
      </c>
      <c r="E665" s="1" t="n">
        <v>46324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61759-2025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46002</v>
      </c>
      <c r="E666" s="1" t="n">
        <v>46324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46286</v>
      </c>
      <c r="E667" s="1" t="n">
        <v>46324</v>
      </c>
      <c r="F667" t="inlineStr">
        <is>
          <t>JÖNKÖPINGS LÄN</t>
        </is>
      </c>
      <c r="G667" t="inlineStr">
        <is>
          <t>JÖNKÖPING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10204-2022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44622</v>
      </c>
      <c r="E668" s="1" t="n">
        <v>46324</v>
      </c>
      <c r="F668" t="inlineStr">
        <is>
          <t>JÖNKÖPINGS LÄN</t>
        </is>
      </c>
      <c r="G668" t="inlineStr">
        <is>
          <t>JÖNKÖPING</t>
        </is>
      </c>
      <c r="I668" t="n">
        <v>9.699999999999999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58351-2022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44893</v>
      </c>
      <c r="E669" s="1" t="n">
        <v>46324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Övriga statliga verk och myndigheter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17846-2023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45037</v>
      </c>
      <c r="E670" s="1" t="n">
        <v>46324</v>
      </c>
      <c r="F670" t="inlineStr">
        <is>
          <t>JÖNKÖPINGS LÄN</t>
        </is>
      </c>
      <c r="G670" t="inlineStr">
        <is>
          <t>JÖNKÖPING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50192-2024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45600</v>
      </c>
      <c r="E671" s="1" t="n">
        <v>46324</v>
      </c>
      <c r="F671" t="inlineStr">
        <is>
          <t>JÖNKÖPINGS LÄN</t>
        </is>
      </c>
      <c r="G671" t="inlineStr">
        <is>
          <t>JÖNKÖPING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50193-2024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45600</v>
      </c>
      <c r="E672" s="1" t="n">
        <v>46324</v>
      </c>
      <c r="F672" t="inlineStr">
        <is>
          <t>JÖNKÖPINGS LÄN</t>
        </is>
      </c>
      <c r="G672" t="inlineStr">
        <is>
          <t>JÖNKÖPING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38790-2026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46286</v>
      </c>
      <c r="E673" s="1" t="n">
        <v>46324</v>
      </c>
      <c r="F673" t="inlineStr">
        <is>
          <t>JÖNKÖPINGS LÄN</t>
        </is>
      </c>
      <c r="G673" t="inlineStr">
        <is>
          <t>JÖNKÖPING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45726</v>
      </c>
      <c r="E674" s="1" t="n">
        <v>46324</v>
      </c>
      <c r="F674" t="inlineStr">
        <is>
          <t>JÖNKÖPINGS LÄN</t>
        </is>
      </c>
      <c r="G674" t="inlineStr">
        <is>
          <t>JÖNKÖPING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46286</v>
      </c>
      <c r="E675" s="1" t="n">
        <v>46324</v>
      </c>
      <c r="F675" t="inlineStr">
        <is>
          <t>JÖNKÖPINGS LÄN</t>
        </is>
      </c>
      <c r="G675" t="inlineStr">
        <is>
          <t>JÖNKÖPING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45215</v>
      </c>
      <c r="E676" s="1" t="n">
        <v>46324</v>
      </c>
      <c r="F676" t="inlineStr">
        <is>
          <t>JÖNKÖPINGS LÄN</t>
        </is>
      </c>
      <c r="G676" t="inlineStr">
        <is>
          <t>JÖNKÖPING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17829-2025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45758</v>
      </c>
      <c r="E677" s="1" t="n">
        <v>46324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Kyrkan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32866-2026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46324</v>
      </c>
      <c r="F678" t="inlineStr">
        <is>
          <t>JÖNKÖPINGS LÄN</t>
        </is>
      </c>
      <c r="G678" t="inlineStr">
        <is>
          <t>JÖNKÖPING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45730</v>
      </c>
      <c r="E679" s="1" t="n">
        <v>46324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33417-2025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45841</v>
      </c>
      <c r="E680" s="1" t="n">
        <v>46324</v>
      </c>
      <c r="F680" t="inlineStr">
        <is>
          <t>JÖNKÖPINGS LÄN</t>
        </is>
      </c>
      <c r="G680" t="inlineStr">
        <is>
          <t>JÖNKÖPING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46324</v>
      </c>
      <c r="F681" t="inlineStr">
        <is>
          <t>JÖNKÖPINGS LÄN</t>
        </is>
      </c>
      <c r="G681" t="inlineStr">
        <is>
          <t>JÖNKÖPING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38862-2026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46324</v>
      </c>
      <c r="F682" t="inlineStr">
        <is>
          <t>JÖNKÖPINGS LÄN</t>
        </is>
      </c>
      <c r="G682" t="inlineStr">
        <is>
          <t>JÖNKÖPING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45846</v>
      </c>
      <c r="E683" s="1" t="n">
        <v>46324</v>
      </c>
      <c r="F683" t="inlineStr">
        <is>
          <t>JÖNKÖPINGS LÄN</t>
        </is>
      </c>
      <c r="G683" t="inlineStr">
        <is>
          <t>JÖNKÖPING</t>
        </is>
      </c>
      <c r="I683" t="n">
        <v>5.2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26108-2024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45468</v>
      </c>
      <c r="E684" s="1" t="n">
        <v>46324</v>
      </c>
      <c r="F684" t="inlineStr">
        <is>
          <t>JÖNKÖPINGS LÄN</t>
        </is>
      </c>
      <c r="G684" t="inlineStr">
        <is>
          <t>JÖNKÖPING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11236-2024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45371</v>
      </c>
      <c r="E685" s="1" t="n">
        <v>46324</v>
      </c>
      <c r="F685" t="inlineStr">
        <is>
          <t>JÖNKÖPINGS LÄN</t>
        </is>
      </c>
      <c r="G685" t="inlineStr">
        <is>
          <t>JÖNKÖPING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51363-2025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45947</v>
      </c>
      <c r="E686" s="1" t="n">
        <v>46324</v>
      </c>
      <c r="F686" t="inlineStr">
        <is>
          <t>JÖNKÖPINGS LÄN</t>
        </is>
      </c>
      <c r="G686" t="inlineStr">
        <is>
          <t>JÖNKÖPING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45682</v>
      </c>
      <c r="E687" s="1" t="n">
        <v>46324</v>
      </c>
      <c r="F687" t="inlineStr">
        <is>
          <t>JÖNKÖPINGS LÄN</t>
        </is>
      </c>
      <c r="G687" t="inlineStr">
        <is>
          <t>JÖNKÖPING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8346-2023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46324</v>
      </c>
      <c r="F688" t="inlineStr">
        <is>
          <t>JÖNKÖPINGS LÄN</t>
        </is>
      </c>
      <c r="G688" t="inlineStr">
        <is>
          <t>JÖNKÖPING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46246</v>
      </c>
      <c r="E689" s="1" t="n">
        <v>46324</v>
      </c>
      <c r="F689" t="inlineStr">
        <is>
          <t>JÖNKÖPINGS LÄN</t>
        </is>
      </c>
      <c r="G689" t="inlineStr">
        <is>
          <t>JÖNKÖPING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33308-2026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46324</v>
      </c>
      <c r="F690" t="inlineStr">
        <is>
          <t>JÖNKÖPINGS LÄN</t>
        </is>
      </c>
      <c r="G690" t="inlineStr">
        <is>
          <t>JÖNKÖPING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46246</v>
      </c>
      <c r="E691" s="1" t="n">
        <v>46324</v>
      </c>
      <c r="F691" t="inlineStr">
        <is>
          <t>JÖNKÖPINGS LÄN</t>
        </is>
      </c>
      <c r="G691" t="inlineStr">
        <is>
          <t>JÖNKÖPING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18972-2025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45764</v>
      </c>
      <c r="E692" s="1" t="n">
        <v>46324</v>
      </c>
      <c r="F692" t="inlineStr">
        <is>
          <t>JÖNKÖPINGS LÄN</t>
        </is>
      </c>
      <c r="G692" t="inlineStr">
        <is>
          <t>JÖNKÖPING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54642-2024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45617</v>
      </c>
      <c r="E693" s="1" t="n">
        <v>46324</v>
      </c>
      <c r="F693" t="inlineStr">
        <is>
          <t>JÖNKÖPINGS LÄN</t>
        </is>
      </c>
      <c r="G693" t="inlineStr">
        <is>
          <t>JÖNKÖPING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46324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33527-2026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46248</v>
      </c>
      <c r="E695" s="1" t="n">
        <v>46324</v>
      </c>
      <c r="F695" t="inlineStr">
        <is>
          <t>JÖNKÖPINGS LÄN</t>
        </is>
      </c>
      <c r="G695" t="inlineStr">
        <is>
          <t>JÖNKÖPING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12932-2025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45734</v>
      </c>
      <c r="E696" s="1" t="n">
        <v>46324</v>
      </c>
      <c r="F696" t="inlineStr">
        <is>
          <t>JÖNKÖPINGS LÄN</t>
        </is>
      </c>
      <c r="G696" t="inlineStr">
        <is>
          <t>JÖNKÖPING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3427-2022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44585</v>
      </c>
      <c r="E697" s="1" t="n">
        <v>46324</v>
      </c>
      <c r="F697" t="inlineStr">
        <is>
          <t>JÖNKÖPINGS LÄN</t>
        </is>
      </c>
      <c r="G697" t="inlineStr">
        <is>
          <t>JÖNKÖPING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46290</v>
      </c>
      <c r="E698" s="1" t="n">
        <v>46324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9.300000000000001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45152</v>
      </c>
      <c r="E699" s="1" t="n">
        <v>46324</v>
      </c>
      <c r="F699" t="inlineStr">
        <is>
          <t>JÖNKÖPINGS LÄN</t>
        </is>
      </c>
      <c r="G699" t="inlineStr">
        <is>
          <t>JÖNKÖPING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39979-2026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46293</v>
      </c>
      <c r="E700" s="1" t="n">
        <v>46324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39850-2026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46324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9.5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46324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33363-2026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46247</v>
      </c>
      <c r="E703" s="1" t="n">
        <v>46324</v>
      </c>
      <c r="F703" t="inlineStr">
        <is>
          <t>JÖNKÖPINGS LÄN</t>
        </is>
      </c>
      <c r="G703" t="inlineStr">
        <is>
          <t>JÖNKÖPING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8185-2024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45351</v>
      </c>
      <c r="E704" s="1" t="n">
        <v>46324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40455-2026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46293</v>
      </c>
      <c r="E705" s="1" t="n">
        <v>46324</v>
      </c>
      <c r="F705" t="inlineStr">
        <is>
          <t>JÖNKÖPINGS LÄN</t>
        </is>
      </c>
      <c r="G705" t="inlineStr">
        <is>
          <t>JÖNKÖPING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45976-2022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44846</v>
      </c>
      <c r="E706" s="1" t="n">
        <v>46324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46294</v>
      </c>
      <c r="E707" s="1" t="n">
        <v>46324</v>
      </c>
      <c r="F707" t="inlineStr">
        <is>
          <t>JÖNKÖPINGS LÄN</t>
        </is>
      </c>
      <c r="G707" t="inlineStr">
        <is>
          <t>JÖNKÖPING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40294-2026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46294</v>
      </c>
      <c r="E708" s="1" t="n">
        <v>46324</v>
      </c>
      <c r="F708" t="inlineStr">
        <is>
          <t>JÖNKÖPINGS LÄN</t>
        </is>
      </c>
      <c r="G708" t="inlineStr">
        <is>
          <t>JÖNKÖPING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34038-2026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46252</v>
      </c>
      <c r="E709" s="1" t="n">
        <v>46324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31046-2024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45502</v>
      </c>
      <c r="E710" s="1" t="n">
        <v>46324</v>
      </c>
      <c r="F710" t="inlineStr">
        <is>
          <t>JÖNKÖPINGS LÄN</t>
        </is>
      </c>
      <c r="G710" t="inlineStr">
        <is>
          <t>JÖNKÖPING</t>
        </is>
      </c>
      <c r="I710" t="n">
        <v>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46294</v>
      </c>
      <c r="E711" s="1" t="n">
        <v>46324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40477-2026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46295</v>
      </c>
      <c r="E712" s="1" t="n">
        <v>46324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59110-2022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44904</v>
      </c>
      <c r="E713" s="1" t="n">
        <v>46324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Kommuner</t>
        </is>
      </c>
      <c r="I713" t="n">
        <v>5.1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44416-2023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45189</v>
      </c>
      <c r="E714" s="1" t="n">
        <v>46324</v>
      </c>
      <c r="F714" t="inlineStr">
        <is>
          <t>JÖNKÖPINGS LÄN</t>
        </is>
      </c>
      <c r="G714" t="inlineStr">
        <is>
          <t>JÖNKÖPING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63207-2021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44507</v>
      </c>
      <c r="E715" s="1" t="n">
        <v>46324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9268-2024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45358</v>
      </c>
      <c r="E716" s="1" t="n">
        <v>46324</v>
      </c>
      <c r="F716" t="inlineStr">
        <is>
          <t>JÖNKÖPINGS LÄN</t>
        </is>
      </c>
      <c r="G716" t="inlineStr">
        <is>
          <t>JÖNKÖPING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40826-2026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46295</v>
      </c>
      <c r="E717" s="1" t="n">
        <v>46324</v>
      </c>
      <c r="F717" t="inlineStr">
        <is>
          <t>JÖNKÖPINGS LÄN</t>
        </is>
      </c>
      <c r="G717" t="inlineStr">
        <is>
          <t>JÖNKÖPING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45294</v>
      </c>
      <c r="E718" s="1" t="n">
        <v>46324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Kyrkan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25250-2023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45079</v>
      </c>
      <c r="E719" s="1" t="n">
        <v>46324</v>
      </c>
      <c r="F719" t="inlineStr">
        <is>
          <t>JÖNKÖPINGS LÄN</t>
        </is>
      </c>
      <c r="G719" t="inlineStr">
        <is>
          <t>JÖNKÖPING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46324</v>
      </c>
      <c r="F720" t="inlineStr">
        <is>
          <t>JÖNKÖPINGS LÄN</t>
        </is>
      </c>
      <c r="G720" t="inlineStr">
        <is>
          <t>JÖNKÖPING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17237-2023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45035</v>
      </c>
      <c r="E721" s="1" t="n">
        <v>46324</v>
      </c>
      <c r="F721" t="inlineStr">
        <is>
          <t>JÖNKÖPINGS LÄN</t>
        </is>
      </c>
      <c r="G721" t="inlineStr">
        <is>
          <t>JÖNKÖPING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3520-2023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44950</v>
      </c>
      <c r="E722" s="1" t="n">
        <v>46324</v>
      </c>
      <c r="F722" t="inlineStr">
        <is>
          <t>JÖNKÖPINGS LÄN</t>
        </is>
      </c>
      <c r="G722" t="inlineStr">
        <is>
          <t>JÖNKÖPING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56062-2023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45240</v>
      </c>
      <c r="E723" s="1" t="n">
        <v>46324</v>
      </c>
      <c r="F723" t="inlineStr">
        <is>
          <t>JÖNKÖPINGS LÄN</t>
        </is>
      </c>
      <c r="G723" t="inlineStr">
        <is>
          <t>JÖNKÖPING</t>
        </is>
      </c>
      <c r="I723" t="n">
        <v>13.6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10720-2022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44626</v>
      </c>
      <c r="E724" s="1" t="n">
        <v>46324</v>
      </c>
      <c r="F724" t="inlineStr">
        <is>
          <t>JÖNKÖPINGS LÄN</t>
        </is>
      </c>
      <c r="G724" t="inlineStr">
        <is>
          <t>JÖNKÖPING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57567-2023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45246</v>
      </c>
      <c r="E725" s="1" t="n">
        <v>46324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21250-2023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45058</v>
      </c>
      <c r="E726" s="1" t="n">
        <v>46324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34622-2026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46324</v>
      </c>
      <c r="F727" t="inlineStr">
        <is>
          <t>JÖNKÖPINGS LÄN</t>
        </is>
      </c>
      <c r="G727" t="inlineStr">
        <is>
          <t>JÖNKÖPING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41444-2026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46301</v>
      </c>
      <c r="E728" s="1" t="n">
        <v>46324</v>
      </c>
      <c r="F728" t="inlineStr">
        <is>
          <t>JÖNKÖPINGS LÄN</t>
        </is>
      </c>
      <c r="G728" t="inlineStr">
        <is>
          <t>JÖNKÖPING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32035-2023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45119</v>
      </c>
      <c r="E729" s="1" t="n">
        <v>46324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42734-2024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45566</v>
      </c>
      <c r="E730" s="1" t="n">
        <v>46324</v>
      </c>
      <c r="F730" t="inlineStr">
        <is>
          <t>JÖNKÖPINGS LÄN</t>
        </is>
      </c>
      <c r="G730" t="inlineStr">
        <is>
          <t>JÖNKÖPING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42736-2024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45566</v>
      </c>
      <c r="E731" s="1" t="n">
        <v>46324</v>
      </c>
      <c r="F731" t="inlineStr">
        <is>
          <t>JÖNKÖPINGS LÄN</t>
        </is>
      </c>
      <c r="G731" t="inlineStr">
        <is>
          <t>JÖNKÖPING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31048-2024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45502</v>
      </c>
      <c r="E732" s="1" t="n">
        <v>46324</v>
      </c>
      <c r="F732" t="inlineStr">
        <is>
          <t>JÖNKÖPINGS LÄN</t>
        </is>
      </c>
      <c r="G732" t="inlineStr">
        <is>
          <t>JÖNKÖPING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43668-2022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44837</v>
      </c>
      <c r="E733" s="1" t="n">
        <v>46324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46302</v>
      </c>
      <c r="E734" s="1" t="n">
        <v>46324</v>
      </c>
      <c r="F734" t="inlineStr">
        <is>
          <t>JÖNKÖPINGS LÄN</t>
        </is>
      </c>
      <c r="G734" t="inlineStr">
        <is>
          <t>JÖNKÖPING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49059-2023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45210</v>
      </c>
      <c r="E735" s="1" t="n">
        <v>46324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8864-2022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44614</v>
      </c>
      <c r="E736" s="1" t="n">
        <v>46324</v>
      </c>
      <c r="F736" t="inlineStr">
        <is>
          <t>JÖNKÖPINGS LÄN</t>
        </is>
      </c>
      <c r="G736" t="inlineStr">
        <is>
          <t>JÖNKÖPING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16049-2023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45021</v>
      </c>
      <c r="E737" s="1" t="n">
        <v>46324</v>
      </c>
      <c r="F737" t="inlineStr">
        <is>
          <t>JÖNKÖPINGS LÄN</t>
        </is>
      </c>
      <c r="G737" t="inlineStr">
        <is>
          <t>JÖNKÖPING</t>
        </is>
      </c>
      <c r="I737" t="n">
        <v>6.9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44963</v>
      </c>
      <c r="E738" s="1" t="n">
        <v>46324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46302</v>
      </c>
      <c r="E739" s="1" t="n">
        <v>46324</v>
      </c>
      <c r="F739" t="inlineStr">
        <is>
          <t>JÖNKÖPINGS LÄN</t>
        </is>
      </c>
      <c r="G739" t="inlineStr">
        <is>
          <t>JÖNKÖPING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982-2023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44935</v>
      </c>
      <c r="E740" s="1" t="n">
        <v>46324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51876-2022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44867</v>
      </c>
      <c r="E741" s="1" t="n">
        <v>46324</v>
      </c>
      <c r="F741" t="inlineStr">
        <is>
          <t>JÖNKÖPINGS LÄN</t>
        </is>
      </c>
      <c r="G741" t="inlineStr">
        <is>
          <t>JÖNKÖPING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43251-2023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45180</v>
      </c>
      <c r="E742" s="1" t="n">
        <v>46324</v>
      </c>
      <c r="F742" t="inlineStr">
        <is>
          <t>JÖNKÖPINGS LÄN</t>
        </is>
      </c>
      <c r="G742" t="inlineStr">
        <is>
          <t>JÖNKÖPING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59312-2022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44904</v>
      </c>
      <c r="E743" s="1" t="n">
        <v>46324</v>
      </c>
      <c r="F743" t="inlineStr">
        <is>
          <t>JÖNKÖPINGS LÄN</t>
        </is>
      </c>
      <c r="G743" t="inlineStr">
        <is>
          <t>JÖNKÖPING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44575</v>
      </c>
      <c r="E744" s="1" t="n">
        <v>46324</v>
      </c>
      <c r="F744" t="inlineStr">
        <is>
          <t>JÖNKÖPINGS LÄN</t>
        </is>
      </c>
      <c r="G744" t="inlineStr">
        <is>
          <t>JÖNKÖPING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60829-2023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45260</v>
      </c>
      <c r="E745" s="1" t="n">
        <v>46324</v>
      </c>
      <c r="F745" t="inlineStr">
        <is>
          <t>JÖNKÖPINGS LÄN</t>
        </is>
      </c>
      <c r="G745" t="inlineStr">
        <is>
          <t>JÖNKÖPING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38337-2026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46282</v>
      </c>
      <c r="E746" s="1" t="n">
        <v>46324</v>
      </c>
      <c r="F746" t="inlineStr">
        <is>
          <t>JÖNKÖPINGS LÄN</t>
        </is>
      </c>
      <c r="G746" t="inlineStr">
        <is>
          <t>JÖNKÖPING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6893-2025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45701</v>
      </c>
      <c r="E747" s="1" t="n">
        <v>46324</v>
      </c>
      <c r="F747" t="inlineStr">
        <is>
          <t>JÖNKÖPINGS LÄN</t>
        </is>
      </c>
      <c r="G747" t="inlineStr">
        <is>
          <t>JÖNKÖPING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45008</v>
      </c>
      <c r="E748" s="1" t="n">
        <v>46324</v>
      </c>
      <c r="F748" t="inlineStr">
        <is>
          <t>JÖNKÖPINGS LÄN</t>
        </is>
      </c>
      <c r="G748" t="inlineStr">
        <is>
          <t>JÖNKÖPING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29091-2023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45105</v>
      </c>
      <c r="E749" s="1" t="n">
        <v>46324</v>
      </c>
      <c r="F749" t="inlineStr">
        <is>
          <t>JÖNKÖPINGS LÄN</t>
        </is>
      </c>
      <c r="G749" t="inlineStr">
        <is>
          <t>JÖNKÖPING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45474</v>
      </c>
      <c r="E750" s="1" t="n">
        <v>46324</v>
      </c>
      <c r="F750" t="inlineStr">
        <is>
          <t>JÖNKÖPINGS LÄN</t>
        </is>
      </c>
      <c r="G750" t="inlineStr">
        <is>
          <t>JÖNKÖPING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32840-2023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45124</v>
      </c>
      <c r="E751" s="1" t="n">
        <v>46324</v>
      </c>
      <c r="F751" t="inlineStr">
        <is>
          <t>JÖNKÖPINGS LÄN</t>
        </is>
      </c>
      <c r="G751" t="inlineStr">
        <is>
          <t>JÖNKÖPING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17928-2025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45759</v>
      </c>
      <c r="E752" s="1" t="n">
        <v>46324</v>
      </c>
      <c r="F752" t="inlineStr">
        <is>
          <t>JÖNKÖPINGS LÄN</t>
        </is>
      </c>
      <c r="G752" t="inlineStr">
        <is>
          <t>JÖNKÖPING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19661-2023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45051</v>
      </c>
      <c r="E753" s="1" t="n">
        <v>46324</v>
      </c>
      <c r="F753" t="inlineStr">
        <is>
          <t>JÖNKÖPINGS LÄN</t>
        </is>
      </c>
      <c r="G753" t="inlineStr">
        <is>
          <t>JÖNKÖPING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3112-2024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45316</v>
      </c>
      <c r="E754" s="1" t="n">
        <v>46324</v>
      </c>
      <c r="F754" t="inlineStr">
        <is>
          <t>JÖNKÖPINGS LÄN</t>
        </is>
      </c>
      <c r="G754" t="inlineStr">
        <is>
          <t>JÖNKÖPING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44631</v>
      </c>
      <c r="E755" s="1" t="n">
        <v>46324</v>
      </c>
      <c r="F755" t="inlineStr">
        <is>
          <t>JÖNKÖPINGS LÄN</t>
        </is>
      </c>
      <c r="G755" t="inlineStr">
        <is>
          <t>JÖNKÖPING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46262</v>
      </c>
      <c r="E756" s="1" t="n">
        <v>46324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39650-2024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45552</v>
      </c>
      <c r="E757" s="1" t="n">
        <v>46324</v>
      </c>
      <c r="F757" t="inlineStr">
        <is>
          <t>JÖNKÖPINGS LÄN</t>
        </is>
      </c>
      <c r="G757" t="inlineStr">
        <is>
          <t>JÖNKÖPING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42014-2026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46303</v>
      </c>
      <c r="E758" s="1" t="n">
        <v>46324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35776-2026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46265</v>
      </c>
      <c r="E759" s="1" t="n">
        <v>46324</v>
      </c>
      <c r="F759" t="inlineStr">
        <is>
          <t>JÖNKÖPINGS LÄN</t>
        </is>
      </c>
      <c r="G759" t="inlineStr">
        <is>
          <t>JÖNKÖPING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42437-2026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46308</v>
      </c>
      <c r="E760" s="1" t="n">
        <v>46324</v>
      </c>
      <c r="F760" t="inlineStr">
        <is>
          <t>JÖNKÖPINGS LÄN</t>
        </is>
      </c>
      <c r="G760" t="inlineStr">
        <is>
          <t>JÖNKÖPING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42440-2026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46308</v>
      </c>
      <c r="E761" s="1" t="n">
        <v>46324</v>
      </c>
      <c r="F761" t="inlineStr">
        <is>
          <t>JÖNKÖPINGS LÄN</t>
        </is>
      </c>
      <c r="G761" t="inlineStr">
        <is>
          <t>JÖNKÖPING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42436-2026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46308</v>
      </c>
      <c r="E762" s="1" t="n">
        <v>46324</v>
      </c>
      <c r="F762" t="inlineStr">
        <is>
          <t>JÖNKÖPINGS LÄN</t>
        </is>
      </c>
      <c r="G762" t="inlineStr">
        <is>
          <t>JÖNKÖPING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45169</v>
      </c>
      <c r="E763" s="1" t="n">
        <v>46324</v>
      </c>
      <c r="F763" t="inlineStr">
        <is>
          <t>JÖNKÖPINGS LÄN</t>
        </is>
      </c>
      <c r="G763" t="inlineStr">
        <is>
          <t>JÖNKÖPING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3364-2025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45679</v>
      </c>
      <c r="E764" s="1" t="n">
        <v>46324</v>
      </c>
      <c r="F764" t="inlineStr">
        <is>
          <t>JÖNKÖPINGS LÄN</t>
        </is>
      </c>
      <c r="G764" t="inlineStr">
        <is>
          <t>JÖNKÖPING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46308</v>
      </c>
      <c r="E765" s="1" t="n">
        <v>46324</v>
      </c>
      <c r="F765" t="inlineStr">
        <is>
          <t>JÖNKÖPINGS LÄN</t>
        </is>
      </c>
      <c r="G765" t="inlineStr">
        <is>
          <t>JÖNKÖPING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42803-2026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46309</v>
      </c>
      <c r="E766" s="1" t="n">
        <v>46324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36341-2026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46268</v>
      </c>
      <c r="E767" s="1" t="n">
        <v>46324</v>
      </c>
      <c r="F767" t="inlineStr">
        <is>
          <t>JÖNKÖPINGS LÄN</t>
        </is>
      </c>
      <c r="G767" t="inlineStr">
        <is>
          <t>JÖNKÖPING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62332-2022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44923</v>
      </c>
      <c r="E768" s="1" t="n">
        <v>46324</v>
      </c>
      <c r="F768" t="inlineStr">
        <is>
          <t>JÖNKÖPINGS LÄN</t>
        </is>
      </c>
      <c r="G768" t="inlineStr">
        <is>
          <t>JÖNKÖPING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18774-2025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45764</v>
      </c>
      <c r="E769" s="1" t="n">
        <v>46324</v>
      </c>
      <c r="F769" t="inlineStr">
        <is>
          <t>JÖNKÖPINGS LÄN</t>
        </is>
      </c>
      <c r="G769" t="inlineStr">
        <is>
          <t>JÖNKÖPING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902-2024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45300</v>
      </c>
      <c r="E770" s="1" t="n">
        <v>46324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42915-2026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46310</v>
      </c>
      <c r="E771" s="1" t="n">
        <v>46324</v>
      </c>
      <c r="F771" t="inlineStr">
        <is>
          <t>JÖNKÖPINGS LÄN</t>
        </is>
      </c>
      <c r="G771" t="inlineStr">
        <is>
          <t>JÖNKÖPING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46324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46324</v>
      </c>
      <c r="F773" t="inlineStr">
        <is>
          <t>JÖNKÖPINGS LÄN</t>
        </is>
      </c>
      <c r="G773" t="inlineStr">
        <is>
          <t>JÖNKÖPING</t>
        </is>
      </c>
      <c r="I773" t="n">
        <v>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45681</v>
      </c>
      <c r="E774" s="1" t="n">
        <v>46324</v>
      </c>
      <c r="F774" t="inlineStr">
        <is>
          <t>JÖNKÖPINGS LÄN</t>
        </is>
      </c>
      <c r="G774" t="inlineStr">
        <is>
          <t>JÖNKÖPING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38910-2026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46286</v>
      </c>
      <c r="E775" s="1" t="n">
        <v>46324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46272</v>
      </c>
      <c r="E776" s="1" t="n">
        <v>46324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36774-2026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46272</v>
      </c>
      <c r="E777" s="1" t="n">
        <v>46324</v>
      </c>
      <c r="F777" t="inlineStr">
        <is>
          <t>JÖNKÖPINGS LÄN</t>
        </is>
      </c>
      <c r="G777" t="inlineStr">
        <is>
          <t>JÖNKÖPING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15384-2022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44659</v>
      </c>
      <c r="E778" s="1" t="n">
        <v>46324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36617-2026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46270</v>
      </c>
      <c r="E779" s="1" t="n">
        <v>46324</v>
      </c>
      <c r="F779" t="inlineStr">
        <is>
          <t>JÖNKÖPINGS LÄN</t>
        </is>
      </c>
      <c r="G779" t="inlineStr">
        <is>
          <t>JÖNKÖPING</t>
        </is>
      </c>
      <c r="I779" t="n">
        <v>7.8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46272</v>
      </c>
      <c r="E780" s="1" t="n">
        <v>46324</v>
      </c>
      <c r="F780" t="inlineStr">
        <is>
          <t>JÖNKÖPINGS LÄN</t>
        </is>
      </c>
      <c r="G780" t="inlineStr">
        <is>
          <t>JÖNKÖPING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23783-2024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45455</v>
      </c>
      <c r="E781" s="1" t="n">
        <v>46324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56131-2022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44889</v>
      </c>
      <c r="E782" s="1" t="n">
        <v>46324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38904-2026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46324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36781-2026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46272</v>
      </c>
      <c r="E784" s="1" t="n">
        <v>46324</v>
      </c>
      <c r="F784" t="inlineStr">
        <is>
          <t>JÖNKÖPINGS LÄN</t>
        </is>
      </c>
      <c r="G784" t="inlineStr">
        <is>
          <t>JÖNKÖPING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46272</v>
      </c>
      <c r="E785" s="1" t="n">
        <v>46324</v>
      </c>
      <c r="F785" t="inlineStr">
        <is>
          <t>JÖNKÖPINGS LÄN</t>
        </is>
      </c>
      <c r="G785" t="inlineStr">
        <is>
          <t>JÖNKÖPING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43634-2026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46315</v>
      </c>
      <c r="E786" s="1" t="n">
        <v>46324</v>
      </c>
      <c r="F786" t="inlineStr">
        <is>
          <t>JÖNKÖPINGS LÄN</t>
        </is>
      </c>
      <c r="G786" t="inlineStr">
        <is>
          <t>JÖNKÖPING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48308-2022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44853</v>
      </c>
      <c r="E787" s="1" t="n">
        <v>46324</v>
      </c>
      <c r="F787" t="inlineStr">
        <is>
          <t>JÖNKÖPINGS LÄN</t>
        </is>
      </c>
      <c r="G787" t="inlineStr">
        <is>
          <t>JÖNKÖPING</t>
        </is>
      </c>
      <c r="I787" t="n">
        <v>5.5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43898-2026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46317</v>
      </c>
      <c r="E788" s="1" t="n">
        <v>46324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15407-2024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45401</v>
      </c>
      <c r="E789" s="1" t="n">
        <v>46324</v>
      </c>
      <c r="F789" t="inlineStr">
        <is>
          <t>JÖNKÖPINGS LÄN</t>
        </is>
      </c>
      <c r="G789" t="inlineStr">
        <is>
          <t>JÖNKÖPING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10563-2023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44988</v>
      </c>
      <c r="E790" s="1" t="n">
        <v>46324</v>
      </c>
      <c r="F790" t="inlineStr">
        <is>
          <t>JÖNKÖPINGS LÄN</t>
        </is>
      </c>
      <c r="G790" t="inlineStr">
        <is>
          <t>JÖNKÖPING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27012-2024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45471</v>
      </c>
      <c r="E791" s="1" t="n">
        <v>46324</v>
      </c>
      <c r="F791" t="inlineStr">
        <is>
          <t>JÖNKÖPINGS LÄN</t>
        </is>
      </c>
      <c r="G791" t="inlineStr">
        <is>
          <t>JÖNKÖPING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46738-2023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45198</v>
      </c>
      <c r="E792" s="1" t="n">
        <v>46324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43910-2026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46317</v>
      </c>
      <c r="E793" s="1" t="n">
        <v>46324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43904-2026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46317</v>
      </c>
      <c r="E794" s="1" t="n">
        <v>46324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45364</v>
      </c>
      <c r="E795" s="1" t="n">
        <v>46324</v>
      </c>
      <c r="F795" t="inlineStr">
        <is>
          <t>JÖNKÖPINGS LÄN</t>
        </is>
      </c>
      <c r="G795" t="inlineStr">
        <is>
          <t>JÖNKÖPING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43914-2026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46317</v>
      </c>
      <c r="E796" s="1" t="n">
        <v>46324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Sveaskog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44003-2023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46324</v>
      </c>
      <c r="F797" t="inlineStr">
        <is>
          <t>JÖNKÖPINGS LÄN</t>
        </is>
      </c>
      <c r="G797" t="inlineStr">
        <is>
          <t>JÖNKÖPING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8809-2024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45356</v>
      </c>
      <c r="E798" s="1" t="n">
        <v>46324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37316-2026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46274</v>
      </c>
      <c r="E799" s="1" t="n">
        <v>46324</v>
      </c>
      <c r="F799" t="inlineStr">
        <is>
          <t>JÖNKÖPINGS LÄN</t>
        </is>
      </c>
      <c r="G799" t="inlineStr">
        <is>
          <t>JÖNKÖPING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36940-2026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46273</v>
      </c>
      <c r="E800" s="1" t="n">
        <v>46324</v>
      </c>
      <c r="F800" t="inlineStr">
        <is>
          <t>JÖNKÖPINGS LÄN</t>
        </is>
      </c>
      <c r="G800" t="inlineStr">
        <is>
          <t>JÖNKÖPING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45181</v>
      </c>
      <c r="E801" s="1" t="n">
        <v>46324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54451-2022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44882</v>
      </c>
      <c r="E802" s="1" t="n">
        <v>46324</v>
      </c>
      <c r="F802" t="inlineStr">
        <is>
          <t>JÖNKÖPINGS LÄN</t>
        </is>
      </c>
      <c r="G802" t="inlineStr">
        <is>
          <t>JÖNKÖPING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43679-2026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46316</v>
      </c>
      <c r="E803" s="1" t="n">
        <v>46324</v>
      </c>
      <c r="F803" t="inlineStr">
        <is>
          <t>JÖNKÖPINGS LÄN</t>
        </is>
      </c>
      <c r="G803" t="inlineStr">
        <is>
          <t>JÖNKÖPING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6428-2023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44965</v>
      </c>
      <c r="E804" s="1" t="n">
        <v>46324</v>
      </c>
      <c r="F804" t="inlineStr">
        <is>
          <t>JÖNKÖPINGS LÄN</t>
        </is>
      </c>
      <c r="G804" t="inlineStr">
        <is>
          <t>JÖNKÖPING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43900-2026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46317</v>
      </c>
      <c r="E805" s="1" t="n">
        <v>46324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46317</v>
      </c>
      <c r="E806" s="1" t="n">
        <v>46324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16072-2025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45749</v>
      </c>
      <c r="E807" s="1" t="n">
        <v>46324</v>
      </c>
      <c r="F807" t="inlineStr">
        <is>
          <t>JÖNKÖPINGS LÄN</t>
        </is>
      </c>
      <c r="G807" t="inlineStr">
        <is>
          <t>JÖNKÖPING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44251-2026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46318</v>
      </c>
      <c r="E808" s="1" t="n">
        <v>46324</v>
      </c>
      <c r="F808" t="inlineStr">
        <is>
          <t>JÖNKÖPINGS LÄN</t>
        </is>
      </c>
      <c r="G808" t="inlineStr">
        <is>
          <t>JÖNKÖPING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46324</v>
      </c>
      <c r="F809" t="inlineStr">
        <is>
          <t>JÖNKÖPINGS LÄN</t>
        </is>
      </c>
      <c r="G809" t="inlineStr">
        <is>
          <t>JÖNKÖPING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13691-2022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44648</v>
      </c>
      <c r="E810" s="1" t="n">
        <v>46324</v>
      </c>
      <c r="F810" t="inlineStr">
        <is>
          <t>JÖNKÖPINGS LÄN</t>
        </is>
      </c>
      <c r="G810" t="inlineStr">
        <is>
          <t>JÖNKÖPING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37555-2026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46276</v>
      </c>
      <c r="E811" s="1" t="n">
        <v>46324</v>
      </c>
      <c r="F811" t="inlineStr">
        <is>
          <t>JÖNKÖPINGS LÄN</t>
        </is>
      </c>
      <c r="G811" t="inlineStr">
        <is>
          <t>JÖNKÖPING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44253-2026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46318</v>
      </c>
      <c r="E812" s="1" t="n">
        <v>46324</v>
      </c>
      <c r="F812" t="inlineStr">
        <is>
          <t>JÖNKÖPINGS LÄN</t>
        </is>
      </c>
      <c r="G812" t="inlineStr">
        <is>
          <t>JÖNKÖPING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45406-2023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45194</v>
      </c>
      <c r="E813" s="1" t="n">
        <v>46324</v>
      </c>
      <c r="F813" t="inlineStr">
        <is>
          <t>JÖNKÖPINGS LÄN</t>
        </is>
      </c>
      <c r="G813" t="inlineStr">
        <is>
          <t>JÖNKÖPING</t>
        </is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18604-2025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45763</v>
      </c>
      <c r="E814" s="1" t="n">
        <v>46324</v>
      </c>
      <c r="F814" t="inlineStr">
        <is>
          <t>JÖNKÖPINGS LÄN</t>
        </is>
      </c>
      <c r="G814" t="inlineStr">
        <is>
          <t>JÖNKÖPING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44943</v>
      </c>
      <c r="E815" s="1" t="n">
        <v>46324</v>
      </c>
      <c r="F815" t="inlineStr">
        <is>
          <t>JÖNKÖPINGS LÄN</t>
        </is>
      </c>
      <c r="G815" t="inlineStr">
        <is>
          <t>JÖNKÖPING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44943</v>
      </c>
      <c r="E816" s="1" t="n">
        <v>46324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47427-2024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46324</v>
      </c>
      <c r="F817" t="inlineStr">
        <is>
          <t>JÖNKÖPINGS LÄN</t>
        </is>
      </c>
      <c r="G817" t="inlineStr">
        <is>
          <t>JÖNKÖPING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38654-2026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46281</v>
      </c>
      <c r="E818" s="1" t="n">
        <v>46324</v>
      </c>
      <c r="F818" t="inlineStr">
        <is>
          <t>JÖNKÖPINGS LÄN</t>
        </is>
      </c>
      <c r="G818" t="inlineStr">
        <is>
          <t>JÖNKÖPING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60284-2024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45642</v>
      </c>
      <c r="E819" s="1" t="n">
        <v>46324</v>
      </c>
      <c r="F819" t="inlineStr">
        <is>
          <t>JÖNKÖPINGS LÄN</t>
        </is>
      </c>
      <c r="G819" t="inlineStr">
        <is>
          <t>JÖNKÖPING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13061-2025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45734</v>
      </c>
      <c r="E820" s="1" t="n">
        <v>46324</v>
      </c>
      <c r="F820" t="inlineStr">
        <is>
          <t>JÖNKÖPINGS LÄN</t>
        </is>
      </c>
      <c r="G820" t="inlineStr">
        <is>
          <t>JÖNKÖPING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44761-2026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46322</v>
      </c>
      <c r="E821" s="1" t="n">
        <v>46324</v>
      </c>
      <c r="F821" t="inlineStr">
        <is>
          <t>JÖNKÖPINGS LÄN</t>
        </is>
      </c>
      <c r="G821" t="inlineStr">
        <is>
          <t>JÖNKÖPING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44767-2026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46322</v>
      </c>
      <c r="E822" s="1" t="n">
        <v>46324</v>
      </c>
      <c r="F822" t="inlineStr">
        <is>
          <t>JÖNKÖPINGS LÄN</t>
        </is>
      </c>
      <c r="G822" t="inlineStr">
        <is>
          <t>JÖNKÖPING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44826-2026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46323</v>
      </c>
      <c r="E823" s="1" t="n">
        <v>46324</v>
      </c>
      <c r="F823" t="inlineStr">
        <is>
          <t>JÖNKÖPINGS LÄN</t>
        </is>
      </c>
      <c r="G823" t="inlineStr">
        <is>
          <t>JÖNKÖPING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37707-2026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46279</v>
      </c>
      <c r="E824" s="1" t="n">
        <v>46324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Sveaskog</t>
        </is>
      </c>
      <c r="I824" t="n">
        <v>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18606-2023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45043</v>
      </c>
      <c r="E825" s="1" t="n">
        <v>46324</v>
      </c>
      <c r="F825" t="inlineStr">
        <is>
          <t>JÖNKÖPINGS LÄN</t>
        </is>
      </c>
      <c r="G825" t="inlineStr">
        <is>
          <t>JÖNKÖPING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42927-2026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46310</v>
      </c>
      <c r="E826" s="1" t="n">
        <v>46324</v>
      </c>
      <c r="F826" t="inlineStr">
        <is>
          <t>JÖNKÖPINGS LÄN</t>
        </is>
      </c>
      <c r="G826" t="inlineStr">
        <is>
          <t>JÖNKÖPING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14112-2024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45392</v>
      </c>
      <c r="E827" s="1" t="n">
        <v>46324</v>
      </c>
      <c r="F827" t="inlineStr">
        <is>
          <t>JÖNKÖPINGS LÄN</t>
        </is>
      </c>
      <c r="G827" t="inlineStr">
        <is>
          <t>JÖNKÖPING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46279</v>
      </c>
      <c r="E828" s="1" t="n">
        <v>46324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37883-2026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46279</v>
      </c>
      <c r="E829" s="1" t="n">
        <v>46324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37889-2026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46279</v>
      </c>
      <c r="E830" s="1" t="n">
        <v>46324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Sveaskog</t>
        </is>
      </c>
      <c r="I830" t="n">
        <v>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46279</v>
      </c>
      <c r="E831" s="1" t="n">
        <v>46324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62909-2023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45271</v>
      </c>
      <c r="E832" s="1" t="n">
        <v>46324</v>
      </c>
      <c r="F832" t="inlineStr">
        <is>
          <t>JÖNKÖPINGS LÄN</t>
        </is>
      </c>
      <c r="G832" t="inlineStr">
        <is>
          <t>JÖNKÖPING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33674-2026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46248</v>
      </c>
      <c r="E833" s="1" t="n">
        <v>46324</v>
      </c>
      <c r="F833" t="inlineStr">
        <is>
          <t>JÖNKÖPINGS LÄN</t>
        </is>
      </c>
      <c r="G833" t="inlineStr">
        <is>
          <t>JÖNKÖPING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44745-2026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46322</v>
      </c>
      <c r="E834" s="1" t="n">
        <v>46324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50173-2023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45215</v>
      </c>
      <c r="E835" s="1" t="n">
        <v>46324</v>
      </c>
      <c r="F835" t="inlineStr">
        <is>
          <t>JÖNKÖPINGS LÄN</t>
        </is>
      </c>
      <c r="G835" t="inlineStr">
        <is>
          <t>JÖNKÖPING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36189-2022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44803</v>
      </c>
      <c r="E836" s="1" t="n">
        <v>46324</v>
      </c>
      <c r="F836" t="inlineStr">
        <is>
          <t>JÖNKÖPINGS LÄN</t>
        </is>
      </c>
      <c r="G836" t="inlineStr">
        <is>
          <t>JÖNKÖPING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2364-2025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45673</v>
      </c>
      <c r="E837" s="1" t="n">
        <v>46324</v>
      </c>
      <c r="F837" t="inlineStr">
        <is>
          <t>JÖNKÖPINGS LÄN</t>
        </is>
      </c>
      <c r="G837" t="inlineStr">
        <is>
          <t>JÖNKÖPING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45313</v>
      </c>
      <c r="E838" s="1" t="n">
        <v>46324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84.90000000000001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1870-2022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44658</v>
      </c>
      <c r="E839" s="1" t="n">
        <v>46324</v>
      </c>
      <c r="F839" t="inlineStr">
        <is>
          <t>JÖNKÖPINGS LÄN</t>
        </is>
      </c>
      <c r="G839" t="inlineStr">
        <is>
          <t>JÖNKÖPING</t>
        </is>
      </c>
      <c r="I839" t="n">
        <v>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884-2022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44607</v>
      </c>
      <c r="E840" s="1" t="n">
        <v>46324</v>
      </c>
      <c r="F840" t="inlineStr">
        <is>
          <t>JÖNKÖPINGS LÄN</t>
        </is>
      </c>
      <c r="G840" t="inlineStr">
        <is>
          <t>JÖNKÖPING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2480-2023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45131</v>
      </c>
      <c r="E841" s="1" t="n">
        <v>46324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Kyrkan</t>
        </is>
      </c>
      <c r="I841" t="n">
        <v>66.7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589-2022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44593</v>
      </c>
      <c r="E842" s="1" t="n">
        <v>46324</v>
      </c>
      <c r="F842" t="inlineStr">
        <is>
          <t>JÖNKÖPINGS LÄN</t>
        </is>
      </c>
      <c r="G842" t="inlineStr">
        <is>
          <t>JÖNKÖPING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9015-2021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44510</v>
      </c>
      <c r="E843" s="1" t="n">
        <v>46324</v>
      </c>
      <c r="F843" t="inlineStr">
        <is>
          <t>JÖNKÖPINGS LÄN</t>
        </is>
      </c>
      <c r="G843" t="inlineStr">
        <is>
          <t>JÖNKÖPING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274-2023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44956</v>
      </c>
      <c r="E844" s="1" t="n">
        <v>46324</v>
      </c>
      <c r="F844" t="inlineStr">
        <is>
          <t>JÖNKÖPINGS LÄN</t>
        </is>
      </c>
      <c r="G844" t="inlineStr">
        <is>
          <t>JÖNKÖPING</t>
        </is>
      </c>
      <c r="H844" t="inlineStr">
        <is>
          <t>Sveaskog</t>
        </is>
      </c>
      <c r="I844" t="n">
        <v>50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1347-2024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45407</v>
      </c>
      <c r="E845" s="1" t="n">
        <v>46324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Övriga Aktiebolag</t>
        </is>
      </c>
      <c r="I845" t="n">
        <v>40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324-2024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45327</v>
      </c>
      <c r="E846" s="1" t="n">
        <v>46324</v>
      </c>
      <c r="F846" t="inlineStr">
        <is>
          <t>JÖNKÖPINGS LÄN</t>
        </is>
      </c>
      <c r="G846" t="inlineStr">
        <is>
          <t>JÖNKÖPING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2909-2022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44711</v>
      </c>
      <c r="E847" s="1" t="n">
        <v>46324</v>
      </c>
      <c r="F847" t="inlineStr">
        <is>
          <t>JÖNKÖPINGS LÄN</t>
        </is>
      </c>
      <c r="G847" t="inlineStr">
        <is>
          <t>JÖNKÖPING</t>
        </is>
      </c>
      <c r="I847" t="n">
        <v>11.2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3979-2022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44753</v>
      </c>
      <c r="E848" s="1" t="n">
        <v>46324</v>
      </c>
      <c r="F848" t="inlineStr">
        <is>
          <t>JÖNKÖPINGS LÄN</t>
        </is>
      </c>
      <c r="G848" t="inlineStr">
        <is>
          <t>JÖNKÖPING</t>
        </is>
      </c>
      <c r="I848" t="n">
        <v>55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893-2023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44998</v>
      </c>
      <c r="E849" s="1" t="n">
        <v>46324</v>
      </c>
      <c r="F849" t="inlineStr">
        <is>
          <t>JÖNKÖPINGS LÄN</t>
        </is>
      </c>
      <c r="G849" t="inlineStr">
        <is>
          <t>JÖNKÖPING</t>
        </is>
      </c>
      <c r="I849" t="n">
        <v>129.2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1566-2025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45794</v>
      </c>
      <c r="E850" s="1" t="n">
        <v>46324</v>
      </c>
      <c r="F850" t="inlineStr">
        <is>
          <t>JÖNKÖPINGS LÄN</t>
        </is>
      </c>
      <c r="G850" t="inlineStr">
        <is>
          <t>JÖNKÖPING</t>
        </is>
      </c>
      <c r="I850" t="n">
        <v>24.3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1618-2025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45798</v>
      </c>
      <c r="E851" s="1" t="n">
        <v>46324</v>
      </c>
      <c r="F851" t="inlineStr">
        <is>
          <t>JÖNKÖPINGS LÄN</t>
        </is>
      </c>
      <c r="G851" t="inlineStr">
        <is>
          <t>JÖNKÖPING</t>
        </is>
      </c>
      <c r="I851" t="n">
        <v>20.6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581-2025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45712</v>
      </c>
      <c r="E852" s="1" t="n">
        <v>46324</v>
      </c>
      <c r="F852" t="inlineStr">
        <is>
          <t>JÖNKÖPINGS LÄN</t>
        </is>
      </c>
      <c r="G852" t="inlineStr">
        <is>
          <t>JÖNKÖPING</t>
        </is>
      </c>
      <c r="I852" t="n">
        <v>11.8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  <c r="Z852">
        <f>HYPERLINK("https://klasma.github.io/Logging_0680/knärot/S 581-2025 karta knärot.png", "S 581-2025")</f>
        <v/>
      </c>
      <c r="AA852">
        <f>HYPERLINK("https://klasma.github.io/Logging_0680/klagomål/S 581-2025 FSC-klagomål.docx", "S 581-2025")</f>
        <v/>
      </c>
      <c r="AB852">
        <f>HYPERLINK("https://klasma.github.io/Logging_0680/klagomålsmail/S 581-2025 FSC-klagomål mail.docx", "S 581-2025")</f>
        <v/>
      </c>
      <c r="AC852">
        <f>HYPERLINK("https://klasma.github.io/Logging_0680/tillsyn/S 581-2025 tillsynsbegäran.docx", "S 581-2025")</f>
        <v/>
      </c>
      <c r="AD852">
        <f>HYPERLINK("https://klasma.github.io/Logging_0680/tillsynsmail/S 581-2025 tillsynsbegäran mail.docx", "S 581-2025")</f>
        <v/>
      </c>
    </row>
    <row r="853" ht="15" customHeight="1">
      <c r="A853" t="inlineStr">
        <is>
          <t>S 1610-2025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45798</v>
      </c>
      <c r="E853" s="1" t="n">
        <v>46324</v>
      </c>
      <c r="F853" t="inlineStr">
        <is>
          <t>JÖNKÖPINGS LÄN</t>
        </is>
      </c>
      <c r="G853" t="inlineStr">
        <is>
          <t>JÖNKÖPING</t>
        </is>
      </c>
      <c r="I853" t="n">
        <v>65.3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577-2025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45712</v>
      </c>
      <c r="E854" s="1" t="n">
        <v>46324</v>
      </c>
      <c r="F854" t="inlineStr">
        <is>
          <t>JÖNKÖPINGS LÄN</t>
        </is>
      </c>
      <c r="G854" t="inlineStr">
        <is>
          <t>JÖNKÖPING</t>
        </is>
      </c>
      <c r="I854" t="n">
        <v>39.5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1803-2025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45817</v>
      </c>
      <c r="E855" s="1" t="n">
        <v>46324</v>
      </c>
      <c r="F855" t="inlineStr">
        <is>
          <t>JÖNKÖPINGS LÄN</t>
        </is>
      </c>
      <c r="G855" t="inlineStr">
        <is>
          <t>JÖNKÖPING</t>
        </is>
      </c>
      <c r="H855" t="inlineStr">
        <is>
          <t>Kommuner</t>
        </is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2245-2025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45870</v>
      </c>
      <c r="E856" s="1" t="n">
        <v>46324</v>
      </c>
      <c r="F856" t="inlineStr">
        <is>
          <t>JÖNKÖPINGS LÄN</t>
        </is>
      </c>
      <c r="G856" t="inlineStr">
        <is>
          <t>JÖNKÖPING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3374-2025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45994</v>
      </c>
      <c r="E857" s="1" t="n">
        <v>46324</v>
      </c>
      <c r="F857" t="inlineStr">
        <is>
          <t>JÖNKÖPINGS LÄN</t>
        </is>
      </c>
      <c r="G857" t="inlineStr">
        <is>
          <t>JÖNKÖPING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180-2026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46047</v>
      </c>
      <c r="E858" s="1" t="n">
        <v>46324</v>
      </c>
      <c r="F858" t="inlineStr">
        <is>
          <t>JÖNKÖPINGS LÄN</t>
        </is>
      </c>
      <c r="G858" t="inlineStr">
        <is>
          <t>JÖNKÖPING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2641-2026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46304</v>
      </c>
      <c r="E859" s="1" t="n">
        <v>46324</v>
      </c>
      <c r="F859" t="inlineStr">
        <is>
          <t>JÖNKÖPINGS LÄN</t>
        </is>
      </c>
      <c r="G859" t="inlineStr">
        <is>
          <t>JÖNKÖPING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2026-10-29T03:11:31Z</dcterms:created>
  <dcterms:modified xmlns:dcterms="http://purl.org/dc/terms/" xmlns:xsi="http://www.w3.org/2001/XMLSchema-instance" xsi:type="dcterms:W3CDTF">2026-10-29T03:11:32Z</dcterms:modified>
</cp:coreProperties>
</file>