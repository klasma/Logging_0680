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46284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46284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46284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46284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46284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46284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46284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46284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46284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46284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46284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46284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46284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46284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46284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46284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46284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S 2418-2026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46280</v>
      </c>
      <c r="E23" s="1" t="n">
        <v>46284</v>
      </c>
      <c r="F23" t="inlineStr">
        <is>
          <t>JÖNKÖPINGS LÄN</t>
        </is>
      </c>
      <c r="G23" t="inlineStr">
        <is>
          <t>JÖNKÖPING</t>
        </is>
      </c>
      <c r="I23" t="n">
        <v>8.699999999999999</v>
      </c>
      <c r="J23" t="n">
        <v>0</v>
      </c>
      <c r="K23" t="n">
        <v>3</v>
      </c>
      <c r="L23" t="n">
        <v>1</v>
      </c>
      <c r="M23" t="n">
        <v>0</v>
      </c>
      <c r="N23" t="n">
        <v>2</v>
      </c>
      <c r="O23" t="n">
        <v>0</v>
      </c>
      <c r="P23" t="n">
        <v>0</v>
      </c>
      <c r="Q23" t="n">
        <v>3</v>
      </c>
      <c r="R23" t="n">
        <v>2</v>
      </c>
      <c r="S23" t="n">
        <v>6</v>
      </c>
      <c r="T23" t="n">
        <v>8</v>
      </c>
      <c r="U23" t="n">
        <v>0</v>
      </c>
      <c r="V23" s="2" t="inlineStr">
        <is>
          <t>Almlav
Ask
Hjälmbrosklav
Gulpudrad spiklav
Lönnlav
Rostfläck</t>
        </is>
      </c>
      <c r="W23">
        <f>HYPERLINK("https://klasma.github.io/Logging_0680/artfynd/S 2418-2026 artfynd.xlsx", "S 2418-2026")</f>
        <v/>
      </c>
      <c r="X23">
        <f>HYPERLINK("https://klasma.github.io/Logging_0680/kartor/S 2418-2026 karta.png", "S 2418-2026")</f>
        <v/>
      </c>
      <c r="Y23">
        <f>HYPERLINK("https://klasma.github.io/Logging_0680/kartor_geotiff/S 2418-2026 georefererad karta.tif", "S 2418-2026")</f>
        <v/>
      </c>
      <c r="AA23">
        <f>HYPERLINK("https://klasma.github.io/Logging_0680/klagomål/S 2418-2026 FSC-klagomål.docx", "S 2418-2026")</f>
        <v/>
      </c>
      <c r="AB23">
        <f>HYPERLINK("https://klasma.github.io/Logging_0680/klagomålsmail/S 2418-2026 FSC-klagomål mail.docx", "S 2418-2026")</f>
        <v/>
      </c>
      <c r="AC23">
        <f>HYPERLINK("https://klasma.github.io/Logging_0680/tillsyn/S 2418-2026 tillsynsbegäran.docx", "S 2418-2026")</f>
        <v/>
      </c>
      <c r="AD23">
        <f>HYPERLINK("https://klasma.github.io/Logging_0680/tillsynsmail/S 2418-2026 tillsynsbegäran mail.docx", "S 2418-2026")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46284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46284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46284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46284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46284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46284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46284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46284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46284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46284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46284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46284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46284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46284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46284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21006-2025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45777</v>
      </c>
      <c r="E39" s="1" t="n">
        <v>46284</v>
      </c>
      <c r="F39" t="inlineStr">
        <is>
          <t>JÖNKÖPINGS LÄN</t>
        </is>
      </c>
      <c r="G39" t="inlineStr">
        <is>
          <t>JÖNKÖPING</t>
        </is>
      </c>
      <c r="I39" t="n">
        <v>2.3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Gullpudra
Blåsippa
Spillkråka</t>
        </is>
      </c>
      <c r="W39">
        <f>HYPERLINK("https://klasma.github.io/Logging_0680/artfynd/A 21006-2025 artfynd.xlsx", "A 21006-2025")</f>
        <v/>
      </c>
      <c r="X39">
        <f>HYPERLINK("https://klasma.github.io/Logging_0680/kartor/A 21006-2025 karta.png", "A 21006-2025")</f>
        <v/>
      </c>
      <c r="Y39">
        <f>HYPERLINK("https://klasma.github.io/Logging_0680/kartor_geotiff/A 21006-2025 georefererad karta.tif", "A 21006-2025")</f>
        <v/>
      </c>
      <c r="AA39">
        <f>HYPERLINK("https://klasma.github.io/Logging_0680/klagomål/A 21006-2025 FSC-klagomål.docx", "A 21006-2025")</f>
        <v/>
      </c>
      <c r="AB39">
        <f>HYPERLINK("https://klasma.github.io/Logging_0680/klagomålsmail/A 21006-2025 FSC-klagomål mail.docx", "A 21006-2025")</f>
        <v/>
      </c>
      <c r="AC39">
        <f>HYPERLINK("https://klasma.github.io/Logging_0680/tillsyn/A 21006-2025 tillsynsbegäran.docx", "A 21006-2025")</f>
        <v/>
      </c>
      <c r="AD39">
        <f>HYPERLINK("https://klasma.github.io/Logging_0680/tillsynsmail/A 21006-2025 tillsynsbegäran mail.docx", "A 21006-2025")</f>
        <v/>
      </c>
      <c r="AE39">
        <f>HYPERLINK("https://klasma.github.io/Logging_0680/fåglar/A 21006-2025 prioriterade fågelarter.docx", "A 21006-2025")</f>
        <v/>
      </c>
    </row>
    <row r="40" ht="15" customHeight="1">
      <c r="A40" t="inlineStr">
        <is>
          <t>A 21591-2025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45783</v>
      </c>
      <c r="E40" s="1" t="n">
        <v>46284</v>
      </c>
      <c r="F40" t="inlineStr">
        <is>
          <t>JÖNKÖPINGS LÄN</t>
        </is>
      </c>
      <c r="G40" t="inlineStr">
        <is>
          <t>JÖNKÖPING</t>
        </is>
      </c>
      <c r="I40" t="n">
        <v>4.6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Svinrot
Sotlav
Nattviol</t>
        </is>
      </c>
      <c r="W40">
        <f>HYPERLINK("https://klasma.github.io/Logging_0680/artfynd/A 21591-2025 artfynd.xlsx", "A 21591-2025")</f>
        <v/>
      </c>
      <c r="X40">
        <f>HYPERLINK("https://klasma.github.io/Logging_0680/kartor/A 21591-2025 karta.png", "A 21591-2025")</f>
        <v/>
      </c>
      <c r="Y40">
        <f>HYPERLINK("https://klasma.github.io/Logging_0680/kartor_geotiff/A 21591-2025 georefererad karta.tif", "A 21591-2025")</f>
        <v/>
      </c>
      <c r="AA40">
        <f>HYPERLINK("https://klasma.github.io/Logging_0680/klagomål/A 21591-2025 FSC-klagomål.docx", "A 21591-2025")</f>
        <v/>
      </c>
      <c r="AB40">
        <f>HYPERLINK("https://klasma.github.io/Logging_0680/klagomålsmail/A 21591-2025 FSC-klagomål mail.docx", "A 21591-2025")</f>
        <v/>
      </c>
      <c r="AC40">
        <f>HYPERLINK("https://klasma.github.io/Logging_0680/tillsyn/A 21591-2025 tillsynsbegäran.docx", "A 21591-2025")</f>
        <v/>
      </c>
      <c r="AD40">
        <f>HYPERLINK("https://klasma.github.io/Logging_0680/tillsynsmail/A 21591-2025 tillsynsbegäran mail.docx", "A 21591-2025")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46284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46284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15760-2026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46107</v>
      </c>
      <c r="E43" s="1" t="n">
        <v>46284</v>
      </c>
      <c r="F43" t="inlineStr">
        <is>
          <t>JÖNKÖPINGS LÄN</t>
        </is>
      </c>
      <c r="G43" t="inlineStr">
        <is>
          <t>JÖNKÖPING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17</v>
      </c>
      <c r="U43" t="n">
        <v>0</v>
      </c>
      <c r="V43" s="2" t="inlineStr">
        <is>
          <t>Ask
Skogsalm
Kruskantarell</t>
        </is>
      </c>
      <c r="W43">
        <f>HYPERLINK("https://klasma.github.io/Logging_0680/artfynd/A 15760-2026 artfynd.xlsx", "A 15760-2026")</f>
        <v/>
      </c>
      <c r="X43">
        <f>HYPERLINK("https://klasma.github.io/Logging_0680/kartor/A 15760-2026 karta.png", "A 15760-2026")</f>
        <v/>
      </c>
      <c r="Y43">
        <f>HYPERLINK("https://klasma.github.io/Logging_0680/kartor_geotiff/A 15760-2026 georefererad karta.tif", "A 15760-2026")</f>
        <v/>
      </c>
      <c r="AA43">
        <f>HYPERLINK("https://klasma.github.io/Logging_0680/klagomål/A 15760-2026 FSC-klagomål.docx", "A 15760-2026")</f>
        <v/>
      </c>
      <c r="AB43">
        <f>HYPERLINK("https://klasma.github.io/Logging_0680/klagomålsmail/A 15760-2026 FSC-klagomål mail.docx", "A 15760-2026")</f>
        <v/>
      </c>
      <c r="AC43">
        <f>HYPERLINK("https://klasma.github.io/Logging_0680/tillsyn/A 15760-2026 tillsynsbegäran.docx", "A 15760-2026")</f>
        <v/>
      </c>
      <c r="AD43">
        <f>HYPERLINK("https://klasma.github.io/Logging_0680/tillsynsmail/A 15760-2026 tillsynsbegäran mail.docx", "A 15760-2026")</f>
        <v/>
      </c>
    </row>
    <row r="44" ht="15" customHeight="1">
      <c r="A44" t="inlineStr">
        <is>
          <t>A 41104-2025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46284</v>
      </c>
      <c r="F44" t="inlineStr">
        <is>
          <t>JÖNKÖPINGS LÄN</t>
        </is>
      </c>
      <c r="G44" t="inlineStr">
        <is>
          <t>JÖNKÖPING</t>
        </is>
      </c>
      <c r="I44" t="n">
        <v>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Duvhök
Havsörn
Trana</t>
        </is>
      </c>
      <c r="W44">
        <f>HYPERLINK("https://klasma.github.io/Logging_0680/artfynd/A 41104-2025 artfynd.xlsx", "A 41104-2025")</f>
        <v/>
      </c>
      <c r="X44">
        <f>HYPERLINK("https://klasma.github.io/Logging_0680/kartor/A 41104-2025 karta.png", "A 41104-2025")</f>
        <v/>
      </c>
      <c r="Y44">
        <f>HYPERLINK("https://klasma.github.io/Logging_0680/kartor_geotiff/A 41104-2025 georefererad karta.tif", "A 41104-2025")</f>
        <v/>
      </c>
      <c r="AA44">
        <f>HYPERLINK("https://klasma.github.io/Logging_0680/klagomål/A 41104-2025 FSC-klagomål.docx", "A 41104-2025")</f>
        <v/>
      </c>
      <c r="AB44">
        <f>HYPERLINK("https://klasma.github.io/Logging_0680/klagomålsmail/A 41104-2025 FSC-klagomål mail.docx", "A 41104-2025")</f>
        <v/>
      </c>
      <c r="AC44">
        <f>HYPERLINK("https://klasma.github.io/Logging_0680/tillsyn/A 41104-2025 tillsynsbegäran.docx", "A 41104-2025")</f>
        <v/>
      </c>
      <c r="AD44">
        <f>HYPERLINK("https://klasma.github.io/Logging_0680/tillsynsmail/A 41104-2025 tillsynsbegäran mail.docx", "A 41104-2025")</f>
        <v/>
      </c>
      <c r="AE44">
        <f>HYPERLINK("https://klasma.github.io/Logging_0680/fåglar/A 41104-2025 prioriterade fågelarter.docx", "A 41104-2025")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46284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46284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46284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S 713-2026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46092</v>
      </c>
      <c r="E48" s="1" t="n">
        <v>46284</v>
      </c>
      <c r="F48" t="inlineStr">
        <is>
          <t>JÖNKÖPINGS LÄN</t>
        </is>
      </c>
      <c r="G48" t="inlineStr">
        <is>
          <t>JÖNKÖPING</t>
        </is>
      </c>
      <c r="I48" t="n">
        <v>29.7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Svinrot
Utter
Nattviol</t>
        </is>
      </c>
      <c r="W48">
        <f>HYPERLINK("https://klasma.github.io/Logging_0680/artfynd/S 713-2026 artfynd.xlsx", "S 713-2026")</f>
        <v/>
      </c>
      <c r="X48">
        <f>HYPERLINK("https://klasma.github.io/Logging_0680/kartor/S 713-2026 karta.png", "S 713-2026")</f>
        <v/>
      </c>
      <c r="Y48">
        <f>HYPERLINK("https://klasma.github.io/Logging_0680/kartor_geotiff/S 713-2026 georefererad karta.tif", "S 713-2026")</f>
        <v/>
      </c>
      <c r="AA48">
        <f>HYPERLINK("https://klasma.github.io/Logging_0680/klagomål/S 713-2026 FSC-klagomål.docx", "S 713-2026")</f>
        <v/>
      </c>
      <c r="AB48">
        <f>HYPERLINK("https://klasma.github.io/Logging_0680/klagomålsmail/S 713-2026 FSC-klagomål mail.docx", "S 713-2026")</f>
        <v/>
      </c>
      <c r="AC48">
        <f>HYPERLINK("https://klasma.github.io/Logging_0680/tillsyn/S 713-2026 tillsynsbegäran.docx", "S 713-2026")</f>
        <v/>
      </c>
      <c r="AD48">
        <f>HYPERLINK("https://klasma.github.io/Logging_0680/tillsynsmail/S 713-2026 tillsynsbegäran mail.docx", "S 713-2026")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46284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46284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46284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46284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46284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46284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46284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46284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46284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46284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1235-2024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45302</v>
      </c>
      <c r="E59" s="1" t="n">
        <v>46284</v>
      </c>
      <c r="F59" t="inlineStr">
        <is>
          <t>JÖNKÖPINGS LÄN</t>
        </is>
      </c>
      <c r="G59" t="inlineStr">
        <is>
          <t>JÖNKÖPING</t>
        </is>
      </c>
      <c r="I59" t="n">
        <v>2.8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3</v>
      </c>
      <c r="U59" t="n">
        <v>0</v>
      </c>
      <c r="V59" s="2" t="inlineStr">
        <is>
          <t>Lakritsmusseron
Dropptaggsvamp</t>
        </is>
      </c>
      <c r="W59">
        <f>HYPERLINK("https://klasma.github.io/Logging_0680/artfynd/A 1235-2024 artfynd.xlsx", "A 1235-2024")</f>
        <v/>
      </c>
      <c r="X59">
        <f>HYPERLINK("https://klasma.github.io/Logging_0680/kartor/A 1235-2024 karta.png", "A 1235-2024")</f>
        <v/>
      </c>
      <c r="Y59">
        <f>HYPERLINK("https://klasma.github.io/Logging_0680/kartor_geotiff/A 1235-2024 georefererad karta.tif", "A 1235-2024")</f>
        <v/>
      </c>
      <c r="AA59">
        <f>HYPERLINK("https://klasma.github.io/Logging_0680/klagomål/A 1235-2024 FSC-klagomål.docx", "A 1235-2024")</f>
        <v/>
      </c>
      <c r="AB59">
        <f>HYPERLINK("https://klasma.github.io/Logging_0680/klagomålsmail/A 1235-2024 FSC-klagomål mail.docx", "A 1235-2024")</f>
        <v/>
      </c>
      <c r="AC59">
        <f>HYPERLINK("https://klasma.github.io/Logging_0680/tillsyn/A 1235-2024 tillsynsbegäran.docx", "A 1235-2024")</f>
        <v/>
      </c>
      <c r="AD59">
        <f>HYPERLINK("https://klasma.github.io/Logging_0680/tillsynsmail/A 1235-2024 tillsynsbegäran mail.docx", "A 1235-2024")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46284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46284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46284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46284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46284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46284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46284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9221-2024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46284</v>
      </c>
      <c r="F67" t="inlineStr">
        <is>
          <t>JÖNKÖPINGS LÄN</t>
        </is>
      </c>
      <c r="G67" t="inlineStr">
        <is>
          <t>JÖNKÖPING</t>
        </is>
      </c>
      <c r="I67" t="n">
        <v>4.7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Motaggsvamp
Blomkålssvamp</t>
        </is>
      </c>
      <c r="W67">
        <f>HYPERLINK("https://klasma.github.io/Logging_0680/artfynd/A 9221-2024 artfynd.xlsx", "A 9221-2024")</f>
        <v/>
      </c>
      <c r="X67">
        <f>HYPERLINK("https://klasma.github.io/Logging_0680/kartor/A 9221-2024 karta.png", "A 9221-2024")</f>
        <v/>
      </c>
      <c r="Y67">
        <f>HYPERLINK("https://klasma.github.io/Logging_0680/kartor_geotiff/A 9221-2024 georefererad karta.tif", "A 9221-2024")</f>
        <v/>
      </c>
      <c r="AA67">
        <f>HYPERLINK("https://klasma.github.io/Logging_0680/klagomål/A 9221-2024 FSC-klagomål.docx", "A 9221-2024")</f>
        <v/>
      </c>
      <c r="AB67">
        <f>HYPERLINK("https://klasma.github.io/Logging_0680/klagomålsmail/A 9221-2024 FSC-klagomål mail.docx", "A 9221-2024")</f>
        <v/>
      </c>
      <c r="AC67">
        <f>HYPERLINK("https://klasma.github.io/Logging_0680/tillsyn/A 9221-2024 tillsynsbegäran.docx", "A 9221-2024")</f>
        <v/>
      </c>
      <c r="AD67">
        <f>HYPERLINK("https://klasma.github.io/Logging_0680/tillsynsmail/A 9221-2024 tillsynsbegäran mail.docx", "A 9221-2024")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46284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46284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46284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t="n">
        <v>2</v>
      </c>
      <c r="V70" s="2" t="inlineStr">
        <is>
          <t>Vårärt
Blåsippa</t>
        </is>
      </c>
      <c r="W70">
        <f>HYPERLINK("https://klasma.github.io/Logging_0680/artfynd/A 3361-2025 artfynd.xlsx", "A 3361-2025")</f>
        <v/>
      </c>
      <c r="X70">
        <f>HYPERLINK("https://klasma.github.io/Logging_0680/kartor/A 3361-2025 karta.png", "A 3361-2025")</f>
        <v/>
      </c>
      <c r="Y70">
        <f>HYPERLINK("https://klasma.github.io/Logging_0680/kartor_geotiff/A 3361-2025 georefererad karta.tif", "A 3361-2025")</f>
        <v/>
      </c>
      <c r="AA70">
        <f>HYPERLINK("https://klasma.github.io/Logging_0680/klagomål/A 3361-2025 FSC-klagomål.docx", "A 3361-2025")</f>
        <v/>
      </c>
      <c r="AB70">
        <f>HYPERLINK("https://klasma.github.io/Logging_0680/klagomålsmail/A 3361-2025 FSC-klagomål mail.docx", "A 3361-2025")</f>
        <v/>
      </c>
      <c r="AC70">
        <f>HYPERLINK("https://klasma.github.io/Logging_0680/tillsyn/A 3361-2025 tillsynsbegäran.docx", "A 3361-2025")</f>
        <v/>
      </c>
      <c r="AD70">
        <f>HYPERLINK("https://klasma.github.io/Logging_0680/tillsynsmail/A 3361-2025 tillsynsbegäran mail.docx", "A 3361-2025")</f>
        <v/>
      </c>
    </row>
    <row r="71" ht="15" customHeight="1">
      <c r="A71" t="inlineStr">
        <is>
          <t>A 51183-2024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46284</v>
      </c>
      <c r="F71" t="inlineStr">
        <is>
          <t>JÖNKÖPINGS LÄN</t>
        </is>
      </c>
      <c r="G71" t="inlineStr">
        <is>
          <t>JÖNKÖPING</t>
        </is>
      </c>
      <c r="I71" t="n">
        <v>5.9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Sångsvan
Trana</t>
        </is>
      </c>
      <c r="W71">
        <f>HYPERLINK("https://klasma.github.io/Logging_0680/artfynd/A 51183-2024 artfynd.xlsx", "A 51183-2024")</f>
        <v/>
      </c>
      <c r="X71">
        <f>HYPERLINK("https://klasma.github.io/Logging_0680/kartor/A 51183-2024 karta.png", "A 51183-2024")</f>
        <v/>
      </c>
      <c r="Y71">
        <f>HYPERLINK("https://klasma.github.io/Logging_0680/kartor_geotiff/A 51183-2024 georefererad karta.tif", "A 51183-2024")</f>
        <v/>
      </c>
      <c r="AA71">
        <f>HYPERLINK("https://klasma.github.io/Logging_0680/klagomål/A 51183-2024 FSC-klagomål.docx", "A 51183-2024")</f>
        <v/>
      </c>
      <c r="AB71">
        <f>HYPERLINK("https://klasma.github.io/Logging_0680/klagomålsmail/A 51183-2024 FSC-klagomål mail.docx", "A 51183-2024")</f>
        <v/>
      </c>
      <c r="AC71">
        <f>HYPERLINK("https://klasma.github.io/Logging_0680/tillsyn/A 51183-2024 tillsynsbegäran.docx", "A 51183-2024")</f>
        <v/>
      </c>
      <c r="AD71">
        <f>HYPERLINK("https://klasma.github.io/Logging_0680/tillsynsmail/A 51183-2024 tillsynsbegäran mail.docx", "A 51183-2024")</f>
        <v/>
      </c>
      <c r="AE71">
        <f>HYPERLINK("https://klasma.github.io/Logging_0680/fåglar/A 51183-2024 prioriterade fågelarter.docx", "A 51183-2024")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46284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46284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46284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1134-2024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45393</v>
      </c>
      <c r="E75" s="1" t="n">
        <v>46284</v>
      </c>
      <c r="F75" t="inlineStr">
        <is>
          <t>JÖNKÖPINGS LÄN</t>
        </is>
      </c>
      <c r="G75" t="inlineStr">
        <is>
          <t>JÖNKÖPING</t>
        </is>
      </c>
      <c r="I75" t="n">
        <v>70.5</v>
      </c>
      <c r="J75" t="n">
        <v>0</v>
      </c>
      <c r="K75" t="n">
        <v>0</v>
      </c>
      <c r="L75" t="n">
        <v>1</v>
      </c>
      <c r="M75" t="n">
        <v>0</v>
      </c>
      <c r="N75" t="n">
        <v>1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Svinrot</t>
        </is>
      </c>
      <c r="W75">
        <f>HYPERLINK("https://klasma.github.io/Logging_0680/artfynd/S 1134-2024 artfynd.xlsx", "S 1134-2024")</f>
        <v/>
      </c>
      <c r="X75">
        <f>HYPERLINK("https://klasma.github.io/Logging_0680/kartor/S 1134-2024 karta.png", "S 1134-2024")</f>
        <v/>
      </c>
      <c r="Y75">
        <f>HYPERLINK("https://klasma.github.io/Logging_0680/kartor_geotiff/S 1134-2024 georefererad karta.tif", "S 1134-2024")</f>
        <v/>
      </c>
      <c r="AA75">
        <f>HYPERLINK("https://klasma.github.io/Logging_0680/klagomål/S 1134-2024 FSC-klagomål.docx", "S 1134-2024")</f>
        <v/>
      </c>
      <c r="AB75">
        <f>HYPERLINK("https://klasma.github.io/Logging_0680/klagomålsmail/S 1134-2024 FSC-klagomål mail.docx", "S 1134-2024")</f>
        <v/>
      </c>
      <c r="AC75">
        <f>HYPERLINK("https://klasma.github.io/Logging_0680/tillsyn/S 1134-2024 tillsynsbegäran.docx", "S 1134-2024")</f>
        <v/>
      </c>
      <c r="AD75">
        <f>HYPERLINK("https://klasma.github.io/Logging_0680/tillsynsmail/S 1134-2024 tillsynsbegäran mail.docx", "S 1134-2024")</f>
        <v/>
      </c>
    </row>
    <row r="76" ht="15" customHeight="1">
      <c r="A76" t="inlineStr">
        <is>
          <t>S 1511-2025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45790</v>
      </c>
      <c r="E76" s="1" t="n">
        <v>46284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Slåttergubbe
Nattviol</t>
        </is>
      </c>
      <c r="W76">
        <f>HYPERLINK("https://klasma.github.io/Logging_0680/artfynd/S 1511-2025 artfynd.xlsx", "S 1511-2025")</f>
        <v/>
      </c>
      <c r="X76">
        <f>HYPERLINK("https://klasma.github.io/Logging_0680/kartor/S 1511-2025 karta.png", "S 1511-2025")</f>
        <v/>
      </c>
      <c r="Y76">
        <f>HYPERLINK("https://klasma.github.io/Logging_0680/kartor_geotiff/S 1511-2025 georefererad karta.tif", "S 1511-2025")</f>
        <v/>
      </c>
      <c r="AA76">
        <f>HYPERLINK("https://klasma.github.io/Logging_0680/klagomål/S 1511-2025 FSC-klagomål.docx", "S 1511-2025")</f>
        <v/>
      </c>
      <c r="AB76">
        <f>HYPERLINK("https://klasma.github.io/Logging_0680/klagomålsmail/S 1511-2025 FSC-klagomål mail.docx", "S 1511-2025")</f>
        <v/>
      </c>
      <c r="AC76">
        <f>HYPERLINK("https://klasma.github.io/Logging_0680/tillsyn/S 1511-2025 tillsynsbegäran.docx", "S 1511-2025")</f>
        <v/>
      </c>
      <c r="AD76">
        <f>HYPERLINK("https://klasma.github.io/Logging_0680/tillsynsmail/S 1511-2025 tillsynsbegäran mail.docx", "S 1511-2025")</f>
        <v/>
      </c>
    </row>
    <row r="77" ht="15" customHeight="1">
      <c r="A77" t="inlineStr">
        <is>
          <t>A 8582-2022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46284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Gullpudra</t>
        </is>
      </c>
      <c r="W77">
        <f>HYPERLINK("https://klasma.github.io/Logging_0680/artfynd/A 8582-2022 artfynd.xlsx", "A 8582-2022")</f>
        <v/>
      </c>
      <c r="X77">
        <f>HYPERLINK("https://klasma.github.io/Logging_0680/kartor/A 8582-2022 karta.png", "A 8582-2022")</f>
        <v/>
      </c>
      <c r="Y77">
        <f>HYPERLINK("https://klasma.github.io/Logging_0680/kartor_geotiff/A 8582-2022 georefererad karta.tif", "A 8582-2022")</f>
        <v/>
      </c>
      <c r="AA77">
        <f>HYPERLINK("https://klasma.github.io/Logging_0680/klagomål/A 8582-2022 FSC-klagomål.docx", "A 8582-2022")</f>
        <v/>
      </c>
      <c r="AB77">
        <f>HYPERLINK("https://klasma.github.io/Logging_0680/klagomålsmail/A 8582-2022 FSC-klagomål mail.docx", "A 8582-2022")</f>
        <v/>
      </c>
      <c r="AC77">
        <f>HYPERLINK("https://klasma.github.io/Logging_0680/tillsyn/A 8582-2022 tillsynsbegäran.docx", "A 8582-2022")</f>
        <v/>
      </c>
      <c r="AD77">
        <f>HYPERLINK("https://klasma.github.io/Logging_0680/tillsynsmail/A 8582-2022 tillsynsbegäran mail.docx", "A 8582-2022")</f>
        <v/>
      </c>
    </row>
    <row r="78" ht="15" customHeight="1">
      <c r="A78" t="inlineStr">
        <is>
          <t>A 21947-2022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46284</v>
      </c>
      <c r="F78" t="inlineStr">
        <is>
          <t>JÖNKÖPINGS LÄN</t>
        </is>
      </c>
      <c r="G78" t="inlineStr">
        <is>
          <t>JÖNKÖPING</t>
        </is>
      </c>
      <c r="I78" t="n">
        <v>0.4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Kandelabersvamp</t>
        </is>
      </c>
      <c r="W78">
        <f>HYPERLINK("https://klasma.github.io/Logging_0680/artfynd/A 21947-2022 artfynd.xlsx", "A 21947-2022")</f>
        <v/>
      </c>
      <c r="X78">
        <f>HYPERLINK("https://klasma.github.io/Logging_0680/kartor/A 21947-2022 karta.png", "A 21947-2022")</f>
        <v/>
      </c>
      <c r="Y78">
        <f>HYPERLINK("https://klasma.github.io/Logging_0680/kartor_geotiff/A 21947-2022 georefererad karta.tif", "A 21947-2022")</f>
        <v/>
      </c>
      <c r="AA78">
        <f>HYPERLINK("https://klasma.github.io/Logging_0680/klagomål/A 21947-2022 FSC-klagomål.docx", "A 21947-2022")</f>
        <v/>
      </c>
      <c r="AB78">
        <f>HYPERLINK("https://klasma.github.io/Logging_0680/klagomålsmail/A 21947-2022 FSC-klagomål mail.docx", "A 21947-2022")</f>
        <v/>
      </c>
      <c r="AC78">
        <f>HYPERLINK("https://klasma.github.io/Logging_0680/tillsyn/A 21947-2022 tillsynsbegäran.docx", "A 21947-2022")</f>
        <v/>
      </c>
      <c r="AD78">
        <f>HYPERLINK("https://klasma.github.io/Logging_0680/tillsynsmail/A 21947-2022 tillsynsbegäran mail.docx", "A 21947-2022")</f>
        <v/>
      </c>
    </row>
    <row r="79" ht="15" customHeight="1">
      <c r="A79" t="inlineStr">
        <is>
          <t>A 53025-2021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46284</v>
      </c>
      <c r="F79" t="inlineStr">
        <is>
          <t>JÖNKÖPINGS LÄN</t>
        </is>
      </c>
      <c r="G79" t="inlineStr">
        <is>
          <t>JÖNKÖPING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53025-2021 artfynd.xlsx", "A 53025-2021")</f>
        <v/>
      </c>
      <c r="X79">
        <f>HYPERLINK("https://klasma.github.io/Logging_0680/kartor/A 53025-2021 karta.png", "A 53025-2021")</f>
        <v/>
      </c>
      <c r="Y79">
        <f>HYPERLINK("https://klasma.github.io/Logging_0680/kartor_geotiff/A 53025-2021 georefererad karta.tif", "A 53025-2021")</f>
        <v/>
      </c>
      <c r="AA79">
        <f>HYPERLINK("https://klasma.github.io/Logging_0680/klagomål/A 53025-2021 FSC-klagomål.docx", "A 53025-2021")</f>
        <v/>
      </c>
      <c r="AB79">
        <f>HYPERLINK("https://klasma.github.io/Logging_0680/klagomålsmail/A 53025-2021 FSC-klagomål mail.docx", "A 53025-2021")</f>
        <v/>
      </c>
      <c r="AC79">
        <f>HYPERLINK("https://klasma.github.io/Logging_0680/tillsyn/A 53025-2021 tillsynsbegäran.docx", "A 53025-2021")</f>
        <v/>
      </c>
      <c r="AD79">
        <f>HYPERLINK("https://klasma.github.io/Logging_0680/tillsynsmail/A 53025-2021 tillsynsbegäran mail.docx", "A 53025-2021")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46284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46284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46284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46284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46284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46284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46284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46284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Ask</t>
        </is>
      </c>
      <c r="W87">
        <f>HYPERLINK("https://klasma.github.io/Logging_0680/artfynd/A 62844-2023 artfynd.xlsx", "A 62844-2023")</f>
        <v/>
      </c>
      <c r="X87">
        <f>HYPERLINK("https://klasma.github.io/Logging_0680/kartor/A 62844-2023 karta.png", "A 62844-2023")</f>
        <v/>
      </c>
      <c r="Y87">
        <f>HYPERLINK("https://klasma.github.io/Logging_0680/kartor_geotiff/A 62844-2023 georefererad karta.tif", "A 62844-2023")</f>
        <v/>
      </c>
      <c r="AA87">
        <f>HYPERLINK("https://klasma.github.io/Logging_0680/klagomål/A 62844-2023 FSC-klagomål.docx", "A 62844-2023")</f>
        <v/>
      </c>
      <c r="AB87">
        <f>HYPERLINK("https://klasma.github.io/Logging_0680/klagomålsmail/A 62844-2023 FSC-klagomål mail.docx", "A 62844-2023")</f>
        <v/>
      </c>
      <c r="AC87">
        <f>HYPERLINK("https://klasma.github.io/Logging_0680/tillsyn/A 62844-2023 tillsynsbegäran.docx", "A 62844-2023")</f>
        <v/>
      </c>
      <c r="AD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46284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46284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6456-2024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45338</v>
      </c>
      <c r="E90" s="1" t="n">
        <v>46284</v>
      </c>
      <c r="F90" t="inlineStr">
        <is>
          <t>JÖNKÖPINGS LÄN</t>
        </is>
      </c>
      <c r="G90" t="inlineStr">
        <is>
          <t>JÖNKÖPING</t>
        </is>
      </c>
      <c r="H90" t="inlineStr">
        <is>
          <t>Kyrkan</t>
        </is>
      </c>
      <c r="I90" t="n">
        <v>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Slåttergubbe</t>
        </is>
      </c>
      <c r="W90">
        <f>HYPERLINK("https://klasma.github.io/Logging_0680/artfynd/A 6456-2024 artfynd.xlsx", "A 6456-2024")</f>
        <v/>
      </c>
      <c r="X90">
        <f>HYPERLINK("https://klasma.github.io/Logging_0680/kartor/A 6456-2024 karta.png", "A 6456-2024")</f>
        <v/>
      </c>
      <c r="Y90">
        <f>HYPERLINK("https://klasma.github.io/Logging_0680/kartor_geotiff/A 6456-2024 georefererad karta.tif", "A 6456-2024")</f>
        <v/>
      </c>
      <c r="AA90">
        <f>HYPERLINK("https://klasma.github.io/Logging_0680/klagomål/A 6456-2024 FSC-klagomål.docx", "A 6456-2024")</f>
        <v/>
      </c>
      <c r="AB90">
        <f>HYPERLINK("https://klasma.github.io/Logging_0680/klagomålsmail/A 6456-2024 FSC-klagomål mail.docx", "A 6456-2024")</f>
        <v/>
      </c>
      <c r="AC90">
        <f>HYPERLINK("https://klasma.github.io/Logging_0680/tillsyn/A 6456-2024 tillsynsbegäran.docx", "A 6456-2024")</f>
        <v/>
      </c>
      <c r="AD90">
        <f>HYPERLINK("https://klasma.github.io/Logging_0680/tillsynsmail/A 6456-2024 tillsynsbegäran mail.docx", "A 6456-2024")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46284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48114-2023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46284</v>
      </c>
      <c r="F92" t="inlineStr">
        <is>
          <t>JÖNKÖPINGS LÄN</t>
        </is>
      </c>
      <c r="G92" t="inlineStr">
        <is>
          <t>JÖNKÖPING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HYPERLINK("https://klasma.github.io/Logging_0680/artfynd/A 48114-2023 artfynd.xlsx", "A 48114-2023")</f>
        <v/>
      </c>
      <c r="X92">
        <f>HYPERLINK("https://klasma.github.io/Logging_0680/kartor/A 48114-2023 karta.png", "A 48114-2023")</f>
        <v/>
      </c>
      <c r="Y92">
        <f>HYPERLINK("https://klasma.github.io/Logging_0680/kartor_geotiff/A 48114-2023 georefererad karta.tif", "A 48114-2023")</f>
        <v/>
      </c>
      <c r="AA92">
        <f>HYPERLINK("https://klasma.github.io/Logging_0680/klagomål/A 48114-2023 FSC-klagomål.docx", "A 48114-2023")</f>
        <v/>
      </c>
      <c r="AB92">
        <f>HYPERLINK("https://klasma.github.io/Logging_0680/klagomålsmail/A 48114-2023 FSC-klagomål mail.docx", "A 48114-2023")</f>
        <v/>
      </c>
      <c r="AC92">
        <f>HYPERLINK("https://klasma.github.io/Logging_0680/tillsyn/A 48114-2023 tillsynsbegäran.docx", "A 48114-2023")</f>
        <v/>
      </c>
      <c r="AD92">
        <f>HYPERLINK("https://klasma.github.io/Logging_0680/tillsynsmail/A 48114-2023 tillsynsbegäran mail.docx", "A 48114-2023")</f>
        <v/>
      </c>
    </row>
    <row r="93" ht="15" customHeight="1">
      <c r="A93" t="inlineStr">
        <is>
          <t>A 18770-2025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46284</v>
      </c>
      <c r="F93" t="inlineStr">
        <is>
          <t>JÖNKÖPINGS LÄN</t>
        </is>
      </c>
      <c r="G93" t="inlineStr">
        <is>
          <t>JÖNKÖPING</t>
        </is>
      </c>
      <c r="I93" t="n">
        <v>3.3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Gullpudra</t>
        </is>
      </c>
      <c r="W93">
        <f>HYPERLINK("https://klasma.github.io/Logging_0680/artfynd/A 18770-2025 artfynd.xlsx", "A 18770-2025")</f>
        <v/>
      </c>
      <c r="X93">
        <f>HYPERLINK("https://klasma.github.io/Logging_0680/kartor/A 18770-2025 karta.png", "A 18770-2025")</f>
        <v/>
      </c>
      <c r="Y93">
        <f>HYPERLINK("https://klasma.github.io/Logging_0680/kartor_geotiff/A 18770-2025 georefererad karta.tif", "A 18770-2025")</f>
        <v/>
      </c>
      <c r="AA93">
        <f>HYPERLINK("https://klasma.github.io/Logging_0680/klagomål/A 18770-2025 FSC-klagomål.docx", "A 18770-2025")</f>
        <v/>
      </c>
      <c r="AB93">
        <f>HYPERLINK("https://klasma.github.io/Logging_0680/klagomålsmail/A 18770-2025 FSC-klagomål mail.docx", "A 18770-2025")</f>
        <v/>
      </c>
      <c r="AC93">
        <f>HYPERLINK("https://klasma.github.io/Logging_0680/tillsyn/A 18770-2025 tillsynsbegäran.docx", "A 18770-2025")</f>
        <v/>
      </c>
      <c r="AD93">
        <f>HYPERLINK("https://klasma.github.io/Logging_0680/tillsynsmail/A 18770-2025 tillsynsbegäran mail.docx", "A 18770-2025")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46284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43624-2023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46284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Gullpudra</t>
        </is>
      </c>
      <c r="W95">
        <f>HYPERLINK("https://klasma.github.io/Logging_0680/artfynd/A 43624-2023 artfynd.xlsx", "A 43624-2023")</f>
        <v/>
      </c>
      <c r="X95">
        <f>HYPERLINK("https://klasma.github.io/Logging_0680/kartor/A 43624-2023 karta.png", "A 43624-2023")</f>
        <v/>
      </c>
      <c r="Y95">
        <f>HYPERLINK("https://klasma.github.io/Logging_0680/kartor_geotiff/A 43624-2023 georefererad karta.tif", "A 43624-2023")</f>
        <v/>
      </c>
      <c r="AA95">
        <f>HYPERLINK("https://klasma.github.io/Logging_0680/klagomål/A 43624-2023 FSC-klagomål.docx", "A 43624-2023")</f>
        <v/>
      </c>
      <c r="AB95">
        <f>HYPERLINK("https://klasma.github.io/Logging_0680/klagomålsmail/A 43624-2023 FSC-klagomål mail.docx", "A 43624-2023")</f>
        <v/>
      </c>
      <c r="AC95">
        <f>HYPERLINK("https://klasma.github.io/Logging_0680/tillsyn/A 43624-2023 tillsynsbegäran.docx", "A 43624-2023")</f>
        <v/>
      </c>
      <c r="AD95">
        <f>HYPERLINK("https://klasma.github.io/Logging_0680/tillsynsmail/A 43624-2023 tillsynsbegäran mail.docx", "A 43624-2023")</f>
        <v/>
      </c>
    </row>
    <row r="96" ht="15" customHeight="1">
      <c r="A96" t="inlineStr">
        <is>
          <t>A 74117-2021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46284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Nattskärra</t>
        </is>
      </c>
      <c r="W96">
        <f>HYPERLINK("https://klasma.github.io/Logging_0680/artfynd/A 74117-2021 artfynd.xlsx", "A 74117-2021")</f>
        <v/>
      </c>
      <c r="X96">
        <f>HYPERLINK("https://klasma.github.io/Logging_0680/kartor/A 74117-2021 karta.png", "A 74117-2021")</f>
        <v/>
      </c>
      <c r="Y96">
        <f>HYPERLINK("https://klasma.github.io/Logging_0680/kartor_geotiff/A 74117-2021 georefererad karta.tif", "A 74117-2021")</f>
        <v/>
      </c>
      <c r="AA96">
        <f>HYPERLINK("https://klasma.github.io/Logging_0680/klagomål/A 74117-2021 FSC-klagomål.docx", "A 74117-2021")</f>
        <v/>
      </c>
      <c r="AB96">
        <f>HYPERLINK("https://klasma.github.io/Logging_0680/klagomålsmail/A 74117-2021 FSC-klagomål mail.docx", "A 74117-2021")</f>
        <v/>
      </c>
      <c r="AC96">
        <f>HYPERLINK("https://klasma.github.io/Logging_0680/tillsyn/A 74117-2021 tillsynsbegäran.docx", "A 74117-2021")</f>
        <v/>
      </c>
      <c r="AD96">
        <f>HYPERLINK("https://klasma.github.io/Logging_0680/tillsynsmail/A 74117-2021 tillsynsbegäran mail.docx", "A 74117-2021")</f>
        <v/>
      </c>
      <c r="AE96">
        <f>HYPERLINK("https://klasma.github.io/Logging_0680/fåglar/A 74117-2021 prioriterade fågelarter.docx", "A 74117-2021")</f>
        <v/>
      </c>
    </row>
    <row r="97" ht="15" customHeight="1">
      <c r="A97" t="inlineStr">
        <is>
          <t>A 23234-2026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46284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Klasefibbla</t>
        </is>
      </c>
      <c r="W97">
        <f>HYPERLINK("https://klasma.github.io/Logging_0680/artfynd/A 23234-2026 artfynd.xlsx", "A 23234-2026")</f>
        <v/>
      </c>
      <c r="X97">
        <f>HYPERLINK("https://klasma.github.io/Logging_0680/kartor/A 23234-2026 karta.png", "A 23234-2026")</f>
        <v/>
      </c>
      <c r="Y97">
        <f>HYPERLINK("https://klasma.github.io/Logging_0680/kartor_geotiff/A 23234-2026 georefererad karta.tif", "A 23234-2026")</f>
        <v/>
      </c>
      <c r="AA97">
        <f>HYPERLINK("https://klasma.github.io/Logging_0680/klagomål/A 23234-2026 FSC-klagomål.docx", "A 23234-2026")</f>
        <v/>
      </c>
      <c r="AB97">
        <f>HYPERLINK("https://klasma.github.io/Logging_0680/klagomålsmail/A 23234-2026 FSC-klagomål mail.docx", "A 23234-2026")</f>
        <v/>
      </c>
      <c r="AC97">
        <f>HYPERLINK("https://klasma.github.io/Logging_0680/tillsyn/A 23234-2026 tillsynsbegäran.docx", "A 23234-2026")</f>
        <v/>
      </c>
      <c r="AD97">
        <f>HYPERLINK("https://klasma.github.io/Logging_0680/tillsynsmail/A 23234-2026 tillsynsbegäran mail.docx", "A 23234-2026")</f>
        <v/>
      </c>
    </row>
    <row r="98" ht="15" customHeight="1">
      <c r="A98" t="inlineStr">
        <is>
          <t>A 23260-2026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46284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Grönvit nattviol</t>
        </is>
      </c>
      <c r="W98">
        <f>HYPERLINK("https://klasma.github.io/Logging_0680/artfynd/A 23260-2026 artfynd.xlsx", "A 23260-2026")</f>
        <v/>
      </c>
      <c r="X98">
        <f>HYPERLINK("https://klasma.github.io/Logging_0680/kartor/A 23260-2026 karta.png", "A 23260-2026")</f>
        <v/>
      </c>
      <c r="Y98">
        <f>HYPERLINK("https://klasma.github.io/Logging_0680/kartor_geotiff/A 23260-2026 georefererad karta.tif", "A 23260-2026")</f>
        <v/>
      </c>
      <c r="AA98">
        <f>HYPERLINK("https://klasma.github.io/Logging_0680/klagomål/A 23260-2026 FSC-klagomål.docx", "A 23260-2026")</f>
        <v/>
      </c>
      <c r="AB98">
        <f>HYPERLINK("https://klasma.github.io/Logging_0680/klagomålsmail/A 23260-2026 FSC-klagomål mail.docx", "A 23260-2026")</f>
        <v/>
      </c>
      <c r="AC98">
        <f>HYPERLINK("https://klasma.github.io/Logging_0680/tillsyn/A 23260-2026 tillsynsbegäran.docx", "A 23260-2026")</f>
        <v/>
      </c>
      <c r="AD98">
        <f>HYPERLINK("https://klasma.github.io/Logging_0680/tillsynsmail/A 23260-2026 tillsynsbegäran mail.docx", "A 23260-2026")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46284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5898-2023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46284</v>
      </c>
      <c r="F100" t="inlineStr">
        <is>
          <t>JÖNKÖPINGS LÄN</t>
        </is>
      </c>
      <c r="G100" t="inlineStr">
        <is>
          <t>JÖNKÖPING</t>
        </is>
      </c>
      <c r="I100" t="n">
        <v>4.1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Utter</t>
        </is>
      </c>
      <c r="W100">
        <f>HYPERLINK("https://klasma.github.io/Logging_0680/artfynd/A 5898-2023 artfynd.xlsx", "A 5898-2023")</f>
        <v/>
      </c>
      <c r="X100">
        <f>HYPERLINK("https://klasma.github.io/Logging_0680/kartor/A 5898-2023 karta.png", "A 5898-2023")</f>
        <v/>
      </c>
      <c r="Y100">
        <f>HYPERLINK("https://klasma.github.io/Logging_0680/kartor_geotiff/A 5898-2023 georefererad karta.tif", "A 5898-2023")</f>
        <v/>
      </c>
      <c r="AA100">
        <f>HYPERLINK("https://klasma.github.io/Logging_0680/klagomål/A 5898-2023 FSC-klagomål.docx", "A 5898-2023")</f>
        <v/>
      </c>
      <c r="AB100">
        <f>HYPERLINK("https://klasma.github.io/Logging_0680/klagomålsmail/A 5898-2023 FSC-klagomål mail.docx", "A 5898-2023")</f>
        <v/>
      </c>
      <c r="AC100">
        <f>HYPERLINK("https://klasma.github.io/Logging_0680/tillsyn/A 5898-2023 tillsynsbegäran.docx", "A 5898-2023")</f>
        <v/>
      </c>
      <c r="AD100">
        <f>HYPERLINK("https://klasma.github.io/Logging_0680/tillsynsmail/A 5898-2023 tillsynsbegäran mail.docx", "A 5898-2023")</f>
        <v/>
      </c>
    </row>
    <row r="101" ht="15" customHeight="1">
      <c r="A101" t="inlineStr">
        <is>
          <t>A 2037-2026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46284</v>
      </c>
      <c r="F101" t="inlineStr">
        <is>
          <t>JÖNKÖPINGS LÄN</t>
        </is>
      </c>
      <c r="G101" t="inlineStr">
        <is>
          <t>JÖNKÖPING</t>
        </is>
      </c>
      <c r="I101" t="n">
        <v>11.8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HYPERLINK("https://klasma.github.io/Logging_0680/artfynd/A 2037-2026 artfynd.xlsx", "A 2037-2026")</f>
        <v/>
      </c>
      <c r="X101">
        <f>HYPERLINK("https://klasma.github.io/Logging_0680/kartor/A 2037-2026 karta.png", "A 2037-2026")</f>
        <v/>
      </c>
      <c r="Y101">
        <f>HYPERLINK("https://klasma.github.io/Logging_0680/kartor_geotiff/A 2037-2026 georefererad karta.tif", "A 2037-2026")</f>
        <v/>
      </c>
      <c r="AA101">
        <f>HYPERLINK("https://klasma.github.io/Logging_0680/klagomål/A 2037-2026 FSC-klagomål.docx", "A 2037-2026")</f>
        <v/>
      </c>
      <c r="AB101">
        <f>HYPERLINK("https://klasma.github.io/Logging_0680/klagomålsmail/A 2037-2026 FSC-klagomål mail.docx", "A 2037-2026")</f>
        <v/>
      </c>
      <c r="AC101">
        <f>HYPERLINK("https://klasma.github.io/Logging_0680/tillsyn/A 2037-2026 tillsynsbegäran.docx", "A 2037-2026")</f>
        <v/>
      </c>
      <c r="AD101">
        <f>HYPERLINK("https://klasma.github.io/Logging_0680/tillsynsmail/A 2037-2026 tillsynsbegäran mail.docx", "A 2037-2026")</f>
        <v/>
      </c>
    </row>
    <row r="102" ht="15" customHeight="1">
      <c r="A102" t="inlineStr">
        <is>
          <t>A 4582-2026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46284</v>
      </c>
      <c r="F102" t="inlineStr">
        <is>
          <t>JÖNKÖPINGS LÄN</t>
        </is>
      </c>
      <c r="G102" t="inlineStr">
        <is>
          <t>JÖNKÖPING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Grovticka</t>
        </is>
      </c>
      <c r="W102">
        <f>HYPERLINK("https://klasma.github.io/Logging_0680/artfynd/A 4582-2026 artfynd.xlsx", "A 4582-2026")</f>
        <v/>
      </c>
      <c r="X102">
        <f>HYPERLINK("https://klasma.github.io/Logging_0680/kartor/A 4582-2026 karta.png", "A 4582-2026")</f>
        <v/>
      </c>
      <c r="Y102">
        <f>HYPERLINK("https://klasma.github.io/Logging_0680/kartor_geotiff/A 4582-2026 georefererad karta.tif", "A 4582-2026")</f>
        <v/>
      </c>
      <c r="AA102">
        <f>HYPERLINK("https://klasma.github.io/Logging_0680/klagomål/A 4582-2026 FSC-klagomål.docx", "A 4582-2026")</f>
        <v/>
      </c>
      <c r="AB102">
        <f>HYPERLINK("https://klasma.github.io/Logging_0680/klagomålsmail/A 4582-2026 FSC-klagomål mail.docx", "A 4582-2026")</f>
        <v/>
      </c>
      <c r="AC102">
        <f>HYPERLINK("https://klasma.github.io/Logging_0680/tillsyn/A 4582-2026 tillsynsbegäran.docx", "A 4582-2026")</f>
        <v/>
      </c>
      <c r="AD102">
        <f>HYPERLINK("https://klasma.github.io/Logging_0680/tillsynsmail/A 4582-2026 tillsynsbegäran mail.docx", "A 4582-2026")</f>
        <v/>
      </c>
    </row>
    <row r="103" ht="15" customHeight="1">
      <c r="A103" t="inlineStr">
        <is>
          <t>A 6168-2026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46284</v>
      </c>
      <c r="F103" t="inlineStr">
        <is>
          <t>JÖNKÖPINGS LÄN</t>
        </is>
      </c>
      <c r="G103" t="inlineStr">
        <is>
          <t>JÖNKÖPING</t>
        </is>
      </c>
      <c r="I103" t="n">
        <v>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HYPERLINK("https://klasma.github.io/Logging_0680/artfynd/A 6168-2026 artfynd.xlsx", "A 6168-2026")</f>
        <v/>
      </c>
      <c r="X103">
        <f>HYPERLINK("https://klasma.github.io/Logging_0680/kartor/A 6168-2026 karta.png", "A 6168-2026")</f>
        <v/>
      </c>
      <c r="Y103">
        <f>HYPERLINK("https://klasma.github.io/Logging_0680/kartor_geotiff/A 6168-2026 georefererad karta.tif", "A 6168-2026")</f>
        <v/>
      </c>
      <c r="AA103">
        <f>HYPERLINK("https://klasma.github.io/Logging_0680/klagomål/A 6168-2026 FSC-klagomål.docx", "A 6168-2026")</f>
        <v/>
      </c>
      <c r="AB103">
        <f>HYPERLINK("https://klasma.github.io/Logging_0680/klagomålsmail/A 6168-2026 FSC-klagomål mail.docx", "A 6168-2026")</f>
        <v/>
      </c>
      <c r="AC103">
        <f>HYPERLINK("https://klasma.github.io/Logging_0680/tillsyn/A 6168-2026 tillsynsbegäran.docx", "A 6168-2026")</f>
        <v/>
      </c>
      <c r="AD103">
        <f>HYPERLINK("https://klasma.github.io/Logging_0680/tillsynsmail/A 6168-2026 tillsynsbegäran mail.docx", "A 6168-2026")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46284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11260-2023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46284</v>
      </c>
      <c r="F105" t="inlineStr">
        <is>
          <t>JÖNKÖPINGS LÄN</t>
        </is>
      </c>
      <c r="G105" t="inlineStr">
        <is>
          <t>JÖNKÖPING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11260-2023 artfynd.xlsx", "A 11260-2023")</f>
        <v/>
      </c>
      <c r="X105">
        <f>HYPERLINK("https://klasma.github.io/Logging_0680/kartor/A 11260-2023 karta.png", "A 11260-2023")</f>
        <v/>
      </c>
      <c r="Y105">
        <f>HYPERLINK("https://klasma.github.io/Logging_0680/kartor_geotiff/A 11260-2023 georefererad karta.tif", "A 11260-2023")</f>
        <v/>
      </c>
      <c r="Z105">
        <f>HYPERLINK("https://klasma.github.io/Logging_0680/knärot/A 11260-2023 karta knärot.png", "A 11260-2023")</f>
        <v/>
      </c>
      <c r="AA105">
        <f>HYPERLINK("https://klasma.github.io/Logging_0680/klagomål/A 11260-2023 FSC-klagomål.docx", "A 11260-2023")</f>
        <v/>
      </c>
      <c r="AB105">
        <f>HYPERLINK("https://klasma.github.io/Logging_0680/klagomålsmail/A 11260-2023 FSC-klagomål mail.docx", "A 11260-2023")</f>
        <v/>
      </c>
      <c r="AC105">
        <f>HYPERLINK("https://klasma.github.io/Logging_0680/tillsyn/A 11260-2023 tillsynsbegäran.docx", "A 11260-2023")</f>
        <v/>
      </c>
      <c r="AD105">
        <f>HYPERLINK("https://klasma.github.io/Logging_0680/tillsynsmail/A 11260-2023 tillsynsbegäran mail.docx", "A 11260-2023")</f>
        <v/>
      </c>
    </row>
    <row r="106" ht="15" customHeight="1">
      <c r="A106" t="inlineStr">
        <is>
          <t>A 7511-2026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46284</v>
      </c>
      <c r="F106" t="inlineStr">
        <is>
          <t>JÖNKÖPINGS LÄN</t>
        </is>
      </c>
      <c r="G106" t="inlineStr">
        <is>
          <t>JÖNKÖPING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HYPERLINK("https://klasma.github.io/Logging_0680/artfynd/A 7511-2026 artfynd.xlsx", "A 7511-2026")</f>
        <v/>
      </c>
      <c r="X106">
        <f>HYPERLINK("https://klasma.github.io/Logging_0680/kartor/A 7511-2026 karta.png", "A 7511-2026")</f>
        <v/>
      </c>
      <c r="Y106">
        <f>HYPERLINK("https://klasma.github.io/Logging_0680/kartor_geotiff/A 7511-2026 georefererad karta.tif", "A 7511-2026")</f>
        <v/>
      </c>
      <c r="AA106">
        <f>HYPERLINK("https://klasma.github.io/Logging_0680/klagomål/A 7511-2026 FSC-klagomål.docx", "A 7511-2026")</f>
        <v/>
      </c>
      <c r="AB106">
        <f>HYPERLINK("https://klasma.github.io/Logging_0680/klagomålsmail/A 7511-2026 FSC-klagomål mail.docx", "A 7511-2026")</f>
        <v/>
      </c>
      <c r="AC106">
        <f>HYPERLINK("https://klasma.github.io/Logging_0680/tillsyn/A 7511-2026 tillsynsbegäran.docx", "A 7511-2026")</f>
        <v/>
      </c>
      <c r="AD106">
        <f>HYPERLINK("https://klasma.github.io/Logging_0680/tillsynsmail/A 7511-2026 tillsynsbegäran mail.docx", "A 7511-2026")</f>
        <v/>
      </c>
    </row>
    <row r="107" ht="15" customHeight="1">
      <c r="A107" t="inlineStr">
        <is>
          <t>A 53601-2022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46284</v>
      </c>
      <c r="F107" t="inlineStr">
        <is>
          <t>JÖNKÖPINGS LÄN</t>
        </is>
      </c>
      <c r="G107" t="inlineStr">
        <is>
          <t>JÖNKÖPING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53601-2022 artfynd.xlsx", "A 53601-2022")</f>
        <v/>
      </c>
      <c r="X107">
        <f>HYPERLINK("https://klasma.github.io/Logging_0680/kartor/A 53601-2022 karta.png", "A 53601-2022")</f>
        <v/>
      </c>
      <c r="Y107">
        <f>HYPERLINK("https://klasma.github.io/Logging_0680/kartor_geotiff/A 53601-2022 georefererad karta.tif", "A 53601-2022")</f>
        <v/>
      </c>
      <c r="Z107">
        <f>HYPERLINK("https://klasma.github.io/Logging_0680/knärot/A 53601-2022 karta knärot.png", "A 53601-2022")</f>
        <v/>
      </c>
      <c r="AA107">
        <f>HYPERLINK("https://klasma.github.io/Logging_0680/klagomål/A 53601-2022 FSC-klagomål.docx", "A 53601-2022")</f>
        <v/>
      </c>
      <c r="AB107">
        <f>HYPERLINK("https://klasma.github.io/Logging_0680/klagomålsmail/A 53601-2022 FSC-klagomål mail.docx", "A 53601-2022")</f>
        <v/>
      </c>
      <c r="AC107">
        <f>HYPERLINK("https://klasma.github.io/Logging_0680/tillsyn/A 53601-2022 tillsynsbegäran.docx", "A 53601-2022")</f>
        <v/>
      </c>
      <c r="AD107">
        <f>HYPERLINK("https://klasma.github.io/Logging_0680/tillsynsmail/A 53601-2022 tillsynsbegäran mail.docx", "A 53601-2022")</f>
        <v/>
      </c>
    </row>
    <row r="108" ht="15" customHeight="1">
      <c r="A108" t="inlineStr">
        <is>
          <t>A 15516-2026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46284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Revlummer</t>
        </is>
      </c>
      <c r="W108">
        <f>HYPERLINK("https://klasma.github.io/Logging_0680/artfynd/A 15516-2026 artfynd.xlsx", "A 15516-2026")</f>
        <v/>
      </c>
      <c r="X108">
        <f>HYPERLINK("https://klasma.github.io/Logging_0680/kartor/A 15516-2026 karta.png", "A 15516-2026")</f>
        <v/>
      </c>
      <c r="Y108">
        <f>HYPERLINK("https://klasma.github.io/Logging_0680/kartor_geotiff/A 15516-2026 georefererad karta.tif", "A 15516-2026")</f>
        <v/>
      </c>
      <c r="AA108">
        <f>HYPERLINK("https://klasma.github.io/Logging_0680/klagomål/A 15516-2026 FSC-klagomål.docx", "A 15516-2026")</f>
        <v/>
      </c>
      <c r="AB108">
        <f>HYPERLINK("https://klasma.github.io/Logging_0680/klagomålsmail/A 15516-2026 FSC-klagomål mail.docx", "A 15516-2026")</f>
        <v/>
      </c>
      <c r="AC108">
        <f>HYPERLINK("https://klasma.github.io/Logging_0680/tillsyn/A 15516-2026 tillsynsbegäran.docx", "A 15516-2026")</f>
        <v/>
      </c>
      <c r="AD108">
        <f>HYPERLINK("https://klasma.github.io/Logging_0680/tillsynsmail/A 15516-2026 tillsynsbegäran mail.docx", "A 15516-2026")</f>
        <v/>
      </c>
    </row>
    <row r="109" ht="15" customHeight="1">
      <c r="A109" t="inlineStr">
        <is>
          <t>A 7092-2024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46284</v>
      </c>
      <c r="F109" t="inlineStr">
        <is>
          <t>JÖNKÖPINGS LÄN</t>
        </is>
      </c>
      <c r="G109" t="inlineStr">
        <is>
          <t>JÖNKÖPING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HYPERLINK("https://klasma.github.io/Logging_0680/artfynd/A 7092-2024 artfynd.xlsx", "A 7092-2024")</f>
        <v/>
      </c>
      <c r="X109">
        <f>HYPERLINK("https://klasma.github.io/Logging_0680/kartor/A 7092-2024 karta.png", "A 7092-2024")</f>
        <v/>
      </c>
      <c r="Y109">
        <f>HYPERLINK("https://klasma.github.io/Logging_0680/kartor_geotiff/A 7092-2024 georefererad karta.tif", "A 7092-2024")</f>
        <v/>
      </c>
      <c r="AA109">
        <f>HYPERLINK("https://klasma.github.io/Logging_0680/klagomål/A 7092-2024 FSC-klagomål.docx", "A 7092-2024")</f>
        <v/>
      </c>
      <c r="AB109">
        <f>HYPERLINK("https://klasma.github.io/Logging_0680/klagomålsmail/A 7092-2024 FSC-klagomål mail.docx", "A 7092-2024")</f>
        <v/>
      </c>
      <c r="AC109">
        <f>HYPERLINK("https://klasma.github.io/Logging_0680/tillsyn/A 7092-2024 tillsynsbegäran.docx", "A 7092-2024")</f>
        <v/>
      </c>
      <c r="AD109">
        <f>HYPERLINK("https://klasma.github.io/Logging_0680/tillsynsmail/A 7092-2024 tillsynsbegäran mail.docx", "A 7092-2024")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46284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29462-2026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46284</v>
      </c>
      <c r="F111" t="inlineStr">
        <is>
          <t>JÖNKÖPINGS LÄN</t>
        </is>
      </c>
      <c r="G111" t="inlineStr">
        <is>
          <t>JÖNKÖPING</t>
        </is>
      </c>
      <c r="I111" t="n">
        <v>1.4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29462-2026 artfynd.xlsx", "A 29462-2026")</f>
        <v/>
      </c>
      <c r="X111">
        <f>HYPERLINK("https://klasma.github.io/Logging_0680/kartor/A 29462-2026 karta.png", "A 29462-2026")</f>
        <v/>
      </c>
      <c r="Y111">
        <f>HYPERLINK("https://klasma.github.io/Logging_0680/kartor_geotiff/A 29462-2026 georefererad karta.tif", "A 29462-2026")</f>
        <v/>
      </c>
      <c r="Z111">
        <f>HYPERLINK("https://klasma.github.io/Logging_0680/knärot/A 29462-2026 karta knärot.png", "A 29462-2026")</f>
        <v/>
      </c>
      <c r="AA111">
        <f>HYPERLINK("https://klasma.github.io/Logging_0680/klagomål/A 29462-2026 FSC-klagomål.docx", "A 29462-2026")</f>
        <v/>
      </c>
      <c r="AB111">
        <f>HYPERLINK("https://klasma.github.io/Logging_0680/klagomålsmail/A 29462-2026 FSC-klagomål mail.docx", "A 29462-2026")</f>
        <v/>
      </c>
      <c r="AC111">
        <f>HYPERLINK("https://klasma.github.io/Logging_0680/tillsyn/A 29462-2026 tillsynsbegäran.docx", "A 29462-2026")</f>
        <v/>
      </c>
      <c r="AD111">
        <f>HYPERLINK("https://klasma.github.io/Logging_0680/tillsynsmail/A 29462-2026 tillsynsbegäran mail.docx", "A 29462-2026")</f>
        <v/>
      </c>
    </row>
    <row r="112" ht="15" customHeight="1">
      <c r="A112" t="inlineStr">
        <is>
          <t>A 40795-2024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46284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Kattfotslav</t>
        </is>
      </c>
      <c r="W112">
        <f>HYPERLINK("https://klasma.github.io/Logging_0680/artfynd/A 40795-2024 artfynd.xlsx", "A 40795-2024")</f>
        <v/>
      </c>
      <c r="X112">
        <f>HYPERLINK("https://klasma.github.io/Logging_0680/kartor/A 40795-2024 karta.png", "A 40795-2024")</f>
        <v/>
      </c>
      <c r="Y112">
        <f>HYPERLINK("https://klasma.github.io/Logging_0680/kartor_geotiff/A 40795-2024 georefererad karta.tif", "A 40795-2024")</f>
        <v/>
      </c>
      <c r="AA112">
        <f>HYPERLINK("https://klasma.github.io/Logging_0680/klagomål/A 40795-2024 FSC-klagomål.docx", "A 40795-2024")</f>
        <v/>
      </c>
      <c r="AB112">
        <f>HYPERLINK("https://klasma.github.io/Logging_0680/klagomålsmail/A 40795-2024 FSC-klagomål mail.docx", "A 40795-2024")</f>
        <v/>
      </c>
      <c r="AC112">
        <f>HYPERLINK("https://klasma.github.io/Logging_0680/tillsyn/A 40795-2024 tillsynsbegäran.docx", "A 40795-2024")</f>
        <v/>
      </c>
      <c r="AD112">
        <f>HYPERLINK("https://klasma.github.io/Logging_0680/tillsynsmail/A 40795-2024 tillsynsbegäran mail.docx", "A 40795-2024")</f>
        <v/>
      </c>
    </row>
    <row r="113" ht="15" customHeight="1">
      <c r="A113" t="inlineStr">
        <is>
          <t>A 34046-2026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46252</v>
      </c>
      <c r="E113" s="1" t="n">
        <v>46284</v>
      </c>
      <c r="F113" t="inlineStr">
        <is>
          <t>JÖNKÖPINGS LÄN</t>
        </is>
      </c>
      <c r="G113" t="inlineStr">
        <is>
          <t>JÖNKÖPING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HYPERLINK("https://klasma.github.io/Logging_0680/artfynd/A 34046-2026 artfynd.xlsx", "A 34046-2026")</f>
        <v/>
      </c>
      <c r="X113">
        <f>HYPERLINK("https://klasma.github.io/Logging_0680/kartor/A 34046-2026 karta.png", "A 34046-2026")</f>
        <v/>
      </c>
      <c r="Y113">
        <f>HYPERLINK("https://klasma.github.io/Logging_0680/kartor_geotiff/A 34046-2026 georefererad karta.tif", "A 34046-2026")</f>
        <v/>
      </c>
      <c r="AA113">
        <f>HYPERLINK("https://klasma.github.io/Logging_0680/klagomål/A 34046-2026 FSC-klagomål.docx", "A 34046-2026")</f>
        <v/>
      </c>
      <c r="AB113">
        <f>HYPERLINK("https://klasma.github.io/Logging_0680/klagomålsmail/A 34046-2026 FSC-klagomål mail.docx", "A 34046-2026")</f>
        <v/>
      </c>
      <c r="AC113">
        <f>HYPERLINK("https://klasma.github.io/Logging_0680/tillsyn/A 34046-2026 tillsynsbegäran.docx", "A 34046-2026")</f>
        <v/>
      </c>
      <c r="AD113">
        <f>HYPERLINK("https://klasma.github.io/Logging_0680/tillsynsmail/A 34046-2026 tillsynsbegäran mail.docx", "A 34046-2026")</f>
        <v/>
      </c>
    </row>
    <row r="114" ht="15" customHeight="1">
      <c r="A114" t="inlineStr">
        <is>
          <t>A 50190-2024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45600</v>
      </c>
      <c r="E114" s="1" t="n">
        <v>46284</v>
      </c>
      <c r="F114" t="inlineStr">
        <is>
          <t>JÖNKÖPINGS LÄN</t>
        </is>
      </c>
      <c r="G114" t="inlineStr">
        <is>
          <t>JÖNKÖPING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Skogsalm</t>
        </is>
      </c>
      <c r="W114">
        <f>HYPERLINK("https://klasma.github.io/Logging_0680/artfynd/A 50190-2024 artfynd.xlsx", "A 50190-2024")</f>
        <v/>
      </c>
      <c r="X114">
        <f>HYPERLINK("https://klasma.github.io/Logging_0680/kartor/A 50190-2024 karta.png", "A 50190-2024")</f>
        <v/>
      </c>
      <c r="Y114">
        <f>HYPERLINK("https://klasma.github.io/Logging_0680/kartor_geotiff/A 50190-2024 georefererad karta.tif", "A 50190-2024")</f>
        <v/>
      </c>
      <c r="AA114">
        <f>HYPERLINK("https://klasma.github.io/Logging_0680/klagomål/A 50190-2024 FSC-klagomål.docx", "A 50190-2024")</f>
        <v/>
      </c>
      <c r="AB114">
        <f>HYPERLINK("https://klasma.github.io/Logging_0680/klagomålsmail/A 50190-2024 FSC-klagomål mail.docx", "A 50190-2024")</f>
        <v/>
      </c>
      <c r="AC114">
        <f>HYPERLINK("https://klasma.github.io/Logging_0680/tillsyn/A 50190-2024 tillsynsbegäran.docx", "A 50190-2024")</f>
        <v/>
      </c>
      <c r="AD114">
        <f>HYPERLINK("https://klasma.github.io/Logging_0680/tillsynsmail/A 50190-2024 tillsynsbegäran mail.docx", "A 50190-2024")</f>
        <v/>
      </c>
    </row>
    <row r="115" ht="15" customHeight="1">
      <c r="A115" t="inlineStr">
        <is>
          <t>A 30868-2026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46212</v>
      </c>
      <c r="E115" s="1" t="n">
        <v>46284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2.5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30868-2026 artfynd.xlsx", "A 30868-2026")</f>
        <v/>
      </c>
      <c r="X115">
        <f>HYPERLINK("https://klasma.github.io/Logging_0680/kartor/A 30868-2026 karta.png", "A 30868-2026")</f>
        <v/>
      </c>
      <c r="Y115">
        <f>HYPERLINK("https://klasma.github.io/Logging_0680/kartor_geotiff/A 30868-2026 georefererad karta.tif", "A 30868-2026")</f>
        <v/>
      </c>
      <c r="AA115">
        <f>HYPERLINK("https://klasma.github.io/Logging_0680/klagomål/A 30868-2026 FSC-klagomål.docx", "A 30868-2026")</f>
        <v/>
      </c>
      <c r="AB115">
        <f>HYPERLINK("https://klasma.github.io/Logging_0680/klagomålsmail/A 30868-2026 FSC-klagomål mail.docx", "A 30868-2026")</f>
        <v/>
      </c>
      <c r="AC115">
        <f>HYPERLINK("https://klasma.github.io/Logging_0680/tillsyn/A 30868-2026 tillsynsbegäran.docx", "A 30868-2026")</f>
        <v/>
      </c>
      <c r="AD115">
        <f>HYPERLINK("https://klasma.github.io/Logging_0680/tillsynsmail/A 30868-2026 tillsynsbegäran mail.docx", "A 30868-2026")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46284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54424-2024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46284</v>
      </c>
      <c r="F117" t="inlineStr">
        <is>
          <t>JÖNKÖPINGS LÄN</t>
        </is>
      </c>
      <c r="G117" t="inlineStr">
        <is>
          <t>JÖNKÖPING</t>
        </is>
      </c>
      <c r="I117" t="n">
        <v>6.2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HYPERLINK("https://klasma.github.io/Logging_0680/artfynd/A 54424-2024 artfynd.xlsx", "A 54424-2024")</f>
        <v/>
      </c>
      <c r="X117">
        <f>HYPERLINK("https://klasma.github.io/Logging_0680/kartor/A 54424-2024 karta.png", "A 54424-2024")</f>
        <v/>
      </c>
      <c r="Y117">
        <f>HYPERLINK("https://klasma.github.io/Logging_0680/kartor_geotiff/A 54424-2024 georefererad karta.tif", "A 54424-2024")</f>
        <v/>
      </c>
      <c r="AA117">
        <f>HYPERLINK("https://klasma.github.io/Logging_0680/klagomål/A 54424-2024 FSC-klagomål.docx", "A 54424-2024")</f>
        <v/>
      </c>
      <c r="AB117">
        <f>HYPERLINK("https://klasma.github.io/Logging_0680/klagomålsmail/A 54424-2024 FSC-klagomål mail.docx", "A 54424-2024")</f>
        <v/>
      </c>
      <c r="AC117">
        <f>HYPERLINK("https://klasma.github.io/Logging_0680/tillsyn/A 54424-2024 tillsynsbegäran.docx", "A 54424-2024")</f>
        <v/>
      </c>
      <c r="AD117">
        <f>HYPERLINK("https://klasma.github.io/Logging_0680/tillsynsmail/A 54424-2024 tillsynsbegäran mail.docx", "A 54424-2024")</f>
        <v/>
      </c>
    </row>
    <row r="118" ht="15" customHeight="1">
      <c r="A118" t="inlineStr">
        <is>
          <t>A 47040-2023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46284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HYPERLINK("https://klasma.github.io/Logging_0680/artfynd/A 47040-2023 artfynd.xlsx", "A 47040-2023")</f>
        <v/>
      </c>
      <c r="X118">
        <f>HYPERLINK("https://klasma.github.io/Logging_0680/kartor/A 47040-2023 karta.png", "A 47040-2023")</f>
        <v/>
      </c>
      <c r="Y118">
        <f>HYPERLINK("https://klasma.github.io/Logging_0680/kartor_geotiff/A 47040-2023 georefererad karta.tif", "A 47040-2023")</f>
        <v/>
      </c>
      <c r="AA118">
        <f>HYPERLINK("https://klasma.github.io/Logging_0680/klagomål/A 47040-2023 FSC-klagomål.docx", "A 47040-2023")</f>
        <v/>
      </c>
      <c r="AB118">
        <f>HYPERLINK("https://klasma.github.io/Logging_0680/klagomålsmail/A 47040-2023 FSC-klagomål mail.docx", "A 47040-2023")</f>
        <v/>
      </c>
      <c r="AC118">
        <f>HYPERLINK("https://klasma.github.io/Logging_0680/tillsyn/A 47040-2023 tillsynsbegäran.docx", "A 47040-2023")</f>
        <v/>
      </c>
      <c r="AD118">
        <f>HYPERLINK("https://klasma.github.io/Logging_0680/tillsynsmail/A 47040-2023 tillsynsbegäran mail.docx", "A 47040-2023")</f>
        <v/>
      </c>
    </row>
    <row r="119" ht="15" customHeight="1">
      <c r="A119" t="inlineStr">
        <is>
          <t>A 71504-2021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46284</v>
      </c>
      <c r="F119" t="inlineStr">
        <is>
          <t>JÖNKÖPINGS LÄN</t>
        </is>
      </c>
      <c r="G119" t="inlineStr">
        <is>
          <t>JÖNKÖPING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HYPERLINK("https://klasma.github.io/Logging_0680/artfynd/A 71504-2021 artfynd.xlsx", "A 71504-2021")</f>
        <v/>
      </c>
      <c r="X119">
        <f>HYPERLINK("https://klasma.github.io/Logging_0680/kartor/A 71504-2021 karta.png", "A 71504-2021")</f>
        <v/>
      </c>
      <c r="Y119">
        <f>HYPERLINK("https://klasma.github.io/Logging_0680/kartor_geotiff/A 71504-2021 georefererad karta.tif", "A 71504-2021")</f>
        <v/>
      </c>
      <c r="AA119">
        <f>HYPERLINK("https://klasma.github.io/Logging_0680/klagomål/A 71504-2021 FSC-klagomål.docx", "A 71504-2021")</f>
        <v/>
      </c>
      <c r="AB119">
        <f>HYPERLINK("https://klasma.github.io/Logging_0680/klagomålsmail/A 71504-2021 FSC-klagomål mail.docx", "A 71504-2021")</f>
        <v/>
      </c>
      <c r="AC119">
        <f>HYPERLINK("https://klasma.github.io/Logging_0680/tillsyn/A 71504-2021 tillsynsbegäran.docx", "A 71504-2021")</f>
        <v/>
      </c>
      <c r="AD119">
        <f>HYPERLINK("https://klasma.github.io/Logging_0680/tillsynsmail/A 71504-2021 tillsynsbegäran mail.docx", "A 71504-2021")</f>
        <v/>
      </c>
    </row>
    <row r="120" ht="15" customHeight="1">
      <c r="A120" t="inlineStr">
        <is>
          <t>A 37885-2026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46279</v>
      </c>
      <c r="E120" s="1" t="n">
        <v>46284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Jungfrulin</t>
        </is>
      </c>
      <c r="W120">
        <f>HYPERLINK("https://klasma.github.io/Logging_0680/artfynd/A 37885-2026 artfynd.xlsx", "A 37885-2026")</f>
        <v/>
      </c>
      <c r="X120">
        <f>HYPERLINK("https://klasma.github.io/Logging_0680/kartor/A 37885-2026 karta.png", "A 37885-2026")</f>
        <v/>
      </c>
      <c r="Y120">
        <f>HYPERLINK("https://klasma.github.io/Logging_0680/kartor_geotiff/A 37885-2026 georefererad karta.tif", "A 37885-2026")</f>
        <v/>
      </c>
      <c r="AA120">
        <f>HYPERLINK("https://klasma.github.io/Logging_0680/klagomål/A 37885-2026 FSC-klagomål.docx", "A 37885-2026")</f>
        <v/>
      </c>
      <c r="AB120">
        <f>HYPERLINK("https://klasma.github.io/Logging_0680/klagomålsmail/A 37885-2026 FSC-klagomål mail.docx", "A 37885-2026")</f>
        <v/>
      </c>
      <c r="AC120">
        <f>HYPERLINK("https://klasma.github.io/Logging_0680/tillsyn/A 37885-2026 tillsynsbegäran.docx", "A 37885-2026")</f>
        <v/>
      </c>
      <c r="AD120">
        <f>HYPERLINK("https://klasma.github.io/Logging_0680/tillsynsmail/A 37885-2026 tillsynsbegäran mail.docx", "A 37885-2026")</f>
        <v/>
      </c>
    </row>
    <row r="121" ht="15" customHeight="1">
      <c r="A121" t="inlineStr">
        <is>
          <t>A 14221-2025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46284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Gaffelglim</t>
        </is>
      </c>
      <c r="W121">
        <f>HYPERLINK("https://klasma.github.io/Logging_0680/artfynd/A 14221-2025 artfynd.xlsx", "A 14221-2025")</f>
        <v/>
      </c>
      <c r="X121">
        <f>HYPERLINK("https://klasma.github.io/Logging_0680/kartor/A 14221-2025 karta.png", "A 14221-2025")</f>
        <v/>
      </c>
      <c r="Y121">
        <f>HYPERLINK("https://klasma.github.io/Logging_0680/kartor_geotiff/A 14221-2025 georefererad karta.tif", "A 14221-2025")</f>
        <v/>
      </c>
      <c r="AA121">
        <f>HYPERLINK("https://klasma.github.io/Logging_0680/klagomål/A 14221-2025 FSC-klagomål.docx", "A 14221-2025")</f>
        <v/>
      </c>
      <c r="AB121">
        <f>HYPERLINK("https://klasma.github.io/Logging_0680/klagomålsmail/A 14221-2025 FSC-klagomål mail.docx", "A 14221-2025")</f>
        <v/>
      </c>
      <c r="AC121">
        <f>HYPERLINK("https://klasma.github.io/Logging_0680/tillsyn/A 14221-2025 tillsynsbegäran.docx", "A 14221-2025")</f>
        <v/>
      </c>
      <c r="AD121">
        <f>HYPERLINK("https://klasma.github.io/Logging_0680/tillsynsmail/A 14221-2025 tillsynsbegäran mail.docx", "A 14221-2025")</f>
        <v/>
      </c>
    </row>
    <row r="122" ht="15" customHeight="1">
      <c r="A122" t="inlineStr">
        <is>
          <t>A 47492-2024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45587</v>
      </c>
      <c r="E122" s="1" t="n">
        <v>46284</v>
      </c>
      <c r="F122" t="inlineStr">
        <is>
          <t>JÖNKÖPINGS LÄN</t>
        </is>
      </c>
      <c r="G122" t="inlineStr">
        <is>
          <t>JÖNKÖPING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Ask</t>
        </is>
      </c>
      <c r="W122">
        <f>HYPERLINK("https://klasma.github.io/Logging_0680/artfynd/A 47492-2024 artfynd.xlsx", "A 47492-2024")</f>
        <v/>
      </c>
      <c r="X122">
        <f>HYPERLINK("https://klasma.github.io/Logging_0680/kartor/A 47492-2024 karta.png", "A 47492-2024")</f>
        <v/>
      </c>
      <c r="Y122">
        <f>HYPERLINK("https://klasma.github.io/Logging_0680/kartor_geotiff/A 47492-2024 georefererad karta.tif", "A 47492-2024")</f>
        <v/>
      </c>
      <c r="AA122">
        <f>HYPERLINK("https://klasma.github.io/Logging_0680/klagomål/A 47492-2024 FSC-klagomål.docx", "A 47492-2024")</f>
        <v/>
      </c>
      <c r="AB122">
        <f>HYPERLINK("https://klasma.github.io/Logging_0680/klagomålsmail/A 47492-2024 FSC-klagomål mail.docx", "A 47492-2024")</f>
        <v/>
      </c>
      <c r="AC122">
        <f>HYPERLINK("https://klasma.github.io/Logging_0680/tillsyn/A 47492-2024 tillsynsbegäran.docx", "A 47492-2024")</f>
        <v/>
      </c>
      <c r="AD122">
        <f>HYPERLINK("https://klasma.github.io/Logging_0680/tillsynsmail/A 47492-2024 tillsynsbegäran mail.docx", "A 47492-2024")</f>
        <v/>
      </c>
    </row>
    <row r="123" ht="15" customHeight="1">
      <c r="A123" t="inlineStr">
        <is>
          <t>A 33405-2025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46284</v>
      </c>
      <c r="F123" t="inlineStr">
        <is>
          <t>JÖNKÖPINGS LÄN</t>
        </is>
      </c>
      <c r="G123" t="inlineStr">
        <is>
          <t>JÖNKÖPING</t>
        </is>
      </c>
      <c r="I123" t="n">
        <v>3.9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Läkeögontröst</t>
        </is>
      </c>
      <c r="W123">
        <f>HYPERLINK("https://klasma.github.io/Logging_0680/artfynd/A 33405-2025 artfynd.xlsx", "A 33405-2025")</f>
        <v/>
      </c>
      <c r="X123">
        <f>HYPERLINK("https://klasma.github.io/Logging_0680/kartor/A 33405-2025 karta.png", "A 33405-2025")</f>
        <v/>
      </c>
      <c r="Y123">
        <f>HYPERLINK("https://klasma.github.io/Logging_0680/kartor_geotiff/A 33405-2025 georefererad karta.tif", "A 33405-2025")</f>
        <v/>
      </c>
      <c r="AA123">
        <f>HYPERLINK("https://klasma.github.io/Logging_0680/klagomål/A 33405-2025 FSC-klagomål.docx", "A 33405-2025")</f>
        <v/>
      </c>
      <c r="AB123">
        <f>HYPERLINK("https://klasma.github.io/Logging_0680/klagomålsmail/A 33405-2025 FSC-klagomål mail.docx", "A 33405-2025")</f>
        <v/>
      </c>
      <c r="AC123">
        <f>HYPERLINK("https://klasma.github.io/Logging_0680/tillsyn/A 33405-2025 tillsynsbegäran.docx", "A 33405-2025")</f>
        <v/>
      </c>
      <c r="AD123">
        <f>HYPERLINK("https://klasma.github.io/Logging_0680/tillsynsmail/A 33405-2025 tillsynsbegäran mail.docx", "A 33405-2025")</f>
        <v/>
      </c>
    </row>
    <row r="124" ht="15" customHeight="1">
      <c r="A124" t="inlineStr">
        <is>
          <t>A 33849-2025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46284</v>
      </c>
      <c r="F124" t="inlineStr">
        <is>
          <t>JÖNKÖPINGS LÄN</t>
        </is>
      </c>
      <c r="G124" t="inlineStr">
        <is>
          <t>JÖNKÖPING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4</v>
      </c>
      <c r="U124" t="n">
        <v>4</v>
      </c>
      <c r="V124" s="2" t="inlineStr">
        <is>
          <t>Jungfrulin</t>
        </is>
      </c>
      <c r="W124">
        <f>HYPERLINK("https://klasma.github.io/Logging_0680/artfynd/A 33849-2025 artfynd.xlsx", "A 33849-2025")</f>
        <v/>
      </c>
      <c r="X124">
        <f>HYPERLINK("https://klasma.github.io/Logging_0680/kartor/A 33849-2025 karta.png", "A 33849-2025")</f>
        <v/>
      </c>
      <c r="Y124">
        <f>HYPERLINK("https://klasma.github.io/Logging_0680/kartor_geotiff/A 33849-2025 georefererad karta.tif", "A 33849-2025")</f>
        <v/>
      </c>
      <c r="AA124">
        <f>HYPERLINK("https://klasma.github.io/Logging_0680/klagomål/A 33849-2025 FSC-klagomål.docx", "A 33849-2025")</f>
        <v/>
      </c>
      <c r="AB124">
        <f>HYPERLINK("https://klasma.github.io/Logging_0680/klagomålsmail/A 33849-2025 FSC-klagomål mail.docx", "A 33849-2025")</f>
        <v/>
      </c>
      <c r="AC124">
        <f>HYPERLINK("https://klasma.github.io/Logging_0680/tillsyn/A 33849-2025 tillsynsbegäran.docx", "A 33849-2025")</f>
        <v/>
      </c>
      <c r="AD124">
        <f>HYPERLINK("https://klasma.github.io/Logging_0680/tillsynsmail/A 33849-2025 tillsynsbegäran mail.docx", "A 33849-2025")</f>
        <v/>
      </c>
    </row>
    <row r="125" ht="15" customHeight="1">
      <c r="A125" t="inlineStr">
        <is>
          <t>A 54325-2024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46284</v>
      </c>
      <c r="F125" t="inlineStr">
        <is>
          <t>JÖNKÖPINGS LÄN</t>
        </is>
      </c>
      <c r="G125" t="inlineStr">
        <is>
          <t>JÖNKÖPING</t>
        </is>
      </c>
      <c r="I125" t="n">
        <v>8.699999999999999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HYPERLINK("https://klasma.github.io/Logging_0680/artfynd/A 54325-2024 artfynd.xlsx", "A 54325-2024")</f>
        <v/>
      </c>
      <c r="X125">
        <f>HYPERLINK("https://klasma.github.io/Logging_0680/kartor/A 54325-2024 karta.png", "A 54325-2024")</f>
        <v/>
      </c>
      <c r="Y125">
        <f>HYPERLINK("https://klasma.github.io/Logging_0680/kartor_geotiff/A 54325-2024 georefererad karta.tif", "A 54325-2024")</f>
        <v/>
      </c>
      <c r="AA125">
        <f>HYPERLINK("https://klasma.github.io/Logging_0680/klagomål/A 54325-2024 FSC-klagomål.docx", "A 54325-2024")</f>
        <v/>
      </c>
      <c r="AB125">
        <f>HYPERLINK("https://klasma.github.io/Logging_0680/klagomålsmail/A 54325-2024 FSC-klagomål mail.docx", "A 54325-2024")</f>
        <v/>
      </c>
      <c r="AC125">
        <f>HYPERLINK("https://klasma.github.io/Logging_0680/tillsyn/A 54325-2024 tillsynsbegäran.docx", "A 54325-2024")</f>
        <v/>
      </c>
      <c r="AD125">
        <f>HYPERLINK("https://klasma.github.io/Logging_0680/tillsynsmail/A 54325-2024 tillsynsbegäran mail.docx", "A 54325-2024")</f>
        <v/>
      </c>
      <c r="AE125">
        <f>HYPERLINK("https://klasma.github.io/Logging_0680/fåglar/A 54325-2024 prioriterade fågelarter.docx", "A 54325-2024")</f>
        <v/>
      </c>
    </row>
    <row r="126" ht="15" customHeight="1">
      <c r="A126" t="inlineStr">
        <is>
          <t>A 34597-2025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46284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Kyrkan</t>
        </is>
      </c>
      <c r="I126" t="n">
        <v>7.3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HYPERLINK("https://klasma.github.io/Logging_0680/artfynd/A 34597-2025 artfynd.xlsx", "A 34597-2025")</f>
        <v/>
      </c>
      <c r="X126">
        <f>HYPERLINK("https://klasma.github.io/Logging_0680/kartor/A 34597-2025 karta.png", "A 34597-2025")</f>
        <v/>
      </c>
      <c r="Y126">
        <f>HYPERLINK("https://klasma.github.io/Logging_0680/kartor_geotiff/A 34597-2025 georefererad karta.tif", "A 34597-2025")</f>
        <v/>
      </c>
      <c r="Z126">
        <f>HYPERLINK("https://klasma.github.io/Logging_0680/knärot/A 34597-2025 karta knärot.png", "A 34597-2025")</f>
        <v/>
      </c>
      <c r="AA126">
        <f>HYPERLINK("https://klasma.github.io/Logging_0680/klagomål/A 34597-2025 FSC-klagomål.docx", "A 34597-2025")</f>
        <v/>
      </c>
      <c r="AB126">
        <f>HYPERLINK("https://klasma.github.io/Logging_0680/klagomålsmail/A 34597-2025 FSC-klagomål mail.docx", "A 34597-2025")</f>
        <v/>
      </c>
      <c r="AC126">
        <f>HYPERLINK("https://klasma.github.io/Logging_0680/tillsyn/A 34597-2025 tillsynsbegäran.docx", "A 34597-2025")</f>
        <v/>
      </c>
      <c r="AD126">
        <f>HYPERLINK("https://klasma.github.io/Logging_0680/tillsynsmail/A 34597-2025 tillsynsbegäran mail.docx", "A 34597-2025")</f>
        <v/>
      </c>
    </row>
    <row r="127" ht="15" customHeight="1">
      <c r="A127" t="inlineStr">
        <is>
          <t>S 273-2023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44955</v>
      </c>
      <c r="E127" s="1" t="n">
        <v>46284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26.3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Hållav</t>
        </is>
      </c>
      <c r="W127">
        <f>HYPERLINK("https://klasma.github.io/Logging_0680/artfynd/S 273-2023 artfynd.xlsx", "S 273-2023")</f>
        <v/>
      </c>
      <c r="X127">
        <f>HYPERLINK("https://klasma.github.io/Logging_0680/kartor/S 273-2023 karta.png", "S 273-2023")</f>
        <v/>
      </c>
      <c r="Y127">
        <f>HYPERLINK("https://klasma.github.io/Logging_0680/kartor_geotiff/S 273-2023 georefererad karta.tif", "S 273-2023")</f>
        <v/>
      </c>
      <c r="AA127">
        <f>HYPERLINK("https://klasma.github.io/Logging_0680/klagomål/S 273-2023 FSC-klagomål.docx", "S 273-2023")</f>
        <v/>
      </c>
      <c r="AB127">
        <f>HYPERLINK("https://klasma.github.io/Logging_0680/klagomålsmail/S 273-2023 FSC-klagomål mail.docx", "S 273-2023")</f>
        <v/>
      </c>
      <c r="AC127">
        <f>HYPERLINK("https://klasma.github.io/Logging_0680/tillsyn/S 273-2023 tillsynsbegäran.docx", "S 273-2023")</f>
        <v/>
      </c>
      <c r="AD127">
        <f>HYPERLINK("https://klasma.github.io/Logging_0680/tillsynsmail/S 273-2023 tillsynsbegäran mail.docx", "S 273-2023")</f>
        <v/>
      </c>
    </row>
    <row r="128" ht="15" customHeight="1">
      <c r="A128" t="inlineStr">
        <is>
          <t>S 1266-2023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45029</v>
      </c>
      <c r="E128" s="1" t="n">
        <v>46284</v>
      </c>
      <c r="F128" t="inlineStr">
        <is>
          <t>JÖNKÖPINGS LÄN</t>
        </is>
      </c>
      <c r="G128" t="inlineStr">
        <is>
          <t>JÖNKÖPING</t>
        </is>
      </c>
      <c r="I128" t="n">
        <v>16.7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Grönsångare</t>
        </is>
      </c>
      <c r="W128">
        <f>HYPERLINK("https://klasma.github.io/Logging_0680/artfynd/S 1266-2023 artfynd.xlsx", "S 1266-2023")</f>
        <v/>
      </c>
      <c r="X128">
        <f>HYPERLINK("https://klasma.github.io/Logging_0680/kartor/S 1266-2023 karta.png", "S 1266-2023")</f>
        <v/>
      </c>
      <c r="Y128">
        <f>HYPERLINK("https://klasma.github.io/Logging_0680/kartor_geotiff/S 1266-2023 georefererad karta.tif", "S 1266-2023")</f>
        <v/>
      </c>
      <c r="AA128">
        <f>HYPERLINK("https://klasma.github.io/Logging_0680/klagomål/S 1266-2023 FSC-klagomål.docx", "S 1266-2023")</f>
        <v/>
      </c>
      <c r="AB128">
        <f>HYPERLINK("https://klasma.github.io/Logging_0680/klagomålsmail/S 1266-2023 FSC-klagomål mail.docx", "S 1266-2023")</f>
        <v/>
      </c>
      <c r="AC128">
        <f>HYPERLINK("https://klasma.github.io/Logging_0680/tillsyn/S 1266-2023 tillsynsbegäran.docx", "S 1266-2023")</f>
        <v/>
      </c>
      <c r="AD128">
        <f>HYPERLINK("https://klasma.github.io/Logging_0680/tillsynsmail/S 1266-2023 tillsynsbegäran mail.docx", "S 1266-2023")</f>
        <v/>
      </c>
      <c r="AE128">
        <f>HYPERLINK("https://klasma.github.io/Logging_0680/fåglar/S 1266-2023 prioriterade fågelarter.docx", "S 1266-2023")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46284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46284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575-2025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45712</v>
      </c>
      <c r="E131" s="1" t="n">
        <v>46284</v>
      </c>
      <c r="F131" t="inlineStr">
        <is>
          <t>JÖNKÖPINGS LÄN</t>
        </is>
      </c>
      <c r="G131" t="inlineStr">
        <is>
          <t>JÖNKÖPING</t>
        </is>
      </c>
      <c r="I131" t="n">
        <v>14.1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HYPERLINK("https://klasma.github.io/Logging_0680/artfynd/S 575-2025 artfynd.xlsx", "S 575-2025")</f>
        <v/>
      </c>
      <c r="X131">
        <f>HYPERLINK("https://klasma.github.io/Logging_0680/kartor/S 575-2025 karta.png", "S 575-2025")</f>
        <v/>
      </c>
      <c r="Y131">
        <f>HYPERLINK("https://klasma.github.io/Logging_0680/kartor_geotiff/S 575-2025 georefererad karta.tif", "S 575-2025")</f>
        <v/>
      </c>
      <c r="AA131">
        <f>HYPERLINK("https://klasma.github.io/Logging_0680/klagomål/S 575-2025 FSC-klagomål.docx", "S 575-2025")</f>
        <v/>
      </c>
      <c r="AB131">
        <f>HYPERLINK("https://klasma.github.io/Logging_0680/klagomålsmail/S 575-2025 FSC-klagomål mail.docx", "S 575-2025")</f>
        <v/>
      </c>
      <c r="AC131">
        <f>HYPERLINK("https://klasma.github.io/Logging_0680/tillsyn/S 575-2025 tillsynsbegäran.docx", "S 575-2025")</f>
        <v/>
      </c>
      <c r="AD131">
        <f>HYPERLINK("https://klasma.github.io/Logging_0680/tillsynsmail/S 575-2025 tillsynsbegäran mail.docx", "S 575-2025")</f>
        <v/>
      </c>
    </row>
    <row r="132" ht="15" customHeight="1">
      <c r="A132" t="inlineStr">
        <is>
          <t>S 571-2025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45712</v>
      </c>
      <c r="E132" s="1" t="n">
        <v>46284</v>
      </c>
      <c r="F132" t="inlineStr">
        <is>
          <t>JÖNKÖPINGS LÄN</t>
        </is>
      </c>
      <c r="G132" t="inlineStr">
        <is>
          <t>JÖNKÖPING</t>
        </is>
      </c>
      <c r="I132" t="n">
        <v>34.2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HYPERLINK("https://klasma.github.io/Logging_0680/artfynd/S 571-2025 artfynd.xlsx", "S 571-2025")</f>
        <v/>
      </c>
      <c r="X132">
        <f>HYPERLINK("https://klasma.github.io/Logging_0680/kartor/S 571-2025 karta.png", "S 571-2025")</f>
        <v/>
      </c>
      <c r="Y132">
        <f>HYPERLINK("https://klasma.github.io/Logging_0680/kartor_geotiff/S 571-2025 georefererad karta.tif", "S 571-2025")</f>
        <v/>
      </c>
      <c r="AA132">
        <f>HYPERLINK("https://klasma.github.io/Logging_0680/klagomål/S 571-2025 FSC-klagomål.docx", "S 571-2025")</f>
        <v/>
      </c>
      <c r="AB132">
        <f>HYPERLINK("https://klasma.github.io/Logging_0680/klagomålsmail/S 571-2025 FSC-klagomål mail.docx", "S 571-2025")</f>
        <v/>
      </c>
      <c r="AC132">
        <f>HYPERLINK("https://klasma.github.io/Logging_0680/tillsyn/S 571-2025 tillsynsbegäran.docx", "S 571-2025")</f>
        <v/>
      </c>
      <c r="AD132">
        <f>HYPERLINK("https://klasma.github.io/Logging_0680/tillsynsmail/S 571-2025 tillsynsbegäran mail.docx", "S 571-2025")</f>
        <v/>
      </c>
      <c r="AE132">
        <f>HYPERLINK("https://klasma.github.io/Logging_0680/fåglar/S 571-2025 prioriterade fågelarter.docx", "S 571-2025")</f>
        <v/>
      </c>
    </row>
    <row r="133" ht="15" customHeight="1">
      <c r="A133" t="inlineStr">
        <is>
          <t>S 2136-2025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45846</v>
      </c>
      <c r="E133" s="1" t="n">
        <v>46284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60.1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Nattskärra</t>
        </is>
      </c>
      <c r="W133">
        <f>HYPERLINK("https://klasma.github.io/Logging_0680/artfynd/S 2136-2025 artfynd.xlsx", "S 2136-2025")</f>
        <v/>
      </c>
      <c r="X133">
        <f>HYPERLINK("https://klasma.github.io/Logging_0680/kartor/S 2136-2025 karta.png", "S 2136-2025")</f>
        <v/>
      </c>
      <c r="Y133">
        <f>HYPERLINK("https://klasma.github.io/Logging_0680/kartor_geotiff/S 2136-2025 georefererad karta.tif", "S 2136-2025")</f>
        <v/>
      </c>
      <c r="AA133">
        <f>HYPERLINK("https://klasma.github.io/Logging_0680/klagomål/S 2136-2025 FSC-klagomål.docx", "S 2136-2025")</f>
        <v/>
      </c>
      <c r="AB133">
        <f>HYPERLINK("https://klasma.github.io/Logging_0680/klagomålsmail/S 2136-2025 FSC-klagomål mail.docx", "S 2136-2025")</f>
        <v/>
      </c>
      <c r="AC133">
        <f>HYPERLINK("https://klasma.github.io/Logging_0680/tillsyn/S 2136-2025 tillsynsbegäran.docx", "S 2136-2025")</f>
        <v/>
      </c>
      <c r="AD133">
        <f>HYPERLINK("https://klasma.github.io/Logging_0680/tillsynsmail/S 2136-2025 tillsynsbegäran mail.docx", "S 2136-2025")</f>
        <v/>
      </c>
      <c r="AE133">
        <f>HYPERLINK("https://klasma.github.io/Logging_0680/fåglar/S 2136-2025 prioriterade fågelarter.docx", "S 2136-2025")</f>
        <v/>
      </c>
    </row>
    <row r="134" ht="15" customHeight="1">
      <c r="A134" t="inlineStr">
        <is>
          <t>A 60720-2021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46284</v>
      </c>
      <c r="F134" t="inlineStr">
        <is>
          <t>JÖNKÖPINGS LÄN</t>
        </is>
      </c>
      <c r="G134" t="inlineStr">
        <is>
          <t>JÖNKÖPING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44575</v>
      </c>
      <c r="E135" s="1" t="n">
        <v>46284</v>
      </c>
      <c r="F135" t="inlineStr">
        <is>
          <t>JÖNKÖPINGS LÄN</t>
        </is>
      </c>
      <c r="G135" t="inlineStr">
        <is>
          <t>JÖNKÖPING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46284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46284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46284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46284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46284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46284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46284</v>
      </c>
      <c r="F142" t="inlineStr">
        <is>
          <t>JÖNKÖPINGS LÄN</t>
        </is>
      </c>
      <c r="G142" t="inlineStr">
        <is>
          <t>JÖNKÖPING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46284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46284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46284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46284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46284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46284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46284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46284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46284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46284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46284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46284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46284</v>
      </c>
      <c r="F155" t="inlineStr">
        <is>
          <t>JÖNKÖPINGS LÄN</t>
        </is>
      </c>
      <c r="G155" t="inlineStr">
        <is>
          <t>JÖNKÖPING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46284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46284</v>
      </c>
      <c r="F157" t="inlineStr">
        <is>
          <t>JÖNKÖPINGS LÄN</t>
        </is>
      </c>
      <c r="G157" t="inlineStr">
        <is>
          <t>JÖNKÖPING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46284</v>
      </c>
      <c r="F158" t="inlineStr">
        <is>
          <t>JÖNKÖPINGS LÄN</t>
        </is>
      </c>
      <c r="G158" t="inlineStr">
        <is>
          <t>JÖNKÖPING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46284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46284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46284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46284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46284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46284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46284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46284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46284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46284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46284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46284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46284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46284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46284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46284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46284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46284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46284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46284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46284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46284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46284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46284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46284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46284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46284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46284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46284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46284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46284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46284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46284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46284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46284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46284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46284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46284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46284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46284</v>
      </c>
      <c r="F198" t="inlineStr">
        <is>
          <t>JÖNKÖPINGS LÄN</t>
        </is>
      </c>
      <c r="G198" t="inlineStr">
        <is>
          <t>JÖNKÖPING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44711</v>
      </c>
      <c r="E199" s="1" t="n">
        <v>46284</v>
      </c>
      <c r="F199" t="inlineStr">
        <is>
          <t>JÖNKÖPINGS LÄN</t>
        </is>
      </c>
      <c r="G199" t="inlineStr">
        <is>
          <t>JÖNKÖPING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46284</v>
      </c>
      <c r="F200" t="inlineStr">
        <is>
          <t>JÖNKÖPINGS LÄN</t>
        </is>
      </c>
      <c r="G200" t="inlineStr">
        <is>
          <t>JÖNKÖPING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46284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46284</v>
      </c>
      <c r="F202" t="inlineStr">
        <is>
          <t>JÖNKÖPINGS LÄN</t>
        </is>
      </c>
      <c r="G202" t="inlineStr">
        <is>
          <t>JÖNKÖPING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46284</v>
      </c>
      <c r="F203" t="inlineStr">
        <is>
          <t>JÖNKÖPINGS LÄN</t>
        </is>
      </c>
      <c r="G203" t="inlineStr">
        <is>
          <t>JÖNKÖPING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46284</v>
      </c>
      <c r="F204" t="inlineStr">
        <is>
          <t>JÖNKÖPINGS LÄN</t>
        </is>
      </c>
      <c r="G204" t="inlineStr">
        <is>
          <t>JÖNKÖPING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46284</v>
      </c>
      <c r="F205" t="inlineStr">
        <is>
          <t>JÖNKÖPINGS LÄN</t>
        </is>
      </c>
      <c r="G205" t="inlineStr">
        <is>
          <t>JÖNKÖPING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46284</v>
      </c>
      <c r="F206" t="inlineStr">
        <is>
          <t>JÖNKÖPINGS LÄN</t>
        </is>
      </c>
      <c r="G206" t="inlineStr">
        <is>
          <t>JÖNKÖPING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45697</v>
      </c>
      <c r="E207" s="1" t="n">
        <v>46284</v>
      </c>
      <c r="F207" t="inlineStr">
        <is>
          <t>JÖNKÖPINGS LÄN</t>
        </is>
      </c>
      <c r="G207" t="inlineStr">
        <is>
          <t>JÖNKÖPING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46284</v>
      </c>
      <c r="F208" t="inlineStr">
        <is>
          <t>JÖNKÖPINGS LÄN</t>
        </is>
      </c>
      <c r="G208" t="inlineStr">
        <is>
          <t>JÖNKÖPING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45048</v>
      </c>
      <c r="E209" s="1" t="n">
        <v>46284</v>
      </c>
      <c r="F209" t="inlineStr">
        <is>
          <t>JÖNKÖPINGS LÄN</t>
        </is>
      </c>
      <c r="G209" t="inlineStr">
        <is>
          <t>JÖNKÖPING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45605</v>
      </c>
      <c r="E210" s="1" t="n">
        <v>46284</v>
      </c>
      <c r="F210" t="inlineStr">
        <is>
          <t>JÖNKÖPINGS LÄN</t>
        </is>
      </c>
      <c r="G210" t="inlineStr">
        <is>
          <t>JÖNKÖPING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45152</v>
      </c>
      <c r="E211" s="1" t="n">
        <v>46284</v>
      </c>
      <c r="F211" t="inlineStr">
        <is>
          <t>JÖNKÖPINGS LÄN</t>
        </is>
      </c>
      <c r="G211" t="inlineStr">
        <is>
          <t>JÖNKÖPING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46284</v>
      </c>
      <c r="F212" t="inlineStr">
        <is>
          <t>JÖNKÖPINGS LÄN</t>
        </is>
      </c>
      <c r="G212" t="inlineStr">
        <is>
          <t>JÖNKÖPING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44589</v>
      </c>
      <c r="E213" s="1" t="n">
        <v>46284</v>
      </c>
      <c r="F213" t="inlineStr">
        <is>
          <t>JÖNKÖPINGS LÄN</t>
        </is>
      </c>
      <c r="G213" t="inlineStr">
        <is>
          <t>JÖNKÖPING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46284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46284</v>
      </c>
      <c r="F215" t="inlineStr">
        <is>
          <t>JÖNKÖPINGS LÄN</t>
        </is>
      </c>
      <c r="G215" t="inlineStr">
        <is>
          <t>JÖNKÖPING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46284</v>
      </c>
      <c r="F216" t="inlineStr">
        <is>
          <t>JÖNKÖPINGS LÄN</t>
        </is>
      </c>
      <c r="G216" t="inlineStr">
        <is>
          <t>JÖNKÖPING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46284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44998</v>
      </c>
      <c r="E218" s="1" t="n">
        <v>46284</v>
      </c>
      <c r="F218" t="inlineStr">
        <is>
          <t>JÖNKÖPINGS LÄN</t>
        </is>
      </c>
      <c r="G218" t="inlineStr">
        <is>
          <t>JÖNKÖPING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46284</v>
      </c>
      <c r="F219" t="inlineStr">
        <is>
          <t>JÖNKÖPINGS LÄN</t>
        </is>
      </c>
      <c r="G219" t="inlineStr">
        <is>
          <t>JÖNKÖPING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46284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46284</v>
      </c>
      <c r="F221" t="inlineStr">
        <is>
          <t>JÖNKÖPINGS LÄN</t>
        </is>
      </c>
      <c r="G221" t="inlineStr">
        <is>
          <t>JÖNKÖPING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45295</v>
      </c>
      <c r="E222" s="1" t="n">
        <v>46284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20388-2024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45435</v>
      </c>
      <c r="E223" s="1" t="n">
        <v>46284</v>
      </c>
      <c r="F223" t="inlineStr">
        <is>
          <t>JÖNKÖPINGS LÄN</t>
        </is>
      </c>
      <c r="G223" t="inlineStr">
        <is>
          <t>JÖNKÖPING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46284</v>
      </c>
      <c r="F224" t="inlineStr">
        <is>
          <t>JÖNKÖPINGS LÄN</t>
        </is>
      </c>
      <c r="G224" t="inlineStr">
        <is>
          <t>JÖNKÖPING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46284</v>
      </c>
      <c r="F225" t="inlineStr">
        <is>
          <t>JÖNKÖPINGS LÄN</t>
        </is>
      </c>
      <c r="G225" t="inlineStr">
        <is>
          <t>JÖNKÖPING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46284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46284</v>
      </c>
      <c r="F227" t="inlineStr">
        <is>
          <t>JÖNKÖPINGS LÄN</t>
        </is>
      </c>
      <c r="G227" t="inlineStr">
        <is>
          <t>JÖNKÖPING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46284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Kyrkan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46284</v>
      </c>
      <c r="F229" t="inlineStr">
        <is>
          <t>JÖNKÖPINGS LÄN</t>
        </is>
      </c>
      <c r="G229" t="inlineStr">
        <is>
          <t>JÖNKÖPING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46284</v>
      </c>
      <c r="F230" t="inlineStr">
        <is>
          <t>JÖNKÖPINGS LÄN</t>
        </is>
      </c>
      <c r="G230" t="inlineStr">
        <is>
          <t>JÖNKÖPING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46284</v>
      </c>
      <c r="F231" t="inlineStr">
        <is>
          <t>JÖNKÖPINGS LÄN</t>
        </is>
      </c>
      <c r="G231" t="inlineStr">
        <is>
          <t>JÖNKÖPING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46284</v>
      </c>
      <c r="F232" t="inlineStr">
        <is>
          <t>JÖNKÖPINGS LÄN</t>
        </is>
      </c>
      <c r="G232" t="inlineStr">
        <is>
          <t>JÖNKÖPING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46284</v>
      </c>
      <c r="F233" t="inlineStr">
        <is>
          <t>JÖNKÖPINGS LÄN</t>
        </is>
      </c>
      <c r="G233" t="inlineStr">
        <is>
          <t>JÖNKÖPING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46284</v>
      </c>
      <c r="F234" t="inlineStr">
        <is>
          <t>JÖNKÖPINGS LÄN</t>
        </is>
      </c>
      <c r="G234" t="inlineStr">
        <is>
          <t>JÖNKÖPING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46284</v>
      </c>
      <c r="F235" t="inlineStr">
        <is>
          <t>JÖNKÖPINGS LÄN</t>
        </is>
      </c>
      <c r="G235" t="inlineStr">
        <is>
          <t>JÖNKÖPING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45184</v>
      </c>
      <c r="E236" s="1" t="n">
        <v>46284</v>
      </c>
      <c r="F236" t="inlineStr">
        <is>
          <t>JÖNKÖPINGS LÄN</t>
        </is>
      </c>
      <c r="G236" t="inlineStr">
        <is>
          <t>JÖNKÖPING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45116</v>
      </c>
      <c r="E237" s="1" t="n">
        <v>46284</v>
      </c>
      <c r="F237" t="inlineStr">
        <is>
          <t>JÖNKÖPINGS LÄN</t>
        </is>
      </c>
      <c r="G237" t="inlineStr">
        <is>
          <t>JÖNKÖPING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46284</v>
      </c>
      <c r="F238" t="inlineStr">
        <is>
          <t>JÖNKÖPINGS LÄN</t>
        </is>
      </c>
      <c r="G238" t="inlineStr">
        <is>
          <t>JÖNKÖPING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46284</v>
      </c>
      <c r="F239" t="inlineStr">
        <is>
          <t>JÖNKÖPINGS LÄN</t>
        </is>
      </c>
      <c r="G239" t="inlineStr">
        <is>
          <t>JÖNKÖPING</t>
        </is>
      </c>
      <c r="I239" t="n">
        <v>14.5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46284</v>
      </c>
      <c r="F240" t="inlineStr">
        <is>
          <t>JÖNKÖPINGS LÄN</t>
        </is>
      </c>
      <c r="G240" t="inlineStr">
        <is>
          <t>JÖNKÖPING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59269-2022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46284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44897</v>
      </c>
      <c r="E242" s="1" t="n">
        <v>46284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44904</v>
      </c>
      <c r="E243" s="1" t="n">
        <v>46284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Kommuner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57095-2021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44482</v>
      </c>
      <c r="E244" s="1" t="n">
        <v>46284</v>
      </c>
      <c r="F244" t="inlineStr">
        <is>
          <t>JÖNKÖPINGS LÄN</t>
        </is>
      </c>
      <c r="G244" t="inlineStr">
        <is>
          <t>JÖNKÖPING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44662</v>
      </c>
      <c r="E245" s="1" t="n">
        <v>46284</v>
      </c>
      <c r="F245" t="inlineStr">
        <is>
          <t>JÖNKÖPINGS LÄN</t>
        </is>
      </c>
      <c r="G245" t="inlineStr">
        <is>
          <t>JÖNKÖPING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46284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46284</v>
      </c>
      <c r="F247" t="inlineStr">
        <is>
          <t>JÖNKÖPINGS LÄN</t>
        </is>
      </c>
      <c r="G247" t="inlineStr">
        <is>
          <t>JÖNKÖPING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45406</v>
      </c>
      <c r="E248" s="1" t="n">
        <v>46284</v>
      </c>
      <c r="F248" t="inlineStr">
        <is>
          <t>JÖNKÖPINGS LÄN</t>
        </is>
      </c>
      <c r="G248" t="inlineStr">
        <is>
          <t>JÖNKÖPING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46284</v>
      </c>
      <c r="F249" t="inlineStr">
        <is>
          <t>JÖNKÖPINGS LÄN</t>
        </is>
      </c>
      <c r="G249" t="inlineStr">
        <is>
          <t>JÖNKÖPING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46284</v>
      </c>
      <c r="F250" t="inlineStr">
        <is>
          <t>JÖNKÖPINGS LÄN</t>
        </is>
      </c>
      <c r="G250" t="inlineStr">
        <is>
          <t>JÖNKÖPING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46284</v>
      </c>
      <c r="F251" t="inlineStr">
        <is>
          <t>JÖNKÖPINGS LÄN</t>
        </is>
      </c>
      <c r="G251" t="inlineStr">
        <is>
          <t>JÖNKÖPING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44592</v>
      </c>
      <c r="E252" s="1" t="n">
        <v>46284</v>
      </c>
      <c r="F252" t="inlineStr">
        <is>
          <t>JÖNKÖPINGS LÄN</t>
        </is>
      </c>
      <c r="G252" t="inlineStr">
        <is>
          <t>JÖNKÖPING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46284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46284</v>
      </c>
      <c r="F254" t="inlineStr">
        <is>
          <t>JÖNKÖPINGS LÄN</t>
        </is>
      </c>
      <c r="G254" t="inlineStr">
        <is>
          <t>JÖNKÖPING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45455</v>
      </c>
      <c r="E255" s="1" t="n">
        <v>46284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45461</v>
      </c>
      <c r="E256" s="1" t="n">
        <v>46284</v>
      </c>
      <c r="F256" t="inlineStr">
        <is>
          <t>JÖNKÖPINGS LÄN</t>
        </is>
      </c>
      <c r="G256" t="inlineStr">
        <is>
          <t>JÖNKÖPING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10204-2022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44622</v>
      </c>
      <c r="E257" s="1" t="n">
        <v>46284</v>
      </c>
      <c r="F257" t="inlineStr">
        <is>
          <t>JÖNKÖPINGS LÄN</t>
        </is>
      </c>
      <c r="G257" t="inlineStr">
        <is>
          <t>JÖNKÖPING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46284</v>
      </c>
      <c r="F258" t="inlineStr">
        <is>
          <t>JÖNKÖPINGS LÄN</t>
        </is>
      </c>
      <c r="G258" t="inlineStr">
        <is>
          <t>JÖNKÖPING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44893</v>
      </c>
      <c r="E259" s="1" t="n">
        <v>46284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Övriga statliga verk och myndigheter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45037</v>
      </c>
      <c r="E260" s="1" t="n">
        <v>46284</v>
      </c>
      <c r="F260" t="inlineStr">
        <is>
          <t>JÖNKÖPINGS LÄN</t>
        </is>
      </c>
      <c r="G260" t="inlineStr">
        <is>
          <t>JÖNKÖPING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50192-2024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45600</v>
      </c>
      <c r="E261" s="1" t="n">
        <v>46284</v>
      </c>
      <c r="F261" t="inlineStr">
        <is>
          <t>JÖNKÖPINGS LÄN</t>
        </is>
      </c>
      <c r="G261" t="inlineStr">
        <is>
          <t>JÖNKÖPING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50193-2024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45600</v>
      </c>
      <c r="E262" s="1" t="n">
        <v>46284</v>
      </c>
      <c r="F262" t="inlineStr">
        <is>
          <t>JÖNKÖPINGS LÄN</t>
        </is>
      </c>
      <c r="G262" t="inlineStr">
        <is>
          <t>JÖNKÖPING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46284</v>
      </c>
      <c r="F263" t="inlineStr">
        <is>
          <t>JÖNKÖPINGS LÄN</t>
        </is>
      </c>
      <c r="G263" t="inlineStr">
        <is>
          <t>JÖNKÖPING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46284</v>
      </c>
      <c r="F264" t="inlineStr">
        <is>
          <t>JÖNKÖPINGS LÄN</t>
        </is>
      </c>
      <c r="G264" t="inlineStr">
        <is>
          <t>JÖNKÖPING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46284</v>
      </c>
      <c r="F265" t="inlineStr">
        <is>
          <t>JÖNKÖPINGS LÄN</t>
        </is>
      </c>
      <c r="G265" t="inlineStr">
        <is>
          <t>JÖNKÖPING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45468</v>
      </c>
      <c r="E266" s="1" t="n">
        <v>46284</v>
      </c>
      <c r="F266" t="inlineStr">
        <is>
          <t>JÖNKÖPINGS LÄN</t>
        </is>
      </c>
      <c r="G266" t="inlineStr">
        <is>
          <t>JÖNKÖPING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11236-2024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45371</v>
      </c>
      <c r="E267" s="1" t="n">
        <v>46284</v>
      </c>
      <c r="F267" t="inlineStr">
        <is>
          <t>JÖNKÖPINGS LÄN</t>
        </is>
      </c>
      <c r="G267" t="inlineStr">
        <is>
          <t>JÖNKÖPING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45682</v>
      </c>
      <c r="E268" s="1" t="n">
        <v>46284</v>
      </c>
      <c r="F268" t="inlineStr">
        <is>
          <t>JÖNKÖPINGS LÄN</t>
        </is>
      </c>
      <c r="G268" t="inlineStr">
        <is>
          <t>JÖNKÖPING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46284</v>
      </c>
      <c r="F269" t="inlineStr">
        <is>
          <t>JÖNKÖPINGS LÄN</t>
        </is>
      </c>
      <c r="G269" t="inlineStr">
        <is>
          <t>JÖNKÖPING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45617</v>
      </c>
      <c r="E270" s="1" t="n">
        <v>46284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3427-2022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44585</v>
      </c>
      <c r="E271" s="1" t="n">
        <v>46284</v>
      </c>
      <c r="F271" t="inlineStr">
        <is>
          <t>JÖNKÖPINGS LÄN</t>
        </is>
      </c>
      <c r="G271" t="inlineStr">
        <is>
          <t>JÖNKÖPING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36272-2023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45152</v>
      </c>
      <c r="E272" s="1" t="n">
        <v>46284</v>
      </c>
      <c r="F272" t="inlineStr">
        <is>
          <t>JÖNKÖPINGS LÄN</t>
        </is>
      </c>
      <c r="G272" t="inlineStr">
        <is>
          <t>JÖNKÖPING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8185-2024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45351</v>
      </c>
      <c r="E273" s="1" t="n">
        <v>46284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45976-2022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44846</v>
      </c>
      <c r="E274" s="1" t="n">
        <v>46284</v>
      </c>
      <c r="F274" t="inlineStr">
        <is>
          <t>JÖNKÖPINGS LÄN</t>
        </is>
      </c>
      <c r="G274" t="inlineStr">
        <is>
          <t>JÖNKÖPING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46284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Kommuner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45502</v>
      </c>
      <c r="E276" s="1" t="n">
        <v>46284</v>
      </c>
      <c r="F276" t="inlineStr">
        <is>
          <t>JÖNKÖPINGS LÄN</t>
        </is>
      </c>
      <c r="G276" t="inlineStr">
        <is>
          <t>JÖNKÖPING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45189</v>
      </c>
      <c r="E277" s="1" t="n">
        <v>46284</v>
      </c>
      <c r="F277" t="inlineStr">
        <is>
          <t>JÖNKÖPINGS LÄN</t>
        </is>
      </c>
      <c r="G277" t="inlineStr">
        <is>
          <t>JÖNKÖPING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46284</v>
      </c>
      <c r="F278" t="inlineStr">
        <is>
          <t>JÖNKÖPINGS LÄN</t>
        </is>
      </c>
      <c r="G278" t="inlineStr">
        <is>
          <t>JÖNKÖPING</t>
        </is>
      </c>
      <c r="I278" t="n">
        <v>8.4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46284</v>
      </c>
      <c r="F279" t="inlineStr">
        <is>
          <t>JÖNKÖPINGS LÄN</t>
        </is>
      </c>
      <c r="G279" t="inlineStr">
        <is>
          <t>JÖNKÖPING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45294</v>
      </c>
      <c r="E280" s="1" t="n">
        <v>46284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63207-2021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44507</v>
      </c>
      <c r="E281" s="1" t="n">
        <v>46284</v>
      </c>
      <c r="F281" t="inlineStr">
        <is>
          <t>JÖNKÖPINGS LÄN</t>
        </is>
      </c>
      <c r="G281" t="inlineStr">
        <is>
          <t>JÖNKÖPING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45079</v>
      </c>
      <c r="E282" s="1" t="n">
        <v>46284</v>
      </c>
      <c r="F282" t="inlineStr">
        <is>
          <t>JÖNKÖPINGS LÄN</t>
        </is>
      </c>
      <c r="G282" t="inlineStr">
        <is>
          <t>JÖNKÖPING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46284</v>
      </c>
      <c r="F283" t="inlineStr">
        <is>
          <t>JÖNKÖPINGS LÄN</t>
        </is>
      </c>
      <c r="G283" t="inlineStr">
        <is>
          <t>JÖNKÖPING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44626</v>
      </c>
      <c r="E284" s="1" t="n">
        <v>46284</v>
      </c>
      <c r="F284" t="inlineStr">
        <is>
          <t>JÖNKÖPINGS LÄN</t>
        </is>
      </c>
      <c r="G284" t="inlineStr">
        <is>
          <t>JÖNKÖPING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46284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Kyrkan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46284</v>
      </c>
      <c r="F286" t="inlineStr">
        <is>
          <t>JÖNKÖPINGS LÄN</t>
        </is>
      </c>
      <c r="G286" t="inlineStr">
        <is>
          <t>JÖNKÖPING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44950</v>
      </c>
      <c r="E287" s="1" t="n">
        <v>46284</v>
      </c>
      <c r="F287" t="inlineStr">
        <is>
          <t>JÖNKÖPINGS LÄN</t>
        </is>
      </c>
      <c r="G287" t="inlineStr">
        <is>
          <t>JÖNKÖPING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56062-2023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45240</v>
      </c>
      <c r="E288" s="1" t="n">
        <v>46284</v>
      </c>
      <c r="F288" t="inlineStr">
        <is>
          <t>JÖNKÖPINGS LÄN</t>
        </is>
      </c>
      <c r="G288" t="inlineStr">
        <is>
          <t>JÖNKÖPING</t>
        </is>
      </c>
      <c r="I288" t="n">
        <v>13.6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46284</v>
      </c>
      <c r="F289" t="inlineStr">
        <is>
          <t>JÖNKÖPINGS LÄN</t>
        </is>
      </c>
      <c r="G289" t="inlineStr">
        <is>
          <t>JÖNKÖPING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45566</v>
      </c>
      <c r="E290" s="1" t="n">
        <v>46284</v>
      </c>
      <c r="F290" t="inlineStr">
        <is>
          <t>JÖNKÖPINGS LÄN</t>
        </is>
      </c>
      <c r="G290" t="inlineStr">
        <is>
          <t>JÖNKÖPING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46284</v>
      </c>
      <c r="F291" t="inlineStr">
        <is>
          <t>JÖNKÖPINGS LÄN</t>
        </is>
      </c>
      <c r="G291" t="inlineStr">
        <is>
          <t>JÖNKÖPING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43668-2022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44837</v>
      </c>
      <c r="E292" s="1" t="n">
        <v>46284</v>
      </c>
      <c r="F292" t="inlineStr">
        <is>
          <t>JÖNKÖPINGS LÄN</t>
        </is>
      </c>
      <c r="G292" t="inlineStr">
        <is>
          <t>JÖNKÖPING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46284</v>
      </c>
      <c r="F293" t="inlineStr">
        <is>
          <t>JÖNKÖPINGS LÄN</t>
        </is>
      </c>
      <c r="G293" t="inlineStr">
        <is>
          <t>JÖNKÖPING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46284</v>
      </c>
      <c r="F294" t="inlineStr">
        <is>
          <t>JÖNKÖPINGS LÄN</t>
        </is>
      </c>
      <c r="G294" t="inlineStr">
        <is>
          <t>JÖNKÖPING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44614</v>
      </c>
      <c r="E295" s="1" t="n">
        <v>46284</v>
      </c>
      <c r="F295" t="inlineStr">
        <is>
          <t>JÖNKÖPINGS LÄN</t>
        </is>
      </c>
      <c r="G295" t="inlineStr">
        <is>
          <t>JÖNKÖPING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45021</v>
      </c>
      <c r="E296" s="1" t="n">
        <v>46284</v>
      </c>
      <c r="F296" t="inlineStr">
        <is>
          <t>JÖNKÖPINGS LÄN</t>
        </is>
      </c>
      <c r="G296" t="inlineStr">
        <is>
          <t>JÖNKÖPING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46284</v>
      </c>
      <c r="F297" t="inlineStr">
        <is>
          <t>JÖNKÖPINGS LÄN</t>
        </is>
      </c>
      <c r="G297" t="inlineStr">
        <is>
          <t>JÖNKÖPING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46284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44867</v>
      </c>
      <c r="E299" s="1" t="n">
        <v>46284</v>
      </c>
      <c r="F299" t="inlineStr">
        <is>
          <t>JÖNKÖPINGS LÄN</t>
        </is>
      </c>
      <c r="G299" t="inlineStr">
        <is>
          <t>JÖNKÖPING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46284</v>
      </c>
      <c r="F300" t="inlineStr">
        <is>
          <t>JÖNKÖPINGS LÄN</t>
        </is>
      </c>
      <c r="G300" t="inlineStr">
        <is>
          <t>JÖNKÖPING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46284</v>
      </c>
      <c r="F301" t="inlineStr">
        <is>
          <t>JÖNKÖPINGS LÄN</t>
        </is>
      </c>
      <c r="G301" t="inlineStr">
        <is>
          <t>JÖNKÖPING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46284</v>
      </c>
      <c r="F302" t="inlineStr">
        <is>
          <t>JÖNKÖPINGS LÄN</t>
        </is>
      </c>
      <c r="G302" t="inlineStr">
        <is>
          <t>JÖNKÖPING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46284</v>
      </c>
      <c r="F303" t="inlineStr">
        <is>
          <t>JÖNKÖPINGS LÄN</t>
        </is>
      </c>
      <c r="G303" t="inlineStr">
        <is>
          <t>JÖNKÖPING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40923-2024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45558</v>
      </c>
      <c r="E304" s="1" t="n">
        <v>46284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46284</v>
      </c>
      <c r="F305" t="inlineStr">
        <is>
          <t>JÖNKÖPINGS LÄN</t>
        </is>
      </c>
      <c r="G305" t="inlineStr">
        <is>
          <t>JÖNKÖPING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46284</v>
      </c>
      <c r="F306" t="inlineStr">
        <is>
          <t>JÖNKÖPINGS LÄN</t>
        </is>
      </c>
      <c r="G306" t="inlineStr">
        <is>
          <t>JÖNKÖPING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45008</v>
      </c>
      <c r="E307" s="1" t="n">
        <v>46284</v>
      </c>
      <c r="F307" t="inlineStr">
        <is>
          <t>JÖNKÖPINGS LÄN</t>
        </is>
      </c>
      <c r="G307" t="inlineStr">
        <is>
          <t>JÖNKÖPING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45105</v>
      </c>
      <c r="E308" s="1" t="n">
        <v>46284</v>
      </c>
      <c r="F308" t="inlineStr">
        <is>
          <t>JÖNKÖPINGS LÄN</t>
        </is>
      </c>
      <c r="G308" t="inlineStr">
        <is>
          <t>JÖNKÖPING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46284</v>
      </c>
      <c r="F309" t="inlineStr">
        <is>
          <t>JÖNKÖPINGS LÄN</t>
        </is>
      </c>
      <c r="G309" t="inlineStr">
        <is>
          <t>JÖNKÖPING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45758</v>
      </c>
      <c r="E310" s="1" t="n">
        <v>46284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27608-2024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46284</v>
      </c>
      <c r="F311" t="inlineStr">
        <is>
          <t>JÖNKÖPINGS LÄN</t>
        </is>
      </c>
      <c r="G311" t="inlineStr">
        <is>
          <t>JÖNKÖPING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45124</v>
      </c>
      <c r="E312" s="1" t="n">
        <v>46284</v>
      </c>
      <c r="F312" t="inlineStr">
        <is>
          <t>JÖNKÖPINGS LÄN</t>
        </is>
      </c>
      <c r="G312" t="inlineStr">
        <is>
          <t>JÖNKÖPING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45759</v>
      </c>
      <c r="E313" s="1" t="n">
        <v>46284</v>
      </c>
      <c r="F313" t="inlineStr">
        <is>
          <t>JÖNKÖPINGS LÄN</t>
        </is>
      </c>
      <c r="G313" t="inlineStr">
        <is>
          <t>JÖNKÖPING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45051</v>
      </c>
      <c r="E314" s="1" t="n">
        <v>46284</v>
      </c>
      <c r="F314" t="inlineStr">
        <is>
          <t>JÖNKÖPINGS LÄN</t>
        </is>
      </c>
      <c r="G314" t="inlineStr">
        <is>
          <t>JÖNKÖPING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46284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45730</v>
      </c>
      <c r="E316" s="1" t="n">
        <v>46284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57930-2021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44487</v>
      </c>
      <c r="E317" s="1" t="n">
        <v>46284</v>
      </c>
      <c r="F317" t="inlineStr">
        <is>
          <t>JÖNKÖPINGS LÄN</t>
        </is>
      </c>
      <c r="G317" t="inlineStr">
        <is>
          <t>JÖNKÖPING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46284</v>
      </c>
      <c r="F318" t="inlineStr">
        <is>
          <t>JÖNKÖPINGS LÄN</t>
        </is>
      </c>
      <c r="G318" t="inlineStr">
        <is>
          <t>JÖNKÖPING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45846</v>
      </c>
      <c r="E319" s="1" t="n">
        <v>46284</v>
      </c>
      <c r="F319" t="inlineStr">
        <is>
          <t>JÖNKÖPINGS LÄN</t>
        </is>
      </c>
      <c r="G319" t="inlineStr">
        <is>
          <t>JÖNKÖPING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46284</v>
      </c>
      <c r="F320" t="inlineStr">
        <is>
          <t>JÖNKÖPINGS LÄN</t>
        </is>
      </c>
      <c r="G320" t="inlineStr">
        <is>
          <t>JÖNKÖPING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11497-2022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44631</v>
      </c>
      <c r="E321" s="1" t="n">
        <v>46284</v>
      </c>
      <c r="F321" t="inlineStr">
        <is>
          <t>JÖNKÖPINGS LÄN</t>
        </is>
      </c>
      <c r="G321" t="inlineStr">
        <is>
          <t>JÖNKÖPING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45892</v>
      </c>
      <c r="E322" s="1" t="n">
        <v>46284</v>
      </c>
      <c r="F322" t="inlineStr">
        <is>
          <t>JÖNKÖPINGS LÄN</t>
        </is>
      </c>
      <c r="G322" t="inlineStr">
        <is>
          <t>JÖNKÖPING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45892</v>
      </c>
      <c r="E323" s="1" t="n">
        <v>46284</v>
      </c>
      <c r="F323" t="inlineStr">
        <is>
          <t>JÖNKÖPINGS LÄN</t>
        </is>
      </c>
      <c r="G323" t="inlineStr">
        <is>
          <t>JÖNKÖPING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45892</v>
      </c>
      <c r="E324" s="1" t="n">
        <v>46284</v>
      </c>
      <c r="F324" t="inlineStr">
        <is>
          <t>JÖNKÖPINGS LÄN</t>
        </is>
      </c>
      <c r="G324" t="inlineStr">
        <is>
          <t>JÖNKÖPING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45552</v>
      </c>
      <c r="E325" s="1" t="n">
        <v>46284</v>
      </c>
      <c r="F325" t="inlineStr">
        <is>
          <t>JÖNKÖPINGS LÄN</t>
        </is>
      </c>
      <c r="G325" t="inlineStr">
        <is>
          <t>JÖNKÖPING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46284</v>
      </c>
      <c r="F326" t="inlineStr">
        <is>
          <t>JÖNKÖPINGS LÄN</t>
        </is>
      </c>
      <c r="G326" t="inlineStr">
        <is>
          <t>JÖNKÖPING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44483</v>
      </c>
      <c r="E327" s="1" t="n">
        <v>46284</v>
      </c>
      <c r="F327" t="inlineStr">
        <is>
          <t>JÖNKÖPINGS LÄN</t>
        </is>
      </c>
      <c r="G327" t="inlineStr">
        <is>
          <t>JÖNKÖPING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46284</v>
      </c>
      <c r="F328" t="inlineStr">
        <is>
          <t>JÖNKÖPINGS LÄN</t>
        </is>
      </c>
      <c r="G328" t="inlineStr">
        <is>
          <t>JÖNKÖPING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38901-2025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45887</v>
      </c>
      <c r="E329" s="1" t="n">
        <v>46284</v>
      </c>
      <c r="F329" t="inlineStr">
        <is>
          <t>JÖNKÖPINGS LÄN</t>
        </is>
      </c>
      <c r="G329" t="inlineStr">
        <is>
          <t>JÖNKÖPING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46284</v>
      </c>
      <c r="F330" t="inlineStr">
        <is>
          <t>JÖNKÖPINGS LÄN</t>
        </is>
      </c>
      <c r="G330" t="inlineStr">
        <is>
          <t>JÖNKÖPING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45679</v>
      </c>
      <c r="E331" s="1" t="n">
        <v>46284</v>
      </c>
      <c r="F331" t="inlineStr">
        <is>
          <t>JÖNKÖPINGS LÄN</t>
        </is>
      </c>
      <c r="G331" t="inlineStr">
        <is>
          <t>JÖNKÖPING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45947</v>
      </c>
      <c r="E332" s="1" t="n">
        <v>46284</v>
      </c>
      <c r="F332" t="inlineStr">
        <is>
          <t>JÖNKÖPINGS LÄN</t>
        </is>
      </c>
      <c r="G332" t="inlineStr">
        <is>
          <t>JÖNKÖPING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46284</v>
      </c>
      <c r="F333" t="inlineStr">
        <is>
          <t>JÖNKÖPINGS LÄN</t>
        </is>
      </c>
      <c r="G333" t="inlineStr">
        <is>
          <t>JÖNKÖPING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46284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46284</v>
      </c>
      <c r="F335" t="inlineStr">
        <is>
          <t>JÖNKÖPINGS LÄN</t>
        </is>
      </c>
      <c r="G335" t="inlineStr">
        <is>
          <t>JÖNKÖPING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44923</v>
      </c>
      <c r="E336" s="1" t="n">
        <v>46284</v>
      </c>
      <c r="F336" t="inlineStr">
        <is>
          <t>JÖNKÖPINGS LÄN</t>
        </is>
      </c>
      <c r="G336" t="inlineStr">
        <is>
          <t>JÖNKÖPING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46284</v>
      </c>
      <c r="F337" t="inlineStr">
        <is>
          <t>JÖNKÖPINGS LÄN</t>
        </is>
      </c>
      <c r="G337" t="inlineStr">
        <is>
          <t>JÖNKÖPING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46284</v>
      </c>
      <c r="F338" t="inlineStr">
        <is>
          <t>JÖNKÖPINGS LÄN</t>
        </is>
      </c>
      <c r="G338" t="inlineStr">
        <is>
          <t>JÖNKÖPING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46284</v>
      </c>
      <c r="F339" t="inlineStr">
        <is>
          <t>JÖNKÖPINGS LÄN</t>
        </is>
      </c>
      <c r="G339" t="inlineStr">
        <is>
          <t>JÖNKÖPING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46284</v>
      </c>
      <c r="F340" t="inlineStr">
        <is>
          <t>JÖNKÖPINGS LÄN</t>
        </is>
      </c>
      <c r="G340" t="inlineStr">
        <is>
          <t>JÖNKÖPING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45764</v>
      </c>
      <c r="E341" s="1" t="n">
        <v>46284</v>
      </c>
      <c r="F341" t="inlineStr">
        <is>
          <t>JÖNKÖPINGS LÄN</t>
        </is>
      </c>
      <c r="G341" t="inlineStr">
        <is>
          <t>JÖNKÖPING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45300</v>
      </c>
      <c r="E342" s="1" t="n">
        <v>46284</v>
      </c>
      <c r="F342" t="inlineStr">
        <is>
          <t>JÖNKÖPINGS LÄN</t>
        </is>
      </c>
      <c r="G342" t="inlineStr">
        <is>
          <t>JÖNKÖPING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45734</v>
      </c>
      <c r="E343" s="1" t="n">
        <v>46284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45693</v>
      </c>
      <c r="E344" s="1" t="n">
        <v>46284</v>
      </c>
      <c r="F344" t="inlineStr">
        <is>
          <t>JÖNKÖPINGS LÄN</t>
        </is>
      </c>
      <c r="G344" t="inlineStr">
        <is>
          <t>JÖNKÖPING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46284</v>
      </c>
      <c r="F345" t="inlineStr">
        <is>
          <t>JÖNKÖPINGS LÄN</t>
        </is>
      </c>
      <c r="G345" t="inlineStr">
        <is>
          <t>JÖNKÖPING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46284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45902</v>
      </c>
      <c r="E347" s="1" t="n">
        <v>46284</v>
      </c>
      <c r="F347" t="inlineStr">
        <is>
          <t>JÖNKÖPINGS LÄN</t>
        </is>
      </c>
      <c r="G347" t="inlineStr">
        <is>
          <t>JÖNKÖPING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45455</v>
      </c>
      <c r="E348" s="1" t="n">
        <v>46284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56131-2022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44889</v>
      </c>
      <c r="E349" s="1" t="n">
        <v>46284</v>
      </c>
      <c r="F349" t="inlineStr">
        <is>
          <t>JÖNKÖPINGS LÄN</t>
        </is>
      </c>
      <c r="G349" t="inlineStr">
        <is>
          <t>JÖNKÖPING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44775-2025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46284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45875</v>
      </c>
      <c r="E351" s="1" t="n">
        <v>46284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44853</v>
      </c>
      <c r="E352" s="1" t="n">
        <v>46284</v>
      </c>
      <c r="F352" t="inlineStr">
        <is>
          <t>JÖNKÖPINGS LÄN</t>
        </is>
      </c>
      <c r="G352" t="inlineStr">
        <is>
          <t>JÖNKÖPING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46284</v>
      </c>
      <c r="F353" t="inlineStr">
        <is>
          <t>JÖNKÖPINGS LÄN</t>
        </is>
      </c>
      <c r="G353" t="inlineStr">
        <is>
          <t>JÖNKÖPING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44988</v>
      </c>
      <c r="E354" s="1" t="n">
        <v>46284</v>
      </c>
      <c r="F354" t="inlineStr">
        <is>
          <t>JÖNKÖPINGS LÄN</t>
        </is>
      </c>
      <c r="G354" t="inlineStr">
        <is>
          <t>JÖNKÖPING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46284</v>
      </c>
      <c r="F355" t="inlineStr">
        <is>
          <t>JÖNKÖPINGS LÄN</t>
        </is>
      </c>
      <c r="G355" t="inlineStr">
        <is>
          <t>JÖNKÖPING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45471</v>
      </c>
      <c r="E356" s="1" t="n">
        <v>46284</v>
      </c>
      <c r="F356" t="inlineStr">
        <is>
          <t>JÖNKÖPINGS LÄN</t>
        </is>
      </c>
      <c r="G356" t="inlineStr">
        <is>
          <t>JÖNKÖPING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46284</v>
      </c>
      <c r="F357" t="inlineStr">
        <is>
          <t>JÖNKÖPINGS LÄN</t>
        </is>
      </c>
      <c r="G357" t="inlineStr">
        <is>
          <t>JÖNKÖPING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45775</v>
      </c>
      <c r="E358" s="1" t="n">
        <v>46284</v>
      </c>
      <c r="F358" t="inlineStr">
        <is>
          <t>JÖNKÖPINGS LÄN</t>
        </is>
      </c>
      <c r="G358" t="inlineStr">
        <is>
          <t>JÖNKÖPING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45364</v>
      </c>
      <c r="E359" s="1" t="n">
        <v>46284</v>
      </c>
      <c r="F359" t="inlineStr">
        <is>
          <t>JÖNKÖPINGS LÄN</t>
        </is>
      </c>
      <c r="G359" t="inlineStr">
        <is>
          <t>JÖNKÖPING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46284</v>
      </c>
      <c r="F360" t="inlineStr">
        <is>
          <t>JÖNKÖPINGS LÄN</t>
        </is>
      </c>
      <c r="G360" t="inlineStr">
        <is>
          <t>JÖNKÖPING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8809-2024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45356</v>
      </c>
      <c r="E361" s="1" t="n">
        <v>46284</v>
      </c>
      <c r="F361" t="inlineStr">
        <is>
          <t>JÖNKÖPINGS LÄN</t>
        </is>
      </c>
      <c r="G361" t="inlineStr">
        <is>
          <t>JÖNKÖPING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45181</v>
      </c>
      <c r="E362" s="1" t="n">
        <v>46284</v>
      </c>
      <c r="F362" t="inlineStr">
        <is>
          <t>JÖNKÖPINGS LÄN</t>
        </is>
      </c>
      <c r="G362" t="inlineStr">
        <is>
          <t>JÖNKÖPING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44882</v>
      </c>
      <c r="E363" s="1" t="n">
        <v>46284</v>
      </c>
      <c r="F363" t="inlineStr">
        <is>
          <t>JÖNKÖPINGS LÄN</t>
        </is>
      </c>
      <c r="G363" t="inlineStr">
        <is>
          <t>JÖNKÖPING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44965</v>
      </c>
      <c r="E364" s="1" t="n">
        <v>46284</v>
      </c>
      <c r="F364" t="inlineStr">
        <is>
          <t>JÖNKÖPINGS LÄN</t>
        </is>
      </c>
      <c r="G364" t="inlineStr">
        <is>
          <t>JÖNKÖPING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16072-2025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46284</v>
      </c>
      <c r="F365" t="inlineStr">
        <is>
          <t>JÖNKÖPINGS LÄN</t>
        </is>
      </c>
      <c r="G365" t="inlineStr">
        <is>
          <t>JÖNKÖPING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44648</v>
      </c>
      <c r="E366" s="1" t="n">
        <v>46284</v>
      </c>
      <c r="F366" t="inlineStr">
        <is>
          <t>JÖNKÖPINGS LÄN</t>
        </is>
      </c>
      <c r="G366" t="inlineStr">
        <is>
          <t>JÖNKÖPING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45934</v>
      </c>
      <c r="E367" s="1" t="n">
        <v>46284</v>
      </c>
      <c r="F367" t="inlineStr">
        <is>
          <t>JÖNKÖPINGS LÄN</t>
        </is>
      </c>
      <c r="G367" t="inlineStr">
        <is>
          <t>JÖNKÖPING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45406-2023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45194</v>
      </c>
      <c r="E368" s="1" t="n">
        <v>46284</v>
      </c>
      <c r="F368" t="inlineStr">
        <is>
          <t>JÖNKÖPINGS LÄN</t>
        </is>
      </c>
      <c r="G368" t="inlineStr">
        <is>
          <t>JÖNKÖPING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46284</v>
      </c>
      <c r="F369" t="inlineStr">
        <is>
          <t>JÖNKÖPINGS LÄN</t>
        </is>
      </c>
      <c r="G369" t="inlineStr">
        <is>
          <t>JÖNKÖPING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46284</v>
      </c>
      <c r="F370" t="inlineStr">
        <is>
          <t>JÖNKÖPINGS LÄN</t>
        </is>
      </c>
      <c r="G370" t="inlineStr">
        <is>
          <t>JÖNKÖPING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44943</v>
      </c>
      <c r="E371" s="1" t="n">
        <v>46284</v>
      </c>
      <c r="F371" t="inlineStr">
        <is>
          <t>JÖNKÖPINGS LÄN</t>
        </is>
      </c>
      <c r="G371" t="inlineStr">
        <is>
          <t>JÖNKÖPING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45587</v>
      </c>
      <c r="E372" s="1" t="n">
        <v>46284</v>
      </c>
      <c r="F372" t="inlineStr">
        <is>
          <t>JÖNKÖPINGS LÄN</t>
        </is>
      </c>
      <c r="G372" t="inlineStr">
        <is>
          <t>JÖNKÖPING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46284</v>
      </c>
      <c r="F373" t="inlineStr">
        <is>
          <t>JÖNKÖPINGS LÄN</t>
        </is>
      </c>
      <c r="G373" t="inlineStr">
        <is>
          <t>JÖNKÖPING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60284-2024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45642</v>
      </c>
      <c r="E374" s="1" t="n">
        <v>46284</v>
      </c>
      <c r="F374" t="inlineStr">
        <is>
          <t>JÖNKÖPINGS LÄN</t>
        </is>
      </c>
      <c r="G374" t="inlineStr">
        <is>
          <t>JÖNKÖPING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46284</v>
      </c>
      <c r="F375" t="inlineStr">
        <is>
          <t>JÖNKÖPINGS LÄN</t>
        </is>
      </c>
      <c r="G375" t="inlineStr">
        <is>
          <t>JÖNKÖPING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46284</v>
      </c>
      <c r="F376" t="inlineStr">
        <is>
          <t>JÖNKÖPINGS LÄN</t>
        </is>
      </c>
      <c r="G376" t="inlineStr">
        <is>
          <t>JÖNKÖPING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46284</v>
      </c>
      <c r="F377" t="inlineStr">
        <is>
          <t>JÖNKÖPINGS LÄN</t>
        </is>
      </c>
      <c r="G377" t="inlineStr">
        <is>
          <t>JÖNKÖPING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46284</v>
      </c>
      <c r="F378" t="inlineStr">
        <is>
          <t>JÖNKÖPINGS LÄN</t>
        </is>
      </c>
      <c r="G378" t="inlineStr">
        <is>
          <t>JÖNKÖPING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46284</v>
      </c>
      <c r="F379" t="inlineStr">
        <is>
          <t>JÖNKÖPINGS LÄN</t>
        </is>
      </c>
      <c r="G379" t="inlineStr">
        <is>
          <t>JÖNKÖPING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62909-2023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45271</v>
      </c>
      <c r="E380" s="1" t="n">
        <v>46284</v>
      </c>
      <c r="F380" t="inlineStr">
        <is>
          <t>JÖNKÖPINGS LÄN</t>
        </is>
      </c>
      <c r="G380" t="inlineStr">
        <is>
          <t>JÖNKÖPING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46284</v>
      </c>
      <c r="F381" t="inlineStr">
        <is>
          <t>JÖNKÖPINGS LÄN</t>
        </is>
      </c>
      <c r="G381" t="inlineStr">
        <is>
          <t>JÖNKÖPING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44803</v>
      </c>
      <c r="E382" s="1" t="n">
        <v>46284</v>
      </c>
      <c r="F382" t="inlineStr">
        <is>
          <t>JÖNKÖPINGS LÄN</t>
        </is>
      </c>
      <c r="G382" t="inlineStr">
        <is>
          <t>JÖNKÖPING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46284</v>
      </c>
      <c r="F383" t="inlineStr">
        <is>
          <t>JÖNKÖPINGS LÄN</t>
        </is>
      </c>
      <c r="G383" t="inlineStr">
        <is>
          <t>JÖNKÖPING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53280-2025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46284</v>
      </c>
      <c r="F384" t="inlineStr">
        <is>
          <t>JÖNKÖPINGS LÄN</t>
        </is>
      </c>
      <c r="G384" t="inlineStr">
        <is>
          <t>JÖNKÖPING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53283-2025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46284</v>
      </c>
      <c r="F385" t="inlineStr">
        <is>
          <t>JÖNKÖPINGS LÄN</t>
        </is>
      </c>
      <c r="G385" t="inlineStr">
        <is>
          <t>JÖNKÖPING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45673</v>
      </c>
      <c r="E386" s="1" t="n">
        <v>46284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44957</v>
      </c>
      <c r="E387" s="1" t="n">
        <v>46284</v>
      </c>
      <c r="F387" t="inlineStr">
        <is>
          <t>JÖNKÖPINGS LÄN</t>
        </is>
      </c>
      <c r="G387" t="inlineStr">
        <is>
          <t>JÖNKÖPING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46284</v>
      </c>
      <c r="F388" t="inlineStr">
        <is>
          <t>JÖNKÖPINGS LÄN</t>
        </is>
      </c>
      <c r="G388" t="inlineStr">
        <is>
          <t>JÖNKÖPING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46284</v>
      </c>
      <c r="F389" t="inlineStr">
        <is>
          <t>JÖNKÖPINGS LÄN</t>
        </is>
      </c>
      <c r="G389" t="inlineStr">
        <is>
          <t>JÖNKÖPING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46284</v>
      </c>
      <c r="F390" t="inlineStr">
        <is>
          <t>JÖNKÖPINGS LÄN</t>
        </is>
      </c>
      <c r="G390" t="inlineStr">
        <is>
          <t>JÖNKÖPING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46284</v>
      </c>
      <c r="F391" t="inlineStr">
        <is>
          <t>JÖNKÖPINGS LÄN</t>
        </is>
      </c>
      <c r="G391" t="inlineStr">
        <is>
          <t>JÖNKÖPING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45034</v>
      </c>
      <c r="E392" s="1" t="n">
        <v>46284</v>
      </c>
      <c r="F392" t="inlineStr">
        <is>
          <t>JÖNKÖPINGS LÄN</t>
        </is>
      </c>
      <c r="G392" t="inlineStr">
        <is>
          <t>JÖNKÖPING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46284</v>
      </c>
      <c r="F393" t="inlineStr">
        <is>
          <t>JÖNKÖPINGS LÄN</t>
        </is>
      </c>
      <c r="G393" t="inlineStr">
        <is>
          <t>JÖNKÖPING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46284</v>
      </c>
      <c r="F394" t="inlineStr">
        <is>
          <t>JÖNKÖPINGS LÄN</t>
        </is>
      </c>
      <c r="G394" t="inlineStr">
        <is>
          <t>JÖNKÖPING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46284</v>
      </c>
      <c r="F395" t="inlineStr">
        <is>
          <t>JÖNKÖPINGS LÄN</t>
        </is>
      </c>
      <c r="G395" t="inlineStr">
        <is>
          <t>JÖNKÖPING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46284</v>
      </c>
      <c r="F396" t="inlineStr">
        <is>
          <t>JÖNKÖPINGS LÄN</t>
        </is>
      </c>
      <c r="G396" t="inlineStr">
        <is>
          <t>JÖNKÖPING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53256-2021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44468</v>
      </c>
      <c r="E397" s="1" t="n">
        <v>46284</v>
      </c>
      <c r="F397" t="inlineStr">
        <is>
          <t>JÖNKÖPINGS LÄN</t>
        </is>
      </c>
      <c r="G397" t="inlineStr">
        <is>
          <t>JÖNKÖPING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46284</v>
      </c>
      <c r="F398" t="inlineStr">
        <is>
          <t>JÖNKÖPINGS LÄN</t>
        </is>
      </c>
      <c r="G398" t="inlineStr">
        <is>
          <t>JÖNKÖPING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45349</v>
      </c>
      <c r="E399" s="1" t="n">
        <v>46284</v>
      </c>
      <c r="F399" t="inlineStr">
        <is>
          <t>JÖNKÖPINGS LÄN</t>
        </is>
      </c>
      <c r="G399" t="inlineStr">
        <is>
          <t>JÖNKÖPING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46284</v>
      </c>
      <c r="F400" t="inlineStr">
        <is>
          <t>JÖNKÖPINGS LÄN</t>
        </is>
      </c>
      <c r="G400" t="inlineStr">
        <is>
          <t>JÖNKÖPING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46284</v>
      </c>
      <c r="F401" t="inlineStr">
        <is>
          <t>JÖNKÖPINGS LÄN</t>
        </is>
      </c>
      <c r="G401" t="inlineStr">
        <is>
          <t>JÖNKÖPING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18607-2025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45763</v>
      </c>
      <c r="E402" s="1" t="n">
        <v>46284</v>
      </c>
      <c r="F402" t="inlineStr">
        <is>
          <t>JÖNKÖPINGS LÄN</t>
        </is>
      </c>
      <c r="G402" t="inlineStr">
        <is>
          <t>JÖNKÖPING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46284</v>
      </c>
      <c r="F403" t="inlineStr">
        <is>
          <t>JÖNKÖPINGS LÄN</t>
        </is>
      </c>
      <c r="G403" t="inlineStr">
        <is>
          <t>JÖNKÖPING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46284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40273-2023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46284</v>
      </c>
      <c r="F405" t="inlineStr">
        <is>
          <t>JÖNKÖPINGS LÄN</t>
        </is>
      </c>
      <c r="G405" t="inlineStr">
        <is>
          <t>JÖNKÖPING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46284</v>
      </c>
      <c r="F406" t="inlineStr">
        <is>
          <t>JÖNKÖPINGS LÄN</t>
        </is>
      </c>
      <c r="G406" t="inlineStr">
        <is>
          <t>JÖNKÖPING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46284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21149-2022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44704</v>
      </c>
      <c r="E408" s="1" t="n">
        <v>46284</v>
      </c>
      <c r="F408" t="inlineStr">
        <is>
          <t>JÖNKÖPINGS LÄN</t>
        </is>
      </c>
      <c r="G408" t="inlineStr">
        <is>
          <t>JÖNKÖPING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15455-2024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45401</v>
      </c>
      <c r="E409" s="1" t="n">
        <v>46284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Kommuner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46284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46284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46284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45414</v>
      </c>
      <c r="E413" s="1" t="n">
        <v>46284</v>
      </c>
      <c r="F413" t="inlineStr">
        <is>
          <t>JÖNKÖPINGS LÄN</t>
        </is>
      </c>
      <c r="G413" t="inlineStr">
        <is>
          <t>JÖNKÖPING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45975</v>
      </c>
      <c r="E414" s="1" t="n">
        <v>46284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46284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46284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46284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46284</v>
      </c>
      <c r="F418" t="inlineStr">
        <is>
          <t>JÖNKÖPINGS LÄN</t>
        </is>
      </c>
      <c r="G418" t="inlineStr">
        <is>
          <t>JÖNKÖPING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46284</v>
      </c>
      <c r="F419" t="inlineStr">
        <is>
          <t>JÖNKÖPINGS LÄN</t>
        </is>
      </c>
      <c r="G419" t="inlineStr">
        <is>
          <t>JÖNKÖPING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46284</v>
      </c>
      <c r="F420" t="inlineStr">
        <is>
          <t>JÖNKÖPINGS LÄN</t>
        </is>
      </c>
      <c r="G420" t="inlineStr">
        <is>
          <t>JÖNKÖPING</t>
        </is>
      </c>
      <c r="H420" t="inlineStr">
        <is>
          <t>Kyrkan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46284</v>
      </c>
      <c r="F421" t="inlineStr">
        <is>
          <t>JÖNKÖPINGS LÄN</t>
        </is>
      </c>
      <c r="G421" t="inlineStr">
        <is>
          <t>JÖNKÖPING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46623-2023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45198</v>
      </c>
      <c r="E422" s="1" t="n">
        <v>46284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46628-2023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45198</v>
      </c>
      <c r="E423" s="1" t="n">
        <v>46284</v>
      </c>
      <c r="F423" t="inlineStr">
        <is>
          <t>JÖNKÖPINGS LÄN</t>
        </is>
      </c>
      <c r="G423" t="inlineStr">
        <is>
          <t>JÖNKÖPING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54876-2022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46284</v>
      </c>
      <c r="F424" t="inlineStr">
        <is>
          <t>JÖNKÖPINGS LÄN</t>
        </is>
      </c>
      <c r="G424" t="inlineStr">
        <is>
          <t>JÖNKÖPING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15190-2022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44658</v>
      </c>
      <c r="E425" s="1" t="n">
        <v>46284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45303</v>
      </c>
      <c r="E426" s="1" t="n">
        <v>46284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45580</v>
      </c>
      <c r="E427" s="1" t="n">
        <v>46284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73003-2021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44550</v>
      </c>
      <c r="E428" s="1" t="n">
        <v>46284</v>
      </c>
      <c r="F428" t="inlineStr">
        <is>
          <t>JÖNKÖPINGS LÄN</t>
        </is>
      </c>
      <c r="G428" t="inlineStr">
        <is>
          <t>JÖNKÖPING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23788-2024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45455</v>
      </c>
      <c r="E429" s="1" t="n">
        <v>46284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45130</v>
      </c>
      <c r="E430" s="1" t="n">
        <v>46284</v>
      </c>
      <c r="F430" t="inlineStr">
        <is>
          <t>JÖNKÖPINGS LÄN</t>
        </is>
      </c>
      <c r="G430" t="inlineStr">
        <is>
          <t>JÖNKÖPING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46284</v>
      </c>
      <c r="F431" t="inlineStr">
        <is>
          <t>JÖNKÖPINGS LÄN</t>
        </is>
      </c>
      <c r="G431" t="inlineStr">
        <is>
          <t>JÖNKÖPING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38917-2024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45547</v>
      </c>
      <c r="E432" s="1" t="n">
        <v>46284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45112</v>
      </c>
      <c r="E433" s="1" t="n">
        <v>46284</v>
      </c>
      <c r="F433" t="inlineStr">
        <is>
          <t>JÖNKÖPINGS LÄN</t>
        </is>
      </c>
      <c r="G433" t="inlineStr">
        <is>
          <t>JÖNKÖPING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45112</v>
      </c>
      <c r="E434" s="1" t="n">
        <v>46284</v>
      </c>
      <c r="F434" t="inlineStr">
        <is>
          <t>JÖNKÖPINGS LÄN</t>
        </is>
      </c>
      <c r="G434" t="inlineStr">
        <is>
          <t>JÖNKÖPING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45174</v>
      </c>
      <c r="E435" s="1" t="n">
        <v>46284</v>
      </c>
      <c r="F435" t="inlineStr">
        <is>
          <t>JÖNKÖPINGS LÄN</t>
        </is>
      </c>
      <c r="G435" t="inlineStr">
        <is>
          <t>JÖNKÖPING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45557</v>
      </c>
      <c r="E436" s="1" t="n">
        <v>46284</v>
      </c>
      <c r="F436" t="inlineStr">
        <is>
          <t>JÖNKÖPINGS LÄN</t>
        </is>
      </c>
      <c r="G436" t="inlineStr">
        <is>
          <t>JÖNKÖPING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46284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44614</v>
      </c>
      <c r="E438" s="1" t="n">
        <v>46284</v>
      </c>
      <c r="F438" t="inlineStr">
        <is>
          <t>JÖNKÖPINGS LÄN</t>
        </is>
      </c>
      <c r="G438" t="inlineStr">
        <is>
          <t>JÖNKÖPING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25079-2024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46284</v>
      </c>
      <c r="F439" t="inlineStr">
        <is>
          <t>JÖNKÖPINGS LÄN</t>
        </is>
      </c>
      <c r="G439" t="inlineStr">
        <is>
          <t>JÖNKÖPING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49392-2022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44861</v>
      </c>
      <c r="E440" s="1" t="n">
        <v>46284</v>
      </c>
      <c r="F440" t="inlineStr">
        <is>
          <t>JÖNKÖPINGS LÄN</t>
        </is>
      </c>
      <c r="G440" t="inlineStr">
        <is>
          <t>JÖNKÖPING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46284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Kyrkan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45270</v>
      </c>
      <c r="E442" s="1" t="n">
        <v>46284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46284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45179</v>
      </c>
      <c r="E444" s="1" t="n">
        <v>46284</v>
      </c>
      <c r="F444" t="inlineStr">
        <is>
          <t>JÖNKÖPINGS LÄN</t>
        </is>
      </c>
      <c r="G444" t="inlineStr">
        <is>
          <t>JÖNKÖPING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23252-2026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46284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63176-2021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44507</v>
      </c>
      <c r="E446" s="1" t="n">
        <v>46284</v>
      </c>
      <c r="F446" t="inlineStr">
        <is>
          <t>JÖNKÖPINGS LÄN</t>
        </is>
      </c>
      <c r="G446" t="inlineStr">
        <is>
          <t>JÖNKÖPING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46284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46284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45618</v>
      </c>
      <c r="E449" s="1" t="n">
        <v>46284</v>
      </c>
      <c r="F449" t="inlineStr">
        <is>
          <t>JÖNKÖPINGS LÄN</t>
        </is>
      </c>
      <c r="G449" t="inlineStr">
        <is>
          <t>JÖNKÖPING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46284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63551-2023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45275</v>
      </c>
      <c r="E451" s="1" t="n">
        <v>46284</v>
      </c>
      <c r="F451" t="inlineStr">
        <is>
          <t>JÖNKÖPINGS LÄN</t>
        </is>
      </c>
      <c r="G451" t="inlineStr">
        <is>
          <t>JÖNKÖPING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46162</v>
      </c>
      <c r="E452" s="1" t="n">
        <v>46284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46284</v>
      </c>
      <c r="F453" t="inlineStr">
        <is>
          <t>JÖNKÖPINGS LÄN</t>
        </is>
      </c>
      <c r="G453" t="inlineStr">
        <is>
          <t>JÖNKÖPING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46284</v>
      </c>
      <c r="F454" t="inlineStr">
        <is>
          <t>JÖNKÖPINGS LÄN</t>
        </is>
      </c>
      <c r="G454" t="inlineStr">
        <is>
          <t>JÖNKÖPING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44936</v>
      </c>
      <c r="E455" s="1" t="n">
        <v>46284</v>
      </c>
      <c r="F455" t="inlineStr">
        <is>
          <t>JÖNKÖPINGS LÄN</t>
        </is>
      </c>
      <c r="G455" t="inlineStr">
        <is>
          <t>JÖNKÖPING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45538</v>
      </c>
      <c r="E456" s="1" t="n">
        <v>46284</v>
      </c>
      <c r="F456" t="inlineStr">
        <is>
          <t>JÖNKÖPINGS LÄN</t>
        </is>
      </c>
      <c r="G456" t="inlineStr">
        <is>
          <t>JÖNKÖPING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46284</v>
      </c>
      <c r="F457" t="inlineStr">
        <is>
          <t>JÖNKÖPINGS LÄN</t>
        </is>
      </c>
      <c r="G457" t="inlineStr">
        <is>
          <t>JÖNKÖPING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46284</v>
      </c>
      <c r="F458" t="inlineStr">
        <is>
          <t>JÖNKÖPINGS LÄN</t>
        </is>
      </c>
      <c r="G458" t="inlineStr">
        <is>
          <t>JÖNKÖPING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45302</v>
      </c>
      <c r="E459" s="1" t="n">
        <v>46284</v>
      </c>
      <c r="F459" t="inlineStr">
        <is>
          <t>JÖNKÖPINGS LÄN</t>
        </is>
      </c>
      <c r="G459" t="inlineStr">
        <is>
          <t>JÖNKÖPING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909-2024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45300</v>
      </c>
      <c r="E460" s="1" t="n">
        <v>46284</v>
      </c>
      <c r="F460" t="inlineStr">
        <is>
          <t>JÖNKÖPINGS LÄN</t>
        </is>
      </c>
      <c r="G460" t="inlineStr">
        <is>
          <t>JÖNKÖPING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45412</v>
      </c>
      <c r="E461" s="1" t="n">
        <v>46284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Övriga Aktiebolag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46284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46284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42818-2023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46284</v>
      </c>
      <c r="F464" t="inlineStr">
        <is>
          <t>JÖNKÖPINGS LÄN</t>
        </is>
      </c>
      <c r="G464" t="inlineStr">
        <is>
          <t>JÖNKÖPING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46284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62263-2023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46284</v>
      </c>
      <c r="F466" t="inlineStr">
        <is>
          <t>JÖNKÖPINGS LÄN</t>
        </is>
      </c>
      <c r="G466" t="inlineStr">
        <is>
          <t>JÖNKÖPING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62876-2025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46284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45149</v>
      </c>
      <c r="E468" s="1" t="n">
        <v>46284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44943</v>
      </c>
      <c r="E469" s="1" t="n">
        <v>46284</v>
      </c>
      <c r="F469" t="inlineStr">
        <is>
          <t>JÖNKÖPINGS LÄN</t>
        </is>
      </c>
      <c r="G469" t="inlineStr">
        <is>
          <t>JÖNKÖPING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53936-2024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45615</v>
      </c>
      <c r="E470" s="1" t="n">
        <v>46284</v>
      </c>
      <c r="F470" t="inlineStr">
        <is>
          <t>JÖNKÖPINGS LÄN</t>
        </is>
      </c>
      <c r="G470" t="inlineStr">
        <is>
          <t>JÖNKÖPING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46284</v>
      </c>
      <c r="F471" t="inlineStr">
        <is>
          <t>JÖNKÖPINGS LÄN</t>
        </is>
      </c>
      <c r="G471" t="inlineStr">
        <is>
          <t>JÖNKÖPING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34024-2024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45523</v>
      </c>
      <c r="E472" s="1" t="n">
        <v>46284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63435-2025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46013</v>
      </c>
      <c r="E473" s="1" t="n">
        <v>46284</v>
      </c>
      <c r="F473" t="inlineStr">
        <is>
          <t>JÖNKÖPINGS LÄN</t>
        </is>
      </c>
      <c r="G473" t="inlineStr">
        <is>
          <t>JÖNKÖPING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53282-2025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46284</v>
      </c>
      <c r="F474" t="inlineStr">
        <is>
          <t>JÖNKÖPINGS LÄN</t>
        </is>
      </c>
      <c r="G474" t="inlineStr">
        <is>
          <t>JÖNKÖPING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46284</v>
      </c>
      <c r="F475" t="inlineStr">
        <is>
          <t>JÖNKÖPINGS LÄN</t>
        </is>
      </c>
      <c r="G475" t="inlineStr">
        <is>
          <t>JÖNKÖPING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63346-2025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46284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63126-2025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46284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46284</v>
      </c>
      <c r="F478" t="inlineStr">
        <is>
          <t>JÖNKÖPINGS LÄN</t>
        </is>
      </c>
      <c r="G478" t="inlineStr">
        <is>
          <t>JÖNKÖPING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46284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46009</v>
      </c>
      <c r="E480" s="1" t="n">
        <v>46284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46013</v>
      </c>
      <c r="E481" s="1" t="n">
        <v>46284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63563-2025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46284</v>
      </c>
      <c r="F482" t="inlineStr">
        <is>
          <t>JÖNKÖPINGS LÄN</t>
        </is>
      </c>
      <c r="G482" t="inlineStr">
        <is>
          <t>JÖNKÖPING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46284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63577-2025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46284</v>
      </c>
      <c r="F484" t="inlineStr">
        <is>
          <t>JÖNKÖPINGS LÄN</t>
        </is>
      </c>
      <c r="G484" t="inlineStr">
        <is>
          <t>JÖNKÖPING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24422-2026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46168</v>
      </c>
      <c r="E485" s="1" t="n">
        <v>46284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46284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44944</v>
      </c>
      <c r="E487" s="1" t="n">
        <v>46284</v>
      </c>
      <c r="F487" t="inlineStr">
        <is>
          <t>JÖNKÖPINGS LÄN</t>
        </is>
      </c>
      <c r="G487" t="inlineStr">
        <is>
          <t>JÖNKÖPING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44614</v>
      </c>
      <c r="E488" s="1" t="n">
        <v>46284</v>
      </c>
      <c r="F488" t="inlineStr">
        <is>
          <t>JÖNKÖPINGS LÄN</t>
        </is>
      </c>
      <c r="G488" t="inlineStr">
        <is>
          <t>JÖNKÖPING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44729</v>
      </c>
      <c r="E489" s="1" t="n">
        <v>46284</v>
      </c>
      <c r="F489" t="inlineStr">
        <is>
          <t>JÖNKÖPINGS LÄN</t>
        </is>
      </c>
      <c r="G489" t="inlineStr">
        <is>
          <t>JÖNKÖPING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46284</v>
      </c>
      <c r="F490" t="inlineStr">
        <is>
          <t>JÖNKÖPINGS LÄN</t>
        </is>
      </c>
      <c r="G490" t="inlineStr">
        <is>
          <t>JÖNKÖPING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46284</v>
      </c>
      <c r="F491" t="inlineStr">
        <is>
          <t>JÖNKÖPINGS LÄN</t>
        </is>
      </c>
      <c r="G491" t="inlineStr">
        <is>
          <t>JÖNKÖPING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42047-2023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45177</v>
      </c>
      <c r="E492" s="1" t="n">
        <v>46284</v>
      </c>
      <c r="F492" t="inlineStr">
        <is>
          <t>JÖNKÖPINGS LÄN</t>
        </is>
      </c>
      <c r="G492" t="inlineStr">
        <is>
          <t>JÖNKÖPING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44938</v>
      </c>
      <c r="E493" s="1" t="n">
        <v>46284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Kyrkan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46026</v>
      </c>
      <c r="E494" s="1" t="n">
        <v>46284</v>
      </c>
      <c r="F494" t="inlineStr">
        <is>
          <t>JÖNKÖPINGS LÄN</t>
        </is>
      </c>
      <c r="G494" t="inlineStr">
        <is>
          <t>JÖNKÖPING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46026</v>
      </c>
      <c r="E495" s="1" t="n">
        <v>46284</v>
      </c>
      <c r="F495" t="inlineStr">
        <is>
          <t>JÖNKÖPINGS LÄN</t>
        </is>
      </c>
      <c r="G495" t="inlineStr">
        <is>
          <t>JÖNKÖPING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45588</v>
      </c>
      <c r="E496" s="1" t="n">
        <v>46284</v>
      </c>
      <c r="F496" t="inlineStr">
        <is>
          <t>JÖNKÖPINGS LÄN</t>
        </is>
      </c>
      <c r="G496" t="inlineStr">
        <is>
          <t>JÖNKÖPING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46284</v>
      </c>
      <c r="F497" t="inlineStr">
        <is>
          <t>JÖNKÖPINGS LÄN</t>
        </is>
      </c>
      <c r="G497" t="inlineStr">
        <is>
          <t>JÖNKÖPING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46284</v>
      </c>
      <c r="F498" t="inlineStr">
        <is>
          <t>JÖNKÖPINGS LÄN</t>
        </is>
      </c>
      <c r="G498" t="inlineStr">
        <is>
          <t>JÖNKÖPING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44655</v>
      </c>
      <c r="E499" s="1" t="n">
        <v>46284</v>
      </c>
      <c r="F499" t="inlineStr">
        <is>
          <t>JÖNKÖPINGS LÄN</t>
        </is>
      </c>
      <c r="G499" t="inlineStr">
        <is>
          <t>JÖNKÖPING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46284</v>
      </c>
      <c r="F500" t="inlineStr">
        <is>
          <t>JÖNKÖPINGS LÄN</t>
        </is>
      </c>
      <c r="G500" t="inlineStr">
        <is>
          <t>JÖNKÖPING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46284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1244-2026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46284</v>
      </c>
      <c r="F502" t="inlineStr">
        <is>
          <t>JÖNKÖPINGS LÄN</t>
        </is>
      </c>
      <c r="G502" t="inlineStr">
        <is>
          <t>JÖNKÖPING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46284</v>
      </c>
      <c r="F503" t="inlineStr">
        <is>
          <t>JÖNKÖPINGS LÄN</t>
        </is>
      </c>
      <c r="G503" t="inlineStr">
        <is>
          <t>JÖNKÖPING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46284</v>
      </c>
      <c r="F504" t="inlineStr">
        <is>
          <t>JÖNKÖPINGS LÄN</t>
        </is>
      </c>
      <c r="G504" t="inlineStr">
        <is>
          <t>JÖNKÖPING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46035</v>
      </c>
      <c r="E505" s="1" t="n">
        <v>46284</v>
      </c>
      <c r="F505" t="inlineStr">
        <is>
          <t>JÖNKÖPINGS LÄN</t>
        </is>
      </c>
      <c r="G505" t="inlineStr">
        <is>
          <t>JÖNKÖPING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46284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11039-2022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44628</v>
      </c>
      <c r="E507" s="1" t="n">
        <v>46284</v>
      </c>
      <c r="F507" t="inlineStr">
        <is>
          <t>JÖNKÖPINGS LÄN</t>
        </is>
      </c>
      <c r="G507" t="inlineStr">
        <is>
          <t>JÖNKÖPING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46284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46035</v>
      </c>
      <c r="E509" s="1" t="n">
        <v>46284</v>
      </c>
      <c r="F509" t="inlineStr">
        <is>
          <t>JÖNKÖPINGS LÄN</t>
        </is>
      </c>
      <c r="G509" t="inlineStr">
        <is>
          <t>JÖNKÖPING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46284</v>
      </c>
      <c r="F510" t="inlineStr">
        <is>
          <t>JÖNKÖPINGS LÄN</t>
        </is>
      </c>
      <c r="G510" t="inlineStr">
        <is>
          <t>JÖNKÖPING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56599-2022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44893</v>
      </c>
      <c r="E511" s="1" t="n">
        <v>46284</v>
      </c>
      <c r="F511" t="inlineStr">
        <is>
          <t>JÖNKÖPINGS LÄN</t>
        </is>
      </c>
      <c r="G511" t="inlineStr">
        <is>
          <t>JÖNKÖPING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46174</v>
      </c>
      <c r="E512" s="1" t="n">
        <v>46284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8.300000000000001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46284</v>
      </c>
      <c r="F513" t="inlineStr">
        <is>
          <t>JÖNKÖPINGS LÄN</t>
        </is>
      </c>
      <c r="G513" t="inlineStr">
        <is>
          <t>JÖNKÖPING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45363</v>
      </c>
      <c r="E514" s="1" t="n">
        <v>46284</v>
      </c>
      <c r="F514" t="inlineStr">
        <is>
          <t>JÖNKÖPINGS LÄN</t>
        </is>
      </c>
      <c r="G514" t="inlineStr">
        <is>
          <t>JÖNKÖPING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46284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46284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46284</v>
      </c>
      <c r="F517" t="inlineStr">
        <is>
          <t>JÖNKÖPINGS LÄN</t>
        </is>
      </c>
      <c r="G517" t="inlineStr">
        <is>
          <t>JÖNKÖPING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45314</v>
      </c>
      <c r="E518" s="1" t="n">
        <v>46284</v>
      </c>
      <c r="F518" t="inlineStr">
        <is>
          <t>JÖNKÖPINGS LÄN</t>
        </is>
      </c>
      <c r="G518" t="inlineStr">
        <is>
          <t>JÖNKÖPING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46284</v>
      </c>
      <c r="F519" t="inlineStr">
        <is>
          <t>JÖNKÖPINGS LÄN</t>
        </is>
      </c>
      <c r="G519" t="inlineStr">
        <is>
          <t>JÖNKÖPING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3667-2026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46043</v>
      </c>
      <c r="E520" s="1" t="n">
        <v>46284</v>
      </c>
      <c r="F520" t="inlineStr">
        <is>
          <t>JÖNKÖPINGS LÄN</t>
        </is>
      </c>
      <c r="G520" t="inlineStr">
        <is>
          <t>JÖNKÖPING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7425-2026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46059</v>
      </c>
      <c r="E521" s="1" t="n">
        <v>46284</v>
      </c>
      <c r="F521" t="inlineStr">
        <is>
          <t>JÖNKÖPINGS LÄN</t>
        </is>
      </c>
      <c r="G521" t="inlineStr">
        <is>
          <t>JÖNKÖPING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46041</v>
      </c>
      <c r="E522" s="1" t="n">
        <v>46284</v>
      </c>
      <c r="F522" t="inlineStr">
        <is>
          <t>JÖNKÖPINGS LÄN</t>
        </is>
      </c>
      <c r="G522" t="inlineStr">
        <is>
          <t>JÖNKÖPING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57719-2021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44484</v>
      </c>
      <c r="E523" s="1" t="n">
        <v>46284</v>
      </c>
      <c r="F523" t="inlineStr">
        <is>
          <t>JÖNKÖPINGS LÄN</t>
        </is>
      </c>
      <c r="G523" t="inlineStr">
        <is>
          <t>JÖNKÖPING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46044</v>
      </c>
      <c r="E524" s="1" t="n">
        <v>46284</v>
      </c>
      <c r="F524" t="inlineStr">
        <is>
          <t>JÖNKÖPINGS LÄN</t>
        </is>
      </c>
      <c r="G524" t="inlineStr">
        <is>
          <t>JÖNKÖPING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45764</v>
      </c>
      <c r="E525" s="1" t="n">
        <v>46284</v>
      </c>
      <c r="F525" t="inlineStr">
        <is>
          <t>JÖNKÖPINGS LÄN</t>
        </is>
      </c>
      <c r="G525" t="inlineStr">
        <is>
          <t>JÖNKÖPING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52812-2023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45226</v>
      </c>
      <c r="E526" s="1" t="n">
        <v>46284</v>
      </c>
      <c r="F526" t="inlineStr">
        <is>
          <t>JÖNKÖPINGS LÄN</t>
        </is>
      </c>
      <c r="G526" t="inlineStr">
        <is>
          <t>JÖNKÖPING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4505-2022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44589</v>
      </c>
      <c r="E527" s="1" t="n">
        <v>46284</v>
      </c>
      <c r="F527" t="inlineStr">
        <is>
          <t>JÖNKÖPINGS LÄN</t>
        </is>
      </c>
      <c r="G527" t="inlineStr">
        <is>
          <t>JÖNKÖPING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44578</v>
      </c>
      <c r="E528" s="1" t="n">
        <v>46284</v>
      </c>
      <c r="F528" t="inlineStr">
        <is>
          <t>JÖNKÖPINGS LÄN</t>
        </is>
      </c>
      <c r="G528" t="inlineStr">
        <is>
          <t>JÖNKÖPING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46284</v>
      </c>
      <c r="F529" t="inlineStr">
        <is>
          <t>JÖNKÖPINGS LÄN</t>
        </is>
      </c>
      <c r="G529" t="inlineStr">
        <is>
          <t>JÖNKÖPING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44735</v>
      </c>
      <c r="E530" s="1" t="n">
        <v>46284</v>
      </c>
      <c r="F530" t="inlineStr">
        <is>
          <t>JÖNKÖPINGS LÄN</t>
        </is>
      </c>
      <c r="G530" t="inlineStr">
        <is>
          <t>JÖNKÖPING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45587</v>
      </c>
      <c r="E531" s="1" t="n">
        <v>46284</v>
      </c>
      <c r="F531" t="inlineStr">
        <is>
          <t>JÖNKÖPINGS LÄN</t>
        </is>
      </c>
      <c r="G531" t="inlineStr">
        <is>
          <t>JÖNKÖPING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36619-2022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44804</v>
      </c>
      <c r="E532" s="1" t="n">
        <v>46284</v>
      </c>
      <c r="F532" t="inlineStr">
        <is>
          <t>JÖNKÖPINGS LÄN</t>
        </is>
      </c>
      <c r="G532" t="inlineStr">
        <is>
          <t>JÖNKÖPING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46284</v>
      </c>
      <c r="F533" t="inlineStr">
        <is>
          <t>JÖNKÖPINGS LÄN</t>
        </is>
      </c>
      <c r="G533" t="inlineStr">
        <is>
          <t>JÖNKÖPING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46284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46284</v>
      </c>
      <c r="F535" t="inlineStr">
        <is>
          <t>JÖNKÖPINGS LÄN</t>
        </is>
      </c>
      <c r="G535" t="inlineStr">
        <is>
          <t>JÖNKÖPING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46284</v>
      </c>
      <c r="F536" t="inlineStr">
        <is>
          <t>JÖNKÖPINGS LÄN</t>
        </is>
      </c>
      <c r="G536" t="inlineStr">
        <is>
          <t>JÖNKÖPING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46284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18729-2023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46284</v>
      </c>
      <c r="F538" t="inlineStr">
        <is>
          <t>JÖNKÖPINGS LÄN</t>
        </is>
      </c>
      <c r="G538" t="inlineStr">
        <is>
          <t>JÖNKÖPING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46284</v>
      </c>
      <c r="F539" t="inlineStr">
        <is>
          <t>JÖNKÖPINGS LÄN</t>
        </is>
      </c>
      <c r="G539" t="inlineStr">
        <is>
          <t>JÖNKÖPING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4805-2026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46048</v>
      </c>
      <c r="E540" s="1" t="n">
        <v>46284</v>
      </c>
      <c r="F540" t="inlineStr">
        <is>
          <t>JÖNKÖPINGS LÄN</t>
        </is>
      </c>
      <c r="G540" t="inlineStr">
        <is>
          <t>JÖNKÖPING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46284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Övriga Aktiebolag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47009-2025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45929</v>
      </c>
      <c r="E542" s="1" t="n">
        <v>46284</v>
      </c>
      <c r="F542" t="inlineStr">
        <is>
          <t>JÖNKÖPINGS LÄN</t>
        </is>
      </c>
      <c r="G542" t="inlineStr">
        <is>
          <t>JÖNKÖPING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45113</v>
      </c>
      <c r="E543" s="1" t="n">
        <v>46284</v>
      </c>
      <c r="F543" t="inlineStr">
        <is>
          <t>JÖNKÖPINGS LÄN</t>
        </is>
      </c>
      <c r="G543" t="inlineStr">
        <is>
          <t>JÖNKÖPING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5332-2026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46050</v>
      </c>
      <c r="E544" s="1" t="n">
        <v>46284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46055</v>
      </c>
      <c r="E545" s="1" t="n">
        <v>46284</v>
      </c>
      <c r="F545" t="inlineStr">
        <is>
          <t>JÖNKÖPINGS LÄN</t>
        </is>
      </c>
      <c r="G545" t="inlineStr">
        <is>
          <t>JÖNKÖPING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46284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46284</v>
      </c>
      <c r="F547" t="inlineStr">
        <is>
          <t>JÖNKÖPINGS LÄN</t>
        </is>
      </c>
      <c r="G547" t="inlineStr">
        <is>
          <t>JÖNKÖPING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46284</v>
      </c>
      <c r="F548" t="inlineStr">
        <is>
          <t>JÖNKÖPINGS LÄN</t>
        </is>
      </c>
      <c r="G548" t="inlineStr">
        <is>
          <t>JÖNKÖPING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46284</v>
      </c>
      <c r="F549" t="inlineStr">
        <is>
          <t>JÖNKÖPINGS LÄN</t>
        </is>
      </c>
      <c r="G549" t="inlineStr">
        <is>
          <t>JÖNKÖPING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46059</v>
      </c>
      <c r="E550" s="1" t="n">
        <v>46284</v>
      </c>
      <c r="F550" t="inlineStr">
        <is>
          <t>JÖNKÖPINGS LÄN</t>
        </is>
      </c>
      <c r="G550" t="inlineStr">
        <is>
          <t>JÖNKÖPING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46059</v>
      </c>
      <c r="E551" s="1" t="n">
        <v>46284</v>
      </c>
      <c r="F551" t="inlineStr">
        <is>
          <t>JÖNKÖPINGS LÄN</t>
        </is>
      </c>
      <c r="G551" t="inlineStr">
        <is>
          <t>JÖNKÖPING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60822-2024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45644</v>
      </c>
      <c r="E552" s="1" t="n">
        <v>46284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46284</v>
      </c>
      <c r="F553" t="inlineStr">
        <is>
          <t>JÖNKÖPINGS LÄN</t>
        </is>
      </c>
      <c r="G553" t="inlineStr">
        <is>
          <t>JÖNKÖPING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46059</v>
      </c>
      <c r="E554" s="1" t="n">
        <v>46284</v>
      </c>
      <c r="F554" t="inlineStr">
        <is>
          <t>JÖNKÖPINGS LÄN</t>
        </is>
      </c>
      <c r="G554" t="inlineStr">
        <is>
          <t>JÖNKÖPING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46059</v>
      </c>
      <c r="E555" s="1" t="n">
        <v>46284</v>
      </c>
      <c r="F555" t="inlineStr">
        <is>
          <t>JÖNKÖPINGS LÄN</t>
        </is>
      </c>
      <c r="G555" t="inlineStr">
        <is>
          <t>JÖNKÖPING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46284</v>
      </c>
      <c r="F556" t="inlineStr">
        <is>
          <t>JÖNKÖPINGS LÄN</t>
        </is>
      </c>
      <c r="G556" t="inlineStr">
        <is>
          <t>JÖNKÖPING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46284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46284</v>
      </c>
      <c r="F558" t="inlineStr">
        <is>
          <t>JÖNKÖPINGS LÄN</t>
        </is>
      </c>
      <c r="G558" t="inlineStr">
        <is>
          <t>JÖNKÖPING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44608</v>
      </c>
      <c r="E559" s="1" t="n">
        <v>46284</v>
      </c>
      <c r="F559" t="inlineStr">
        <is>
          <t>JÖNKÖPINGS LÄN</t>
        </is>
      </c>
      <c r="G559" t="inlineStr">
        <is>
          <t>JÖNKÖPING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7817-2026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46062</v>
      </c>
      <c r="E560" s="1" t="n">
        <v>46284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46062</v>
      </c>
      <c r="E561" s="1" t="n">
        <v>46284</v>
      </c>
      <c r="F561" t="inlineStr">
        <is>
          <t>JÖNKÖPINGS LÄN</t>
        </is>
      </c>
      <c r="G561" t="inlineStr">
        <is>
          <t>JÖNKÖPING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46284</v>
      </c>
      <c r="F562" t="inlineStr">
        <is>
          <t>JÖNKÖPINGS LÄN</t>
        </is>
      </c>
      <c r="G562" t="inlineStr">
        <is>
          <t>JÖNKÖPING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8072-2026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46284</v>
      </c>
      <c r="F563" t="inlineStr">
        <is>
          <t>JÖNKÖPINGS LÄN</t>
        </is>
      </c>
      <c r="G563" t="inlineStr">
        <is>
          <t>JÖNKÖPING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46045</v>
      </c>
      <c r="E564" s="1" t="n">
        <v>46284</v>
      </c>
      <c r="F564" t="inlineStr">
        <is>
          <t>JÖNKÖPINGS LÄN</t>
        </is>
      </c>
      <c r="G564" t="inlineStr">
        <is>
          <t>JÖNKÖPING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26206-2022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44734</v>
      </c>
      <c r="E565" s="1" t="n">
        <v>46284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Kyrkan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26213-2022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44734</v>
      </c>
      <c r="E566" s="1" t="n">
        <v>46284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Kyrkan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9067-2026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46069</v>
      </c>
      <c r="E567" s="1" t="n">
        <v>46284</v>
      </c>
      <c r="F567" t="inlineStr">
        <is>
          <t>JÖNKÖPINGS LÄN</t>
        </is>
      </c>
      <c r="G567" t="inlineStr">
        <is>
          <t>JÖNKÖPING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9073-2026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46069</v>
      </c>
      <c r="E568" s="1" t="n">
        <v>46284</v>
      </c>
      <c r="F568" t="inlineStr">
        <is>
          <t>JÖNKÖPINGS LÄN</t>
        </is>
      </c>
      <c r="G568" t="inlineStr">
        <is>
          <t>JÖNKÖPING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59318-2022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44904</v>
      </c>
      <c r="E569" s="1" t="n">
        <v>46284</v>
      </c>
      <c r="F569" t="inlineStr">
        <is>
          <t>JÖNKÖPINGS LÄN</t>
        </is>
      </c>
      <c r="G569" t="inlineStr">
        <is>
          <t>JÖNKÖPING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9020-2026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46069</v>
      </c>
      <c r="E570" s="1" t="n">
        <v>46284</v>
      </c>
      <c r="F570" t="inlineStr">
        <is>
          <t>JÖNKÖPINGS LÄN</t>
        </is>
      </c>
      <c r="G570" t="inlineStr">
        <is>
          <t>JÖNKÖPING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46284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9374-2026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46070</v>
      </c>
      <c r="E572" s="1" t="n">
        <v>46284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46321-2023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45197</v>
      </c>
      <c r="E573" s="1" t="n">
        <v>46284</v>
      </c>
      <c r="F573" t="inlineStr">
        <is>
          <t>JÖNKÖPINGS LÄN</t>
        </is>
      </c>
      <c r="G573" t="inlineStr">
        <is>
          <t>JÖNKÖPING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3749-2024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45321</v>
      </c>
      <c r="E574" s="1" t="n">
        <v>46284</v>
      </c>
      <c r="F574" t="inlineStr">
        <is>
          <t>JÖNKÖPINGS LÄN</t>
        </is>
      </c>
      <c r="G574" t="inlineStr">
        <is>
          <t>JÖNKÖPING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18574-2023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46284</v>
      </c>
      <c r="F575" t="inlineStr">
        <is>
          <t>JÖNKÖPINGS LÄN</t>
        </is>
      </c>
      <c r="G575" t="inlineStr">
        <is>
          <t>JÖNKÖPING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46284</v>
      </c>
      <c r="F576" t="inlineStr">
        <is>
          <t>JÖNKÖPINGS LÄN</t>
        </is>
      </c>
      <c r="G576" t="inlineStr">
        <is>
          <t>JÖNKÖPING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46070</v>
      </c>
      <c r="E577" s="1" t="n">
        <v>46284</v>
      </c>
      <c r="F577" t="inlineStr">
        <is>
          <t>JÖNKÖPINGS LÄN</t>
        </is>
      </c>
      <c r="G577" t="inlineStr">
        <is>
          <t>JÖNKÖPING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9926-2026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46073</v>
      </c>
      <c r="E578" s="1" t="n">
        <v>46284</v>
      </c>
      <c r="F578" t="inlineStr">
        <is>
          <t>JÖNKÖPINGS LÄN</t>
        </is>
      </c>
      <c r="G578" t="inlineStr">
        <is>
          <t>JÖNKÖPING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46284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46079</v>
      </c>
      <c r="E580" s="1" t="n">
        <v>46284</v>
      </c>
      <c r="F580" t="inlineStr">
        <is>
          <t>JÖNKÖPINGS LÄN</t>
        </is>
      </c>
      <c r="G580" t="inlineStr">
        <is>
          <t>JÖNKÖPING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21924-2022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44711</v>
      </c>
      <c r="E581" s="1" t="n">
        <v>46284</v>
      </c>
      <c r="F581" t="inlineStr">
        <is>
          <t>JÖNKÖPINGS LÄN</t>
        </is>
      </c>
      <c r="G581" t="inlineStr">
        <is>
          <t>JÖNKÖPING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28305-2024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45477</v>
      </c>
      <c r="E582" s="1" t="n">
        <v>46284</v>
      </c>
      <c r="F582" t="inlineStr">
        <is>
          <t>JÖNKÖPINGS LÄN</t>
        </is>
      </c>
      <c r="G582" t="inlineStr">
        <is>
          <t>JÖNKÖPING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28307-2024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46284</v>
      </c>
      <c r="F583" t="inlineStr">
        <is>
          <t>JÖNKÖPINGS LÄN</t>
        </is>
      </c>
      <c r="G583" t="inlineStr">
        <is>
          <t>JÖNKÖPING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26621-2026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46284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Kyrkan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45299</v>
      </c>
      <c r="E585" s="1" t="n">
        <v>46284</v>
      </c>
      <c r="F585" t="inlineStr">
        <is>
          <t>JÖNKÖPINGS LÄN</t>
        </is>
      </c>
      <c r="G585" t="inlineStr">
        <is>
          <t>JÖNKÖPING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46284</v>
      </c>
      <c r="F586" t="inlineStr">
        <is>
          <t>JÖNKÖPINGS LÄN</t>
        </is>
      </c>
      <c r="G586" t="inlineStr">
        <is>
          <t>JÖNKÖPING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46284</v>
      </c>
      <c r="F587" t="inlineStr">
        <is>
          <t>JÖNKÖPINGS LÄN</t>
        </is>
      </c>
      <c r="G587" t="inlineStr">
        <is>
          <t>JÖNKÖPING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27791-2026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46284</v>
      </c>
      <c r="F588" t="inlineStr">
        <is>
          <t>JÖNKÖPINGS LÄN</t>
        </is>
      </c>
      <c r="G588" t="inlineStr">
        <is>
          <t>JÖNKÖPING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33492-2023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45118</v>
      </c>
      <c r="E589" s="1" t="n">
        <v>46284</v>
      </c>
      <c r="F589" t="inlineStr">
        <is>
          <t>JÖNKÖPINGS LÄN</t>
        </is>
      </c>
      <c r="G589" t="inlineStr">
        <is>
          <t>JÖNKÖPING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46087</v>
      </c>
      <c r="E590" s="1" t="n">
        <v>46284</v>
      </c>
      <c r="F590" t="inlineStr">
        <is>
          <t>JÖNKÖPINGS LÄN</t>
        </is>
      </c>
      <c r="G590" t="inlineStr">
        <is>
          <t>JÖNKÖPING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4577-2022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44591</v>
      </c>
      <c r="E591" s="1" t="n">
        <v>46284</v>
      </c>
      <c r="F591" t="inlineStr">
        <is>
          <t>JÖNKÖPINGS LÄN</t>
        </is>
      </c>
      <c r="G591" t="inlineStr">
        <is>
          <t>JÖNKÖPING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8262-2025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45708</v>
      </c>
      <c r="E592" s="1" t="n">
        <v>46284</v>
      </c>
      <c r="F592" t="inlineStr">
        <is>
          <t>JÖNKÖPINGS LÄN</t>
        </is>
      </c>
      <c r="G592" t="inlineStr">
        <is>
          <t>JÖNKÖPING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49343-2023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46284</v>
      </c>
      <c r="F593" t="inlineStr">
        <is>
          <t>JÖNKÖPINGS LÄN</t>
        </is>
      </c>
      <c r="G593" t="inlineStr">
        <is>
          <t>JÖNKÖPING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30585-2023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45112</v>
      </c>
      <c r="E594" s="1" t="n">
        <v>46284</v>
      </c>
      <c r="F594" t="inlineStr">
        <is>
          <t>JÖNKÖPINGS LÄN</t>
        </is>
      </c>
      <c r="G594" t="inlineStr">
        <is>
          <t>JÖNKÖPING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46284</v>
      </c>
      <c r="F595" t="inlineStr">
        <is>
          <t>JÖNKÖPINGS LÄN</t>
        </is>
      </c>
      <c r="G595" t="inlineStr">
        <is>
          <t>JÖNKÖPING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11801-2024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45375</v>
      </c>
      <c r="E596" s="1" t="n">
        <v>46284</v>
      </c>
      <c r="F596" t="inlineStr">
        <is>
          <t>JÖNKÖPINGS LÄN</t>
        </is>
      </c>
      <c r="G596" t="inlineStr">
        <is>
          <t>JÖNKÖPING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12674-2026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46090</v>
      </c>
      <c r="E597" s="1" t="n">
        <v>46284</v>
      </c>
      <c r="F597" t="inlineStr">
        <is>
          <t>JÖNKÖPINGS LÄN</t>
        </is>
      </c>
      <c r="G597" t="inlineStr">
        <is>
          <t>JÖNKÖPING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45541</v>
      </c>
      <c r="E598" s="1" t="n">
        <v>46284</v>
      </c>
      <c r="F598" t="inlineStr">
        <is>
          <t>JÖNKÖPINGS LÄN</t>
        </is>
      </c>
      <c r="G598" t="inlineStr">
        <is>
          <t>JÖNKÖPING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12657-2026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46091</v>
      </c>
      <c r="E599" s="1" t="n">
        <v>46284</v>
      </c>
      <c r="F599" t="inlineStr">
        <is>
          <t>JÖNKÖPINGS LÄN</t>
        </is>
      </c>
      <c r="G599" t="inlineStr">
        <is>
          <t>JÖNKÖPING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48305-2022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44853</v>
      </c>
      <c r="E600" s="1" t="n">
        <v>46284</v>
      </c>
      <c r="F600" t="inlineStr">
        <is>
          <t>JÖNKÖPINGS LÄN</t>
        </is>
      </c>
      <c r="G600" t="inlineStr">
        <is>
          <t>JÖNKÖPING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30547-2024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45492</v>
      </c>
      <c r="E601" s="1" t="n">
        <v>46284</v>
      </c>
      <c r="F601" t="inlineStr">
        <is>
          <t>JÖNKÖPINGS LÄN</t>
        </is>
      </c>
      <c r="G601" t="inlineStr">
        <is>
          <t>JÖNKÖPING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46284</v>
      </c>
      <c r="F602" t="inlineStr">
        <is>
          <t>JÖNKÖPINGS LÄN</t>
        </is>
      </c>
      <c r="G602" t="inlineStr">
        <is>
          <t>JÖNKÖPING</t>
        </is>
      </c>
      <c r="I602" t="n">
        <v>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28232-2024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45477</v>
      </c>
      <c r="E603" s="1" t="n">
        <v>46284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46284</v>
      </c>
      <c r="F604" t="inlineStr">
        <is>
          <t>JÖNKÖPINGS LÄN</t>
        </is>
      </c>
      <c r="G604" t="inlineStr">
        <is>
          <t>JÖNKÖPING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9462-2024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46284</v>
      </c>
      <c r="F605" t="inlineStr">
        <is>
          <t>JÖNKÖPINGS LÄN</t>
        </is>
      </c>
      <c r="G605" t="inlineStr">
        <is>
          <t>JÖNKÖPING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29292-2026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46197</v>
      </c>
      <c r="E606" s="1" t="n">
        <v>46284</v>
      </c>
      <c r="F606" t="inlineStr">
        <is>
          <t>JÖNKÖPINGS LÄN</t>
        </is>
      </c>
      <c r="G606" t="inlineStr">
        <is>
          <t>JÖNKÖPING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56441-2023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45243</v>
      </c>
      <c r="E607" s="1" t="n">
        <v>46284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Övriga Aktiebolag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45184</v>
      </c>
      <c r="E608" s="1" t="n">
        <v>46284</v>
      </c>
      <c r="F608" t="inlineStr">
        <is>
          <t>JÖNKÖPINGS LÄN</t>
        </is>
      </c>
      <c r="G608" t="inlineStr">
        <is>
          <t>JÖNKÖPING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14699-2026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46101</v>
      </c>
      <c r="E609" s="1" t="n">
        <v>46284</v>
      </c>
      <c r="F609" t="inlineStr">
        <is>
          <t>JÖNKÖPINGS LÄN</t>
        </is>
      </c>
      <c r="G609" t="inlineStr">
        <is>
          <t>JÖNKÖPING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44950</v>
      </c>
      <c r="E610" s="1" t="n">
        <v>46284</v>
      </c>
      <c r="F610" t="inlineStr">
        <is>
          <t>JÖNKÖPINGS LÄN</t>
        </is>
      </c>
      <c r="G610" t="inlineStr">
        <is>
          <t>JÖNKÖPING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44950</v>
      </c>
      <c r="E611" s="1" t="n">
        <v>46284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28824-2026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46284</v>
      </c>
      <c r="F612" t="inlineStr">
        <is>
          <t>JÖNKÖPINGS LÄN</t>
        </is>
      </c>
      <c r="G612" t="inlineStr">
        <is>
          <t>JÖNKÖPING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46284</v>
      </c>
      <c r="F613" t="inlineStr">
        <is>
          <t>JÖNKÖPINGS LÄN</t>
        </is>
      </c>
      <c r="G613" t="inlineStr">
        <is>
          <t>JÖNKÖPING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45531</v>
      </c>
      <c r="E614" s="1" t="n">
        <v>46284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45757</v>
      </c>
      <c r="E615" s="1" t="n">
        <v>46284</v>
      </c>
      <c r="F615" t="inlineStr">
        <is>
          <t>JÖNKÖPINGS LÄN</t>
        </is>
      </c>
      <c r="G615" t="inlineStr">
        <is>
          <t>JÖNKÖPING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45462</v>
      </c>
      <c r="E616" s="1" t="n">
        <v>46284</v>
      </c>
      <c r="F616" t="inlineStr">
        <is>
          <t>JÖNKÖPINGS LÄN</t>
        </is>
      </c>
      <c r="G616" t="inlineStr">
        <is>
          <t>JÖNKÖPING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47070-2023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45201</v>
      </c>
      <c r="E617" s="1" t="n">
        <v>46284</v>
      </c>
      <c r="F617" t="inlineStr">
        <is>
          <t>JÖNKÖPINGS LÄN</t>
        </is>
      </c>
      <c r="G617" t="inlineStr">
        <is>
          <t>JÖNKÖPING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46244</v>
      </c>
      <c r="E618" s="1" t="n">
        <v>46284</v>
      </c>
      <c r="F618" t="inlineStr">
        <is>
          <t>JÖNKÖPINGS LÄN</t>
        </is>
      </c>
      <c r="G618" t="inlineStr">
        <is>
          <t>JÖNKÖPING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46971-2023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45201</v>
      </c>
      <c r="E619" s="1" t="n">
        <v>46284</v>
      </c>
      <c r="F619" t="inlineStr">
        <is>
          <t>JÖNKÖPINGS LÄN</t>
        </is>
      </c>
      <c r="G619" t="inlineStr">
        <is>
          <t>JÖNKÖPING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32836-2026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46244</v>
      </c>
      <c r="E620" s="1" t="n">
        <v>46284</v>
      </c>
      <c r="F620" t="inlineStr">
        <is>
          <t>JÖNKÖPINGS LÄN</t>
        </is>
      </c>
      <c r="G620" t="inlineStr">
        <is>
          <t>JÖNKÖPING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32866-2026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46244</v>
      </c>
      <c r="E621" s="1" t="n">
        <v>46284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46201</v>
      </c>
      <c r="E622" s="1" t="n">
        <v>46284</v>
      </c>
      <c r="F622" t="inlineStr">
        <is>
          <t>JÖNKÖPINGS LÄN</t>
        </is>
      </c>
      <c r="G622" t="inlineStr">
        <is>
          <t>JÖNKÖPING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23055-2022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44719</v>
      </c>
      <c r="E623" s="1" t="n">
        <v>46284</v>
      </c>
      <c r="F623" t="inlineStr">
        <is>
          <t>JÖNKÖPINGS LÄN</t>
        </is>
      </c>
      <c r="G623" t="inlineStr">
        <is>
          <t>JÖNKÖPING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45335</v>
      </c>
      <c r="E624" s="1" t="n">
        <v>46284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Kyrkan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17295-2026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46284</v>
      </c>
      <c r="F625" t="inlineStr">
        <is>
          <t>JÖNKÖPINGS LÄN</t>
        </is>
      </c>
      <c r="G625" t="inlineStr">
        <is>
          <t>JÖNKÖPING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46119</v>
      </c>
      <c r="E626" s="1" t="n">
        <v>46284</v>
      </c>
      <c r="F626" t="inlineStr">
        <is>
          <t>JÖNKÖPINGS LÄN</t>
        </is>
      </c>
      <c r="G626" t="inlineStr">
        <is>
          <t>JÖNKÖPING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46120</v>
      </c>
      <c r="E627" s="1" t="n">
        <v>46284</v>
      </c>
      <c r="F627" t="inlineStr">
        <is>
          <t>JÖNKÖPINGS LÄN</t>
        </is>
      </c>
      <c r="G627" t="inlineStr">
        <is>
          <t>JÖNKÖPING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17535-2026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46120</v>
      </c>
      <c r="E628" s="1" t="n">
        <v>46284</v>
      </c>
      <c r="F628" t="inlineStr">
        <is>
          <t>JÖNKÖPINGS LÄN</t>
        </is>
      </c>
      <c r="G628" t="inlineStr">
        <is>
          <t>JÖNKÖPING</t>
        </is>
      </c>
      <c r="I628" t="n">
        <v>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17543-2026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46120</v>
      </c>
      <c r="E629" s="1" t="n">
        <v>46284</v>
      </c>
      <c r="F629" t="inlineStr">
        <is>
          <t>JÖNKÖPINGS LÄN</t>
        </is>
      </c>
      <c r="G629" t="inlineStr">
        <is>
          <t>JÖNKÖPING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26512-2023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46284</v>
      </c>
      <c r="F630" t="inlineStr">
        <is>
          <t>JÖNKÖPINGS LÄN</t>
        </is>
      </c>
      <c r="G630" t="inlineStr">
        <is>
          <t>JÖNKÖPING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46201</v>
      </c>
      <c r="E631" s="1" t="n">
        <v>46284</v>
      </c>
      <c r="F631" t="inlineStr">
        <is>
          <t>JÖNKÖPINGS LÄN</t>
        </is>
      </c>
      <c r="G631" t="inlineStr">
        <is>
          <t>JÖNKÖPING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46201</v>
      </c>
      <c r="E632" s="1" t="n">
        <v>46284</v>
      </c>
      <c r="F632" t="inlineStr">
        <is>
          <t>JÖNKÖPINGS LÄN</t>
        </is>
      </c>
      <c r="G632" t="inlineStr">
        <is>
          <t>JÖNKÖPING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17294-2026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46119</v>
      </c>
      <c r="E633" s="1" t="n">
        <v>46284</v>
      </c>
      <c r="F633" t="inlineStr">
        <is>
          <t>JÖNKÖPINGS LÄN</t>
        </is>
      </c>
      <c r="G633" t="inlineStr">
        <is>
          <t>JÖNKÖPING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28334-2023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45099</v>
      </c>
      <c r="E634" s="1" t="n">
        <v>46284</v>
      </c>
      <c r="F634" t="inlineStr">
        <is>
          <t>JÖNKÖPINGS LÄN</t>
        </is>
      </c>
      <c r="G634" t="inlineStr">
        <is>
          <t>JÖNKÖPING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44943</v>
      </c>
      <c r="E635" s="1" t="n">
        <v>46284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48404-2023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45201</v>
      </c>
      <c r="E636" s="1" t="n">
        <v>46284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9924-2023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44985</v>
      </c>
      <c r="E637" s="1" t="n">
        <v>46284</v>
      </c>
      <c r="F637" t="inlineStr">
        <is>
          <t>JÖNKÖPINGS LÄN</t>
        </is>
      </c>
      <c r="G637" t="inlineStr">
        <is>
          <t>JÖNKÖPING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57180-2023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45245</v>
      </c>
      <c r="E638" s="1" t="n">
        <v>46284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46244</v>
      </c>
      <c r="E639" s="1" t="n">
        <v>46284</v>
      </c>
      <c r="F639" t="inlineStr">
        <is>
          <t>JÖNKÖPINGS LÄN</t>
        </is>
      </c>
      <c r="G639" t="inlineStr">
        <is>
          <t>JÖNKÖPING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46284</v>
      </c>
      <c r="F640" t="inlineStr">
        <is>
          <t>JÖNKÖPINGS LÄN</t>
        </is>
      </c>
      <c r="G640" t="inlineStr">
        <is>
          <t>JÖNKÖPING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45314</v>
      </c>
      <c r="E641" s="1" t="n">
        <v>46284</v>
      </c>
      <c r="F641" t="inlineStr">
        <is>
          <t>JÖNKÖPINGS LÄN</t>
        </is>
      </c>
      <c r="G641" t="inlineStr">
        <is>
          <t>JÖNKÖPING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45295</v>
      </c>
      <c r="E642" s="1" t="n">
        <v>46284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46203</v>
      </c>
      <c r="E643" s="1" t="n">
        <v>46284</v>
      </c>
      <c r="F643" t="inlineStr">
        <is>
          <t>JÖNKÖPINGS LÄN</t>
        </is>
      </c>
      <c r="G643" t="inlineStr">
        <is>
          <t>JÖNKÖPING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46284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45534</v>
      </c>
      <c r="E645" s="1" t="n">
        <v>46284</v>
      </c>
      <c r="F645" t="inlineStr">
        <is>
          <t>JÖNKÖPINGS LÄN</t>
        </is>
      </c>
      <c r="G645" t="inlineStr">
        <is>
          <t>JÖNKÖPING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54394-2024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45617</v>
      </c>
      <c r="E646" s="1" t="n">
        <v>46284</v>
      </c>
      <c r="F646" t="inlineStr">
        <is>
          <t>JÖNKÖPINGS LÄN</t>
        </is>
      </c>
      <c r="G646" t="inlineStr">
        <is>
          <t>JÖNKÖPING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44564</v>
      </c>
      <c r="E647" s="1" t="n">
        <v>46284</v>
      </c>
      <c r="F647" t="inlineStr">
        <is>
          <t>JÖNKÖPINGS LÄN</t>
        </is>
      </c>
      <c r="G647" t="inlineStr">
        <is>
          <t>JÖNKÖPING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12042-2024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45377</v>
      </c>
      <c r="E648" s="1" t="n">
        <v>46284</v>
      </c>
      <c r="F648" t="inlineStr">
        <is>
          <t>JÖNKÖPINGS LÄN</t>
        </is>
      </c>
      <c r="G648" t="inlineStr">
        <is>
          <t>JÖNKÖPING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51188-2023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45219</v>
      </c>
      <c r="E649" s="1" t="n">
        <v>46284</v>
      </c>
      <c r="F649" t="inlineStr">
        <is>
          <t>JÖNKÖPINGS LÄN</t>
        </is>
      </c>
      <c r="G649" t="inlineStr">
        <is>
          <t>JÖNKÖPING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33305-2026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46284</v>
      </c>
      <c r="F650" t="inlineStr">
        <is>
          <t>JÖNKÖPINGS LÄN</t>
        </is>
      </c>
      <c r="G650" t="inlineStr">
        <is>
          <t>JÖNKÖPING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9883-2024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45363</v>
      </c>
      <c r="E651" s="1" t="n">
        <v>46284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56051-2023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45240</v>
      </c>
      <c r="E652" s="1" t="n">
        <v>46284</v>
      </c>
      <c r="F652" t="inlineStr">
        <is>
          <t>JÖNKÖPINGS LÄN</t>
        </is>
      </c>
      <c r="G652" t="inlineStr">
        <is>
          <t>JÖNKÖPING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44966</v>
      </c>
      <c r="E653" s="1" t="n">
        <v>46284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Kyrkan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45408-2023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45194</v>
      </c>
      <c r="E654" s="1" t="n">
        <v>46284</v>
      </c>
      <c r="F654" t="inlineStr">
        <is>
          <t>JÖNKÖPINGS LÄN</t>
        </is>
      </c>
      <c r="G654" t="inlineStr">
        <is>
          <t>JÖNKÖPING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45412-2023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45194</v>
      </c>
      <c r="E655" s="1" t="n">
        <v>46284</v>
      </c>
      <c r="F655" t="inlineStr">
        <is>
          <t>JÖNKÖPINGS LÄN</t>
        </is>
      </c>
      <c r="G655" t="inlineStr">
        <is>
          <t>JÖNKÖPING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30583-2023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45112</v>
      </c>
      <c r="E656" s="1" t="n">
        <v>46284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29880-2023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45107</v>
      </c>
      <c r="E657" s="1" t="n">
        <v>46284</v>
      </c>
      <c r="F657" t="inlineStr">
        <is>
          <t>JÖNKÖPINGS LÄN</t>
        </is>
      </c>
      <c r="G657" t="inlineStr">
        <is>
          <t>JÖNKÖPING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15134-2023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45015</v>
      </c>
      <c r="E658" s="1" t="n">
        <v>46284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59218-2022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44904</v>
      </c>
      <c r="E659" s="1" t="n">
        <v>46284</v>
      </c>
      <c r="F659" t="inlineStr">
        <is>
          <t>JÖNKÖPINGS LÄN</t>
        </is>
      </c>
      <c r="G659" t="inlineStr">
        <is>
          <t>JÖNKÖPING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19356-2023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45049</v>
      </c>
      <c r="E660" s="1" t="n">
        <v>46284</v>
      </c>
      <c r="F660" t="inlineStr">
        <is>
          <t>JÖNKÖPINGS LÄN</t>
        </is>
      </c>
      <c r="G660" t="inlineStr">
        <is>
          <t>JÖNKÖPING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45810</v>
      </c>
      <c r="E661" s="1" t="n">
        <v>46284</v>
      </c>
      <c r="F661" t="inlineStr">
        <is>
          <t>JÖNKÖPINGS LÄN</t>
        </is>
      </c>
      <c r="G661" t="inlineStr">
        <is>
          <t>JÖNKÖPING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6458-2024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45338</v>
      </c>
      <c r="E662" s="1" t="n">
        <v>46284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Kyrkan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46284</v>
      </c>
      <c r="F663" t="inlineStr">
        <is>
          <t>JÖNKÖPINGS LÄN</t>
        </is>
      </c>
      <c r="G663" t="inlineStr">
        <is>
          <t>JÖNKÖPING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56747-2022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44894</v>
      </c>
      <c r="E664" s="1" t="n">
        <v>46284</v>
      </c>
      <c r="F664" t="inlineStr">
        <is>
          <t>JÖNKÖPINGS LÄN</t>
        </is>
      </c>
      <c r="G664" t="inlineStr">
        <is>
          <t>JÖNKÖPING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33363-2026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46247</v>
      </c>
      <c r="E665" s="1" t="n">
        <v>46284</v>
      </c>
      <c r="F665" t="inlineStr">
        <is>
          <t>JÖNKÖPINGS LÄN</t>
        </is>
      </c>
      <c r="G665" t="inlineStr">
        <is>
          <t>JÖNKÖPING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56569-2022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44893</v>
      </c>
      <c r="E666" s="1" t="n">
        <v>46284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33309-2026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46246</v>
      </c>
      <c r="E667" s="1" t="n">
        <v>46284</v>
      </c>
      <c r="F667" t="inlineStr">
        <is>
          <t>JÖNKÖPINGS LÄN</t>
        </is>
      </c>
      <c r="G667" t="inlineStr">
        <is>
          <t>JÖNKÖPING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44605</v>
      </c>
      <c r="E668" s="1" t="n">
        <v>46284</v>
      </c>
      <c r="F668" t="inlineStr">
        <is>
          <t>JÖNKÖPINGS LÄN</t>
        </is>
      </c>
      <c r="G668" t="inlineStr">
        <is>
          <t>JÖNKÖPING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33527-2026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46248</v>
      </c>
      <c r="E669" s="1" t="n">
        <v>46284</v>
      </c>
      <c r="F669" t="inlineStr">
        <is>
          <t>JÖNKÖPINGS LÄN</t>
        </is>
      </c>
      <c r="G669" t="inlineStr">
        <is>
          <t>JÖNKÖPING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46460-2023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45197</v>
      </c>
      <c r="E670" s="1" t="n">
        <v>46284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45406</v>
      </c>
      <c r="E671" s="1" t="n">
        <v>46284</v>
      </c>
      <c r="F671" t="inlineStr">
        <is>
          <t>JÖNKÖPINGS LÄN</t>
        </is>
      </c>
      <c r="G671" t="inlineStr">
        <is>
          <t>JÖNKÖPING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9897-2023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44985</v>
      </c>
      <c r="E672" s="1" t="n">
        <v>46284</v>
      </c>
      <c r="F672" t="inlineStr">
        <is>
          <t>JÖNKÖPINGS LÄN</t>
        </is>
      </c>
      <c r="G672" t="inlineStr">
        <is>
          <t>JÖNKÖPING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30277-2026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46284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45051</v>
      </c>
      <c r="E674" s="1" t="n">
        <v>46284</v>
      </c>
      <c r="F674" t="inlineStr">
        <is>
          <t>JÖNKÖPINGS LÄN</t>
        </is>
      </c>
      <c r="G674" t="inlineStr">
        <is>
          <t>JÖNKÖPING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57715-2021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44484</v>
      </c>
      <c r="E675" s="1" t="n">
        <v>46284</v>
      </c>
      <c r="F675" t="inlineStr">
        <is>
          <t>JÖNKÖPINGS LÄN</t>
        </is>
      </c>
      <c r="G675" t="inlineStr">
        <is>
          <t>JÖNKÖPING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30287-2026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46284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7847-2025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45706</v>
      </c>
      <c r="E677" s="1" t="n">
        <v>46284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45671</v>
      </c>
      <c r="E678" s="1" t="n">
        <v>46284</v>
      </c>
      <c r="F678" t="inlineStr">
        <is>
          <t>JÖNKÖPINGS LÄN</t>
        </is>
      </c>
      <c r="G678" t="inlineStr">
        <is>
          <t>JÖNKÖPING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7401-2025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45705</v>
      </c>
      <c r="E679" s="1" t="n">
        <v>46284</v>
      </c>
      <c r="F679" t="inlineStr">
        <is>
          <t>JÖNKÖPINGS LÄN</t>
        </is>
      </c>
      <c r="G679" t="inlineStr">
        <is>
          <t>JÖNKÖPING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14228-2025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45740</v>
      </c>
      <c r="E680" s="1" t="n">
        <v>46284</v>
      </c>
      <c r="F680" t="inlineStr">
        <is>
          <t>JÖNKÖPINGS LÄN</t>
        </is>
      </c>
      <c r="G680" t="inlineStr">
        <is>
          <t>JÖNKÖPING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5661-2025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45693</v>
      </c>
      <c r="E681" s="1" t="n">
        <v>46284</v>
      </c>
      <c r="F681" t="inlineStr">
        <is>
          <t>JÖNKÖPINGS LÄN</t>
        </is>
      </c>
      <c r="G681" t="inlineStr">
        <is>
          <t>JÖNKÖPING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14227-2023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45009</v>
      </c>
      <c r="E682" s="1" t="n">
        <v>46284</v>
      </c>
      <c r="F682" t="inlineStr">
        <is>
          <t>JÖNKÖPINGS LÄN</t>
        </is>
      </c>
      <c r="G682" t="inlineStr">
        <is>
          <t>JÖNKÖPING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46284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33256-2023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45127</v>
      </c>
      <c r="E684" s="1" t="n">
        <v>46284</v>
      </c>
      <c r="F684" t="inlineStr">
        <is>
          <t>JÖNKÖPINGS LÄN</t>
        </is>
      </c>
      <c r="G684" t="inlineStr">
        <is>
          <t>JÖNKÖPING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17203-2022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44677</v>
      </c>
      <c r="E685" s="1" t="n">
        <v>46284</v>
      </c>
      <c r="F685" t="inlineStr">
        <is>
          <t>JÖNKÖPINGS LÄN</t>
        </is>
      </c>
      <c r="G685" t="inlineStr">
        <is>
          <t>JÖNKÖPING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17362-2025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45756</v>
      </c>
      <c r="E686" s="1" t="n">
        <v>46284</v>
      </c>
      <c r="F686" t="inlineStr">
        <is>
          <t>JÖNKÖPINGS LÄN</t>
        </is>
      </c>
      <c r="G686" t="inlineStr">
        <is>
          <t>JÖNKÖPING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34038-2026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46252</v>
      </c>
      <c r="E687" s="1" t="n">
        <v>46284</v>
      </c>
      <c r="F687" t="inlineStr">
        <is>
          <t>JÖNKÖPINGS LÄN</t>
        </is>
      </c>
      <c r="G687" t="inlineStr">
        <is>
          <t>JÖNKÖPING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4309-2024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46284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Kyrkan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4311-2024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45324</v>
      </c>
      <c r="E689" s="1" t="n">
        <v>46284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45671</v>
      </c>
      <c r="E690" s="1" t="n">
        <v>46284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17299-2024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45414</v>
      </c>
      <c r="E691" s="1" t="n">
        <v>46284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18069-2025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45761</v>
      </c>
      <c r="E692" s="1" t="n">
        <v>46284</v>
      </c>
      <c r="F692" t="inlineStr">
        <is>
          <t>JÖNKÖPINGS LÄN</t>
        </is>
      </c>
      <c r="G692" t="inlineStr">
        <is>
          <t>JÖNKÖPING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27246-2022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44741</v>
      </c>
      <c r="E693" s="1" t="n">
        <v>46284</v>
      </c>
      <c r="F693" t="inlineStr">
        <is>
          <t>JÖNKÖPINGS LÄN</t>
        </is>
      </c>
      <c r="G693" t="inlineStr">
        <is>
          <t>JÖNKÖPING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52058-2023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45223</v>
      </c>
      <c r="E694" s="1" t="n">
        <v>46284</v>
      </c>
      <c r="F694" t="inlineStr">
        <is>
          <t>JÖNKÖPINGS LÄN</t>
        </is>
      </c>
      <c r="G694" t="inlineStr">
        <is>
          <t>JÖNKÖPING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30618-2026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46284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30619-2026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46284</v>
      </c>
      <c r="F696" t="inlineStr">
        <is>
          <t>JÖNKÖPINGS LÄN</t>
        </is>
      </c>
      <c r="G696" t="inlineStr">
        <is>
          <t>JÖNKÖPING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37503-2024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45541</v>
      </c>
      <c r="E697" s="1" t="n">
        <v>46284</v>
      </c>
      <c r="F697" t="inlineStr">
        <is>
          <t>JÖNKÖPINGS LÄN</t>
        </is>
      </c>
      <c r="G697" t="inlineStr">
        <is>
          <t>JÖNKÖPING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46212</v>
      </c>
      <c r="E698" s="1" t="n">
        <v>46284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46284</v>
      </c>
      <c r="F699" t="inlineStr">
        <is>
          <t>JÖNKÖPINGS LÄN</t>
        </is>
      </c>
      <c r="G699" t="inlineStr">
        <is>
          <t>JÖNKÖPING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46284</v>
      </c>
      <c r="F700" t="inlineStr">
        <is>
          <t>JÖNKÖPINGS LÄN</t>
        </is>
      </c>
      <c r="G700" t="inlineStr">
        <is>
          <t>JÖNKÖPING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46211</v>
      </c>
      <c r="E701" s="1" t="n">
        <v>46284</v>
      </c>
      <c r="F701" t="inlineStr">
        <is>
          <t>JÖNKÖPINGS LÄN</t>
        </is>
      </c>
      <c r="G701" t="inlineStr">
        <is>
          <t>JÖNKÖPING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34622-2026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46284</v>
      </c>
      <c r="F702" t="inlineStr">
        <is>
          <t>JÖNKÖPINGS LÄN</t>
        </is>
      </c>
      <c r="G702" t="inlineStr">
        <is>
          <t>JÖNKÖPING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20384-2024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45435</v>
      </c>
      <c r="E703" s="1" t="n">
        <v>46284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Kyrkan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30724-2026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46211</v>
      </c>
      <c r="E704" s="1" t="n">
        <v>46284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6.4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46212</v>
      </c>
      <c r="E705" s="1" t="n">
        <v>46284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30621-2026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46211</v>
      </c>
      <c r="E706" s="1" t="n">
        <v>46284</v>
      </c>
      <c r="F706" t="inlineStr">
        <is>
          <t>JÖNKÖPINGS LÄN</t>
        </is>
      </c>
      <c r="G706" t="inlineStr">
        <is>
          <t>JÖNKÖPING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30623-2026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46211</v>
      </c>
      <c r="E707" s="1" t="n">
        <v>46284</v>
      </c>
      <c r="F707" t="inlineStr">
        <is>
          <t>JÖNKÖPINGS LÄN</t>
        </is>
      </c>
      <c r="G707" t="inlineStr">
        <is>
          <t>JÖNKÖPING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46211</v>
      </c>
      <c r="E708" s="1" t="n">
        <v>46284</v>
      </c>
      <c r="F708" t="inlineStr">
        <is>
          <t>JÖNKÖPINGS LÄN</t>
        </is>
      </c>
      <c r="G708" t="inlineStr">
        <is>
          <t>JÖNKÖPING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30626-2026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46211</v>
      </c>
      <c r="E709" s="1" t="n">
        <v>46284</v>
      </c>
      <c r="F709" t="inlineStr">
        <is>
          <t>JÖNKÖPINGS LÄN</t>
        </is>
      </c>
      <c r="G709" t="inlineStr">
        <is>
          <t>JÖNKÖPING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6970-2023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44967</v>
      </c>
      <c r="E710" s="1" t="n">
        <v>46284</v>
      </c>
      <c r="F710" t="inlineStr">
        <is>
          <t>JÖNKÖPINGS LÄN</t>
        </is>
      </c>
      <c r="G710" t="inlineStr">
        <is>
          <t>JÖNKÖPING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46284</v>
      </c>
      <c r="F711" t="inlineStr">
        <is>
          <t>JÖNKÖPINGS LÄN</t>
        </is>
      </c>
      <c r="G711" t="inlineStr">
        <is>
          <t>JÖNKÖPING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26208-2022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44734</v>
      </c>
      <c r="E712" s="1" t="n">
        <v>46284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Kyrkan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30734-2026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46211</v>
      </c>
      <c r="E713" s="1" t="n">
        <v>46284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14.5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15315-2025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45747</v>
      </c>
      <c r="E714" s="1" t="n">
        <v>46284</v>
      </c>
      <c r="F714" t="inlineStr">
        <is>
          <t>JÖNKÖPINGS LÄN</t>
        </is>
      </c>
      <c r="G714" t="inlineStr">
        <is>
          <t>JÖNKÖPING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50896-2025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45946</v>
      </c>
      <c r="E715" s="1" t="n">
        <v>46284</v>
      </c>
      <c r="F715" t="inlineStr">
        <is>
          <t>JÖNKÖPINGS LÄN</t>
        </is>
      </c>
      <c r="G715" t="inlineStr">
        <is>
          <t>JÖNKÖPING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35949-2024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45533</v>
      </c>
      <c r="E716" s="1" t="n">
        <v>46284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7846-2025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45706</v>
      </c>
      <c r="E717" s="1" t="n">
        <v>46284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58437-2024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45635</v>
      </c>
      <c r="E718" s="1" t="n">
        <v>46284</v>
      </c>
      <c r="F718" t="inlineStr">
        <is>
          <t>JÖNKÖPINGS LÄN</t>
        </is>
      </c>
      <c r="G718" t="inlineStr">
        <is>
          <t>JÖNKÖPING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37510-2024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45541</v>
      </c>
      <c r="E719" s="1" t="n">
        <v>46284</v>
      </c>
      <c r="F719" t="inlineStr">
        <is>
          <t>JÖNKÖPINGS LÄN</t>
        </is>
      </c>
      <c r="G719" t="inlineStr">
        <is>
          <t>JÖNKÖPING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47067-2023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45201</v>
      </c>
      <c r="E720" s="1" t="n">
        <v>46284</v>
      </c>
      <c r="F720" t="inlineStr">
        <is>
          <t>JÖNKÖPINGS LÄN</t>
        </is>
      </c>
      <c r="G720" t="inlineStr">
        <is>
          <t>JÖNKÖPING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6663-2024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45341</v>
      </c>
      <c r="E721" s="1" t="n">
        <v>46284</v>
      </c>
      <c r="F721" t="inlineStr">
        <is>
          <t>JÖNKÖPINGS LÄN</t>
        </is>
      </c>
      <c r="G721" t="inlineStr">
        <is>
          <t>JÖNKÖPING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3516-2023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44950</v>
      </c>
      <c r="E722" s="1" t="n">
        <v>46284</v>
      </c>
      <c r="F722" t="inlineStr">
        <is>
          <t>JÖNKÖPINGS LÄN</t>
        </is>
      </c>
      <c r="G722" t="inlineStr">
        <is>
          <t>JÖNKÖPING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28337-2023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45099</v>
      </c>
      <c r="E723" s="1" t="n">
        <v>46284</v>
      </c>
      <c r="F723" t="inlineStr">
        <is>
          <t>JÖNKÖPINGS LÄN</t>
        </is>
      </c>
      <c r="G723" t="inlineStr">
        <is>
          <t>JÖNKÖPING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45681</v>
      </c>
      <c r="E724" s="1" t="n">
        <v>46284</v>
      </c>
      <c r="F724" t="inlineStr">
        <is>
          <t>JÖNKÖPINGS LÄN</t>
        </is>
      </c>
      <c r="G724" t="inlineStr">
        <is>
          <t>JÖNKÖPING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9604-2025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45715</v>
      </c>
      <c r="E725" s="1" t="n">
        <v>46284</v>
      </c>
      <c r="F725" t="inlineStr">
        <is>
          <t>JÖNKÖPINGS LÄN</t>
        </is>
      </c>
      <c r="G725" t="inlineStr">
        <is>
          <t>JÖNKÖPING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10760-2022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44627</v>
      </c>
      <c r="E726" s="1" t="n">
        <v>46284</v>
      </c>
      <c r="F726" t="inlineStr">
        <is>
          <t>JÖNKÖPINGS LÄN</t>
        </is>
      </c>
      <c r="G726" t="inlineStr">
        <is>
          <t>JÖNKÖPING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45056</v>
      </c>
      <c r="E727" s="1" t="n">
        <v>46284</v>
      </c>
      <c r="F727" t="inlineStr">
        <is>
          <t>JÖNKÖPINGS LÄN</t>
        </is>
      </c>
      <c r="G727" t="inlineStr">
        <is>
          <t>JÖNKÖPING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31367-2026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46219</v>
      </c>
      <c r="E728" s="1" t="n">
        <v>46284</v>
      </c>
      <c r="F728" t="inlineStr">
        <is>
          <t>JÖNKÖPINGS LÄN</t>
        </is>
      </c>
      <c r="G728" t="inlineStr">
        <is>
          <t>JÖNKÖPING</t>
        </is>
      </c>
      <c r="I728" t="n">
        <v>7.6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33850-2025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45842</v>
      </c>
      <c r="E729" s="1" t="n">
        <v>46284</v>
      </c>
      <c r="F729" t="inlineStr">
        <is>
          <t>JÖNKÖPINGS LÄN</t>
        </is>
      </c>
      <c r="G729" t="inlineStr">
        <is>
          <t>JÖNKÖPING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8554-2024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45355</v>
      </c>
      <c r="E730" s="1" t="n">
        <v>46284</v>
      </c>
      <c r="F730" t="inlineStr">
        <is>
          <t>JÖNKÖPINGS LÄN</t>
        </is>
      </c>
      <c r="G730" t="inlineStr">
        <is>
          <t>JÖNKÖPING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6601-2023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46284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31405-2026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46220</v>
      </c>
      <c r="E732" s="1" t="n">
        <v>46284</v>
      </c>
      <c r="F732" t="inlineStr">
        <is>
          <t>JÖNKÖPINGS LÄN</t>
        </is>
      </c>
      <c r="G732" t="inlineStr">
        <is>
          <t>JÖNKÖPING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4154-2022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44588</v>
      </c>
      <c r="E733" s="1" t="n">
        <v>46284</v>
      </c>
      <c r="F733" t="inlineStr">
        <is>
          <t>JÖNKÖPINGS LÄN</t>
        </is>
      </c>
      <c r="G733" t="inlineStr">
        <is>
          <t>JÖNKÖPING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58559-2021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44488</v>
      </c>
      <c r="E734" s="1" t="n">
        <v>46284</v>
      </c>
      <c r="F734" t="inlineStr">
        <is>
          <t>JÖNKÖPINGS LÄN</t>
        </is>
      </c>
      <c r="G734" t="inlineStr">
        <is>
          <t>JÖNKÖPING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46284</v>
      </c>
      <c r="F735" t="inlineStr">
        <is>
          <t>JÖNKÖPINGS LÄN</t>
        </is>
      </c>
      <c r="G735" t="inlineStr">
        <is>
          <t>JÖNKÖPING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46462-2023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45197</v>
      </c>
      <c r="E736" s="1" t="n">
        <v>46284</v>
      </c>
      <c r="F736" t="inlineStr">
        <is>
          <t>JÖNKÖPINGS LÄN</t>
        </is>
      </c>
      <c r="G736" t="inlineStr">
        <is>
          <t>JÖNKÖPING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38919-2024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45547</v>
      </c>
      <c r="E737" s="1" t="n">
        <v>46284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46219</v>
      </c>
      <c r="E738" s="1" t="n">
        <v>46284</v>
      </c>
      <c r="F738" t="inlineStr">
        <is>
          <t>JÖNKÖPINGS LÄN</t>
        </is>
      </c>
      <c r="G738" t="inlineStr">
        <is>
          <t>JÖNKÖPING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43573-2024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45569</v>
      </c>
      <c r="E739" s="1" t="n">
        <v>46284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57620-2022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44897</v>
      </c>
      <c r="E740" s="1" t="n">
        <v>46284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Kyrkan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18836-2025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46284</v>
      </c>
      <c r="F741" t="inlineStr">
        <is>
          <t>JÖNKÖPINGS LÄN</t>
        </is>
      </c>
      <c r="G741" t="inlineStr">
        <is>
          <t>JÖNKÖPING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35776-2026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46265</v>
      </c>
      <c r="E742" s="1" t="n">
        <v>46284</v>
      </c>
      <c r="F742" t="inlineStr">
        <is>
          <t>JÖNKÖPINGS LÄN</t>
        </is>
      </c>
      <c r="G742" t="inlineStr">
        <is>
          <t>JÖNKÖPING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46741-2023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45198</v>
      </c>
      <c r="E743" s="1" t="n">
        <v>46284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20410-2023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45056</v>
      </c>
      <c r="E744" s="1" t="n">
        <v>46284</v>
      </c>
      <c r="F744" t="inlineStr">
        <is>
          <t>JÖNKÖPINGS LÄN</t>
        </is>
      </c>
      <c r="G744" t="inlineStr">
        <is>
          <t>JÖNKÖPING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46267</v>
      </c>
      <c r="E745" s="1" t="n">
        <v>46284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16212-2024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45406</v>
      </c>
      <c r="E746" s="1" t="n">
        <v>46284</v>
      </c>
      <c r="F746" t="inlineStr">
        <is>
          <t>JÖNKÖPINGS LÄN</t>
        </is>
      </c>
      <c r="G746" t="inlineStr">
        <is>
          <t>JÖNKÖPING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16213-2024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45406</v>
      </c>
      <c r="E747" s="1" t="n">
        <v>46284</v>
      </c>
      <c r="F747" t="inlineStr">
        <is>
          <t>JÖNKÖPINGS LÄN</t>
        </is>
      </c>
      <c r="G747" t="inlineStr">
        <is>
          <t>JÖNKÖPING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21132-2024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45440</v>
      </c>
      <c r="E748" s="1" t="n">
        <v>46284</v>
      </c>
      <c r="F748" t="inlineStr">
        <is>
          <t>JÖNKÖPINGS LÄN</t>
        </is>
      </c>
      <c r="G748" t="inlineStr">
        <is>
          <t>JÖNKÖPING</t>
        </is>
      </c>
      <c r="I748" t="n">
        <v>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50293-2023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45216</v>
      </c>
      <c r="E749" s="1" t="n">
        <v>46284</v>
      </c>
      <c r="F749" t="inlineStr">
        <is>
          <t>JÖNKÖPINGS LÄN</t>
        </is>
      </c>
      <c r="G749" t="inlineStr">
        <is>
          <t>JÖNKÖPING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46268</v>
      </c>
      <c r="E750" s="1" t="n">
        <v>46284</v>
      </c>
      <c r="F750" t="inlineStr">
        <is>
          <t>JÖNKÖPINGS LÄN</t>
        </is>
      </c>
      <c r="G750" t="inlineStr">
        <is>
          <t>JÖNKÖPING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31771-2026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46230</v>
      </c>
      <c r="E751" s="1" t="n">
        <v>46284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46284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36793-2026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46284</v>
      </c>
      <c r="F753" t="inlineStr">
        <is>
          <t>JÖNKÖPINGS LÄN</t>
        </is>
      </c>
      <c r="G753" t="inlineStr">
        <is>
          <t>JÖNKÖPING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1365-2025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45667</v>
      </c>
      <c r="E754" s="1" t="n">
        <v>46284</v>
      </c>
      <c r="F754" t="inlineStr">
        <is>
          <t>JÖNKÖPINGS LÄN</t>
        </is>
      </c>
      <c r="G754" t="inlineStr">
        <is>
          <t>JÖNKÖPING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36940-2026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46273</v>
      </c>
      <c r="E755" s="1" t="n">
        <v>46284</v>
      </c>
      <c r="F755" t="inlineStr">
        <is>
          <t>JÖNKÖPINGS LÄN</t>
        </is>
      </c>
      <c r="G755" t="inlineStr">
        <is>
          <t>JÖNKÖPING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36617-2026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46270</v>
      </c>
      <c r="E756" s="1" t="n">
        <v>46284</v>
      </c>
      <c r="F756" t="inlineStr">
        <is>
          <t>JÖNKÖPINGS LÄN</t>
        </is>
      </c>
      <c r="G756" t="inlineStr">
        <is>
          <t>JÖNKÖPING</t>
        </is>
      </c>
      <c r="I756" t="n">
        <v>7.8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46284</v>
      </c>
      <c r="F757" t="inlineStr">
        <is>
          <t>JÖNKÖPINGS LÄN</t>
        </is>
      </c>
      <c r="G757" t="inlineStr">
        <is>
          <t>JÖNKÖPING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36781-2026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46272</v>
      </c>
      <c r="E758" s="1" t="n">
        <v>46284</v>
      </c>
      <c r="F758" t="inlineStr">
        <is>
          <t>JÖNKÖPINGS LÄN</t>
        </is>
      </c>
      <c r="G758" t="inlineStr">
        <is>
          <t>JÖNKÖPING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33398-2024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45519</v>
      </c>
      <c r="E759" s="1" t="n">
        <v>46284</v>
      </c>
      <c r="F759" t="inlineStr">
        <is>
          <t>JÖNKÖPINGS LÄN</t>
        </is>
      </c>
      <c r="G759" t="inlineStr">
        <is>
          <t>JÖNKÖPING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46284</v>
      </c>
      <c r="F760" t="inlineStr">
        <is>
          <t>JÖNKÖPINGS LÄN</t>
        </is>
      </c>
      <c r="G760" t="inlineStr">
        <is>
          <t>JÖNKÖPING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36774-2026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46272</v>
      </c>
      <c r="E761" s="1" t="n">
        <v>46284</v>
      </c>
      <c r="F761" t="inlineStr">
        <is>
          <t>JÖNKÖPINGS LÄN</t>
        </is>
      </c>
      <c r="G761" t="inlineStr">
        <is>
          <t>JÖNKÖPING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33674-2026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46248</v>
      </c>
      <c r="E762" s="1" t="n">
        <v>46284</v>
      </c>
      <c r="F762" t="inlineStr">
        <is>
          <t>JÖNKÖPINGS LÄN</t>
        </is>
      </c>
      <c r="G762" t="inlineStr">
        <is>
          <t>JÖNKÖPING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37316-2026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46274</v>
      </c>
      <c r="E763" s="1" t="n">
        <v>46284</v>
      </c>
      <c r="F763" t="inlineStr">
        <is>
          <t>JÖNKÖPINGS LÄN</t>
        </is>
      </c>
      <c r="G763" t="inlineStr">
        <is>
          <t>JÖNKÖPING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32074-2026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46233</v>
      </c>
      <c r="E764" s="1" t="n">
        <v>46284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8.300000000000001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37889-2026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46284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32138-2026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46234</v>
      </c>
      <c r="E766" s="1" t="n">
        <v>46284</v>
      </c>
      <c r="F766" t="inlineStr">
        <is>
          <t>JÖNKÖPINGS LÄN</t>
        </is>
      </c>
      <c r="G766" t="inlineStr">
        <is>
          <t>JÖNKÖPING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47190-2024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45586</v>
      </c>
      <c r="E767" s="1" t="n">
        <v>46284</v>
      </c>
      <c r="F767" t="inlineStr">
        <is>
          <t>JÖNKÖPINGS LÄN</t>
        </is>
      </c>
      <c r="G767" t="inlineStr">
        <is>
          <t>JÖNKÖPING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37699-2026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46279</v>
      </c>
      <c r="E768" s="1" t="n">
        <v>46284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37700-2026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46279</v>
      </c>
      <c r="E769" s="1" t="n">
        <v>46284</v>
      </c>
      <c r="F769" t="inlineStr">
        <is>
          <t>JÖNKÖPINGS LÄN</t>
        </is>
      </c>
      <c r="G769" t="inlineStr">
        <is>
          <t>JÖNKÖPING</t>
        </is>
      </c>
      <c r="H769" t="inlineStr">
        <is>
          <t>Sveaskog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32136-2026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46234</v>
      </c>
      <c r="E770" s="1" t="n">
        <v>46284</v>
      </c>
      <c r="F770" t="inlineStr">
        <is>
          <t>JÖNKÖPINGS LÄN</t>
        </is>
      </c>
      <c r="G770" t="inlineStr">
        <is>
          <t>JÖNKÖPING</t>
        </is>
      </c>
      <c r="I770" t="n">
        <v>7.7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46234</v>
      </c>
      <c r="E771" s="1" t="n">
        <v>46284</v>
      </c>
      <c r="F771" t="inlineStr">
        <is>
          <t>JÖNKÖPINGS LÄN</t>
        </is>
      </c>
      <c r="G771" t="inlineStr">
        <is>
          <t>JÖNKÖPING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32147-2026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46234</v>
      </c>
      <c r="E772" s="1" t="n">
        <v>46284</v>
      </c>
      <c r="F772" t="inlineStr">
        <is>
          <t>JÖNKÖPINGS LÄN</t>
        </is>
      </c>
      <c r="G772" t="inlineStr">
        <is>
          <t>JÖNKÖPING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37883-2026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46279</v>
      </c>
      <c r="E773" s="1" t="n">
        <v>46284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46233</v>
      </c>
      <c r="E774" s="1" t="n">
        <v>46284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37555-2026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46276</v>
      </c>
      <c r="E775" s="1" t="n">
        <v>46284</v>
      </c>
      <c r="F775" t="inlineStr">
        <is>
          <t>JÖNKÖPINGS LÄN</t>
        </is>
      </c>
      <c r="G775" t="inlineStr">
        <is>
          <t>JÖNKÖPING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37556-2026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46276</v>
      </c>
      <c r="E776" s="1" t="n">
        <v>46284</v>
      </c>
      <c r="F776" t="inlineStr">
        <is>
          <t>JÖNKÖPINGS LÄN</t>
        </is>
      </c>
      <c r="G776" t="inlineStr">
        <is>
          <t>JÖNKÖPING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32329-2026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46284</v>
      </c>
      <c r="F777" t="inlineStr">
        <is>
          <t>JÖNKÖPINGS LÄN</t>
        </is>
      </c>
      <c r="G777" t="inlineStr">
        <is>
          <t>JÖNKÖPING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37515-2024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45541</v>
      </c>
      <c r="E778" s="1" t="n">
        <v>46284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39280-2024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45551</v>
      </c>
      <c r="E779" s="1" t="n">
        <v>46284</v>
      </c>
      <c r="F779" t="inlineStr">
        <is>
          <t>JÖNKÖPINGS LÄN</t>
        </is>
      </c>
      <c r="G779" t="inlineStr">
        <is>
          <t>JÖNKÖPING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7959-2024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45350</v>
      </c>
      <c r="E780" s="1" t="n">
        <v>46284</v>
      </c>
      <c r="F780" t="inlineStr">
        <is>
          <t>JÖNKÖPINGS LÄN</t>
        </is>
      </c>
      <c r="G780" t="inlineStr">
        <is>
          <t>JÖNKÖPING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61523-2024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45646</v>
      </c>
      <c r="E781" s="1" t="n">
        <v>46284</v>
      </c>
      <c r="F781" t="inlineStr">
        <is>
          <t>JÖNKÖPINGS LÄN</t>
        </is>
      </c>
      <c r="G781" t="inlineStr">
        <is>
          <t>JÖNKÖPING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23893-2025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45793</v>
      </c>
      <c r="E782" s="1" t="n">
        <v>46284</v>
      </c>
      <c r="F782" t="inlineStr">
        <is>
          <t>JÖNKÖPINGS LÄN</t>
        </is>
      </c>
      <c r="G782" t="inlineStr">
        <is>
          <t>JÖNKÖPING</t>
        </is>
      </c>
      <c r="I782" t="n">
        <v>15.5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38337-2026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46282</v>
      </c>
      <c r="E783" s="1" t="n">
        <v>46284</v>
      </c>
      <c r="F783" t="inlineStr">
        <is>
          <t>JÖNKÖPINGS LÄN</t>
        </is>
      </c>
      <c r="G783" t="inlineStr">
        <is>
          <t>JÖNKÖPING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43782-2024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45570</v>
      </c>
      <c r="E784" s="1" t="n">
        <v>46284</v>
      </c>
      <c r="F784" t="inlineStr">
        <is>
          <t>JÖNKÖPINGS LÄN</t>
        </is>
      </c>
      <c r="G784" t="inlineStr">
        <is>
          <t>JÖNKÖPING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32542-2026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46239</v>
      </c>
      <c r="E785" s="1" t="n">
        <v>46284</v>
      </c>
      <c r="F785" t="inlineStr">
        <is>
          <t>JÖNKÖPINGS LÄN</t>
        </is>
      </c>
      <c r="G785" t="inlineStr">
        <is>
          <t>JÖNKÖPING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11560-2025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45727</v>
      </c>
      <c r="E786" s="1" t="n">
        <v>46284</v>
      </c>
      <c r="F786" t="inlineStr">
        <is>
          <t>JÖNKÖPINGS LÄN</t>
        </is>
      </c>
      <c r="G786" t="inlineStr">
        <is>
          <t>JÖNKÖPING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36217-2026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46267</v>
      </c>
      <c r="E787" s="1" t="n">
        <v>46284</v>
      </c>
      <c r="F787" t="inlineStr">
        <is>
          <t>JÖNKÖPINGS LÄN</t>
        </is>
      </c>
      <c r="G787" t="inlineStr">
        <is>
          <t>JÖNKÖPING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14225-2025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45740</v>
      </c>
      <c r="E788" s="1" t="n">
        <v>46284</v>
      </c>
      <c r="F788" t="inlineStr">
        <is>
          <t>JÖNKÖPINGS LÄN</t>
        </is>
      </c>
      <c r="G788" t="inlineStr">
        <is>
          <t>JÖNKÖPING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45735</v>
      </c>
      <c r="E789" s="1" t="n">
        <v>46284</v>
      </c>
      <c r="F789" t="inlineStr">
        <is>
          <t>JÖNKÖPINGS LÄN</t>
        </is>
      </c>
      <c r="G789" t="inlineStr">
        <is>
          <t>JÖNKÖPING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12933-2025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45734</v>
      </c>
      <c r="E790" s="1" t="n">
        <v>46284</v>
      </c>
      <c r="F790" t="inlineStr">
        <is>
          <t>JÖNKÖPINGS LÄN</t>
        </is>
      </c>
      <c r="G790" t="inlineStr">
        <is>
          <t>JÖNKÖPING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32543-2026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46239</v>
      </c>
      <c r="E791" s="1" t="n">
        <v>46284</v>
      </c>
      <c r="F791" t="inlineStr">
        <is>
          <t>JÖNKÖPINGS LÄN</t>
        </is>
      </c>
      <c r="G791" t="inlineStr">
        <is>
          <t>JÖNKÖPING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38654-2026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46281</v>
      </c>
      <c r="E792" s="1" t="n">
        <v>46284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37707-2026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46279</v>
      </c>
      <c r="E793" s="1" t="n">
        <v>46284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9.1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11255-2023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44992</v>
      </c>
      <c r="E794" s="1" t="n">
        <v>46284</v>
      </c>
      <c r="F794" t="inlineStr">
        <is>
          <t>JÖNKÖPINGS LÄN</t>
        </is>
      </c>
      <c r="G794" t="inlineStr">
        <is>
          <t>JÖNKÖPING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26279-2025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45805</v>
      </c>
      <c r="E795" s="1" t="n">
        <v>46284</v>
      </c>
      <c r="F795" t="inlineStr">
        <is>
          <t>JÖNKÖPINGS LÄN</t>
        </is>
      </c>
      <c r="G795" t="inlineStr">
        <is>
          <t>JÖNKÖPING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26358-2025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45806</v>
      </c>
      <c r="E796" s="1" t="n">
        <v>46284</v>
      </c>
      <c r="F796" t="inlineStr">
        <is>
          <t>JÖNKÖPINGS LÄN</t>
        </is>
      </c>
      <c r="G796" t="inlineStr">
        <is>
          <t>JÖNKÖPING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49836-2024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45597</v>
      </c>
      <c r="E797" s="1" t="n">
        <v>46284</v>
      </c>
      <c r="F797" t="inlineStr">
        <is>
          <t>JÖNKÖPINGS LÄN</t>
        </is>
      </c>
      <c r="G797" t="inlineStr">
        <is>
          <t>JÖNKÖPING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45811</v>
      </c>
      <c r="E798" s="1" t="n">
        <v>46284</v>
      </c>
      <c r="F798" t="inlineStr">
        <is>
          <t>JÖNKÖPINGS LÄN</t>
        </is>
      </c>
      <c r="G798" t="inlineStr">
        <is>
          <t>JÖNKÖPING</t>
        </is>
      </c>
      <c r="I798" t="n">
        <v>9.1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60557-2024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45643</v>
      </c>
      <c r="E799" s="1" t="n">
        <v>46284</v>
      </c>
      <c r="F799" t="inlineStr">
        <is>
          <t>JÖNKÖPINGS LÄN</t>
        </is>
      </c>
      <c r="G799" t="inlineStr">
        <is>
          <t>JÖNKÖPING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42053-2024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45561</v>
      </c>
      <c r="E800" s="1" t="n">
        <v>46284</v>
      </c>
      <c r="F800" t="inlineStr">
        <is>
          <t>JÖNKÖPINGS LÄN</t>
        </is>
      </c>
      <c r="G800" t="inlineStr">
        <is>
          <t>JÖNKÖPING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45819</v>
      </c>
      <c r="E801" s="1" t="n">
        <v>46284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30217-2025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45826</v>
      </c>
      <c r="E802" s="1" t="n">
        <v>46284</v>
      </c>
      <c r="F802" t="inlineStr">
        <is>
          <t>JÖNKÖPINGS LÄN</t>
        </is>
      </c>
      <c r="G802" t="inlineStr">
        <is>
          <t>JÖNKÖPING</t>
        </is>
      </c>
      <c r="I802" t="n">
        <v>11.9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17363-2025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45756</v>
      </c>
      <c r="E803" s="1" t="n">
        <v>46284</v>
      </c>
      <c r="F803" t="inlineStr">
        <is>
          <t>JÖNKÖPINGS LÄN</t>
        </is>
      </c>
      <c r="G803" t="inlineStr">
        <is>
          <t>JÖNKÖPING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33846-2025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45842</v>
      </c>
      <c r="E804" s="1" t="n">
        <v>46284</v>
      </c>
      <c r="F804" t="inlineStr">
        <is>
          <t>JÖNKÖPINGS LÄN</t>
        </is>
      </c>
      <c r="G804" t="inlineStr">
        <is>
          <t>JÖNKÖPING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24329-2025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45797</v>
      </c>
      <c r="E805" s="1" t="n">
        <v>46284</v>
      </c>
      <c r="F805" t="inlineStr">
        <is>
          <t>JÖNKÖPINGS LÄN</t>
        </is>
      </c>
      <c r="G805" t="inlineStr">
        <is>
          <t>JÖNKÖPING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47401-2024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45587</v>
      </c>
      <c r="E806" s="1" t="n">
        <v>46284</v>
      </c>
      <c r="F806" t="inlineStr">
        <is>
          <t>JÖNKÖPINGS LÄN</t>
        </is>
      </c>
      <c r="G806" t="inlineStr">
        <is>
          <t>JÖNKÖPING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34600-2025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45846</v>
      </c>
      <c r="E807" s="1" t="n">
        <v>46284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Kyrkan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34605-2025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45846</v>
      </c>
      <c r="E808" s="1" t="n">
        <v>46284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Kyrkan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16500-2025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45751</v>
      </c>
      <c r="E809" s="1" t="n">
        <v>46284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57509-2024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45630</v>
      </c>
      <c r="E810" s="1" t="n">
        <v>46284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7033-2025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45701</v>
      </c>
      <c r="E811" s="1" t="n">
        <v>46284</v>
      </c>
      <c r="F811" t="inlineStr">
        <is>
          <t>JÖNKÖPINGS LÄN</t>
        </is>
      </c>
      <c r="G811" t="inlineStr">
        <is>
          <t>JÖNKÖPING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22541-2025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45788</v>
      </c>
      <c r="E812" s="1" t="n">
        <v>46284</v>
      </c>
      <c r="F812" t="inlineStr">
        <is>
          <t>JÖNKÖPINGS LÄN</t>
        </is>
      </c>
      <c r="G812" t="inlineStr">
        <is>
          <t>JÖNKÖPING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35820-2025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45861</v>
      </c>
      <c r="E813" s="1" t="n">
        <v>46284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22542-2025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45788</v>
      </c>
      <c r="E814" s="1" t="n">
        <v>46284</v>
      </c>
      <c r="F814" t="inlineStr">
        <is>
          <t>JÖNKÖPINGS LÄN</t>
        </is>
      </c>
      <c r="G814" t="inlineStr">
        <is>
          <t>JÖNKÖPING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36618-2025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45870</v>
      </c>
      <c r="E815" s="1" t="n">
        <v>46284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37149-2025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45875</v>
      </c>
      <c r="E816" s="1" t="n">
        <v>46284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Kommuner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12938-2025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45734</v>
      </c>
      <c r="E817" s="1" t="n">
        <v>46284</v>
      </c>
      <c r="F817" t="inlineStr">
        <is>
          <t>JÖNKÖPINGS LÄN</t>
        </is>
      </c>
      <c r="G817" t="inlineStr">
        <is>
          <t>JÖNKÖPING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37617-2025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45880</v>
      </c>
      <c r="E818" s="1" t="n">
        <v>46284</v>
      </c>
      <c r="F818" t="inlineStr">
        <is>
          <t>JÖNKÖPINGS LÄN</t>
        </is>
      </c>
      <c r="G818" t="inlineStr">
        <is>
          <t>JÖNKÖPING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38403-2025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45883</v>
      </c>
      <c r="E819" s="1" t="n">
        <v>46284</v>
      </c>
      <c r="F819" t="inlineStr">
        <is>
          <t>JÖNKÖPINGS LÄN</t>
        </is>
      </c>
      <c r="G819" t="inlineStr">
        <is>
          <t>JÖNKÖPING</t>
        </is>
      </c>
      <c r="I819" t="n">
        <v>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38407-2025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45883</v>
      </c>
      <c r="E820" s="1" t="n">
        <v>46284</v>
      </c>
      <c r="F820" t="inlineStr">
        <is>
          <t>JÖNKÖPINGS LÄN</t>
        </is>
      </c>
      <c r="G820" t="inlineStr">
        <is>
          <t>JÖNKÖPING</t>
        </is>
      </c>
      <c r="I820" t="n">
        <v>8.6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38415-2025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45883</v>
      </c>
      <c r="E821" s="1" t="n">
        <v>46284</v>
      </c>
      <c r="F821" t="inlineStr">
        <is>
          <t>JÖNKÖPINGS LÄN</t>
        </is>
      </c>
      <c r="G821" t="inlineStr">
        <is>
          <t>JÖNKÖPING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38414-2025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45883</v>
      </c>
      <c r="E822" s="1" t="n">
        <v>46284</v>
      </c>
      <c r="F822" t="inlineStr">
        <is>
          <t>JÖNKÖPINGS LÄN</t>
        </is>
      </c>
      <c r="G822" t="inlineStr">
        <is>
          <t>JÖNKÖPING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177-2024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45313</v>
      </c>
      <c r="E823" s="1" t="n">
        <v>46284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84.90000000000001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1870-2022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44658</v>
      </c>
      <c r="E824" s="1" t="n">
        <v>46284</v>
      </c>
      <c r="F824" t="inlineStr">
        <is>
          <t>JÖNKÖPINGS LÄN</t>
        </is>
      </c>
      <c r="G824" t="inlineStr">
        <is>
          <t>JÖNKÖPING</t>
        </is>
      </c>
      <c r="I824" t="n">
        <v>6.6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884-2022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44607</v>
      </c>
      <c r="E825" s="1" t="n">
        <v>46284</v>
      </c>
      <c r="F825" t="inlineStr">
        <is>
          <t>JÖNKÖPINGS LÄN</t>
        </is>
      </c>
      <c r="G825" t="inlineStr">
        <is>
          <t>JÖNKÖPING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2480-2023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45131</v>
      </c>
      <c r="E826" s="1" t="n">
        <v>46284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Kyrkan</t>
        </is>
      </c>
      <c r="I826" t="n">
        <v>66.7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589-2022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44593</v>
      </c>
      <c r="E827" s="1" t="n">
        <v>46284</v>
      </c>
      <c r="F827" t="inlineStr">
        <is>
          <t>JÖNKÖPINGS LÄN</t>
        </is>
      </c>
      <c r="G827" t="inlineStr">
        <is>
          <t>JÖNKÖPING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9015-2021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44510</v>
      </c>
      <c r="E828" s="1" t="n">
        <v>46284</v>
      </c>
      <c r="F828" t="inlineStr">
        <is>
          <t>JÖNKÖPINGS LÄN</t>
        </is>
      </c>
      <c r="G828" t="inlineStr">
        <is>
          <t>JÖNKÖPING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274-2023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44956</v>
      </c>
      <c r="E829" s="1" t="n">
        <v>46284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50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1347-2024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45407</v>
      </c>
      <c r="E830" s="1" t="n">
        <v>46284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Övriga Aktiebolag</t>
        </is>
      </c>
      <c r="I830" t="n">
        <v>40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324-2024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45327</v>
      </c>
      <c r="E831" s="1" t="n">
        <v>46284</v>
      </c>
      <c r="F831" t="inlineStr">
        <is>
          <t>JÖNKÖPINGS LÄN</t>
        </is>
      </c>
      <c r="G831" t="inlineStr">
        <is>
          <t>JÖNKÖPING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2909-2022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44711</v>
      </c>
      <c r="E832" s="1" t="n">
        <v>46284</v>
      </c>
      <c r="F832" t="inlineStr">
        <is>
          <t>JÖNKÖPINGS LÄN</t>
        </is>
      </c>
      <c r="G832" t="inlineStr">
        <is>
          <t>JÖNKÖPING</t>
        </is>
      </c>
      <c r="I832" t="n">
        <v>11.2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3979-2022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44753</v>
      </c>
      <c r="E833" s="1" t="n">
        <v>46284</v>
      </c>
      <c r="F833" t="inlineStr">
        <is>
          <t>JÖNKÖPINGS LÄN</t>
        </is>
      </c>
      <c r="G833" t="inlineStr">
        <is>
          <t>JÖNKÖPING</t>
        </is>
      </c>
      <c r="I833" t="n">
        <v>55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893-2023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44998</v>
      </c>
      <c r="E834" s="1" t="n">
        <v>46284</v>
      </c>
      <c r="F834" t="inlineStr">
        <is>
          <t>JÖNKÖPINGS LÄN</t>
        </is>
      </c>
      <c r="G834" t="inlineStr">
        <is>
          <t>JÖNKÖPING</t>
        </is>
      </c>
      <c r="I834" t="n">
        <v>129.2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1566-2025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45794</v>
      </c>
      <c r="E835" s="1" t="n">
        <v>46284</v>
      </c>
      <c r="F835" t="inlineStr">
        <is>
          <t>JÖNKÖPINGS LÄN</t>
        </is>
      </c>
      <c r="G835" t="inlineStr">
        <is>
          <t>JÖNKÖPING</t>
        </is>
      </c>
      <c r="I835" t="n">
        <v>24.3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1618-2025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45798</v>
      </c>
      <c r="E836" s="1" t="n">
        <v>46284</v>
      </c>
      <c r="F836" t="inlineStr">
        <is>
          <t>JÖNKÖPINGS LÄN</t>
        </is>
      </c>
      <c r="G836" t="inlineStr">
        <is>
          <t>JÖNKÖPING</t>
        </is>
      </c>
      <c r="I836" t="n">
        <v>20.6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581-2025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45712</v>
      </c>
      <c r="E837" s="1" t="n">
        <v>46284</v>
      </c>
      <c r="F837" t="inlineStr">
        <is>
          <t>JÖNKÖPINGS LÄN</t>
        </is>
      </c>
      <c r="G837" t="inlineStr">
        <is>
          <t>JÖNKÖPING</t>
        </is>
      </c>
      <c r="I837" t="n">
        <v>11.8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  <c r="Z837">
        <f>HYPERLINK("https://klasma.github.io/Logging_0680/knärot/S 581-2025 karta knärot.png", "S 581-2025")</f>
        <v/>
      </c>
      <c r="AA837">
        <f>HYPERLINK("https://klasma.github.io/Logging_0680/klagomål/S 581-2025 FSC-klagomål.docx", "S 581-2025")</f>
        <v/>
      </c>
      <c r="AB837">
        <f>HYPERLINK("https://klasma.github.io/Logging_0680/klagomålsmail/S 581-2025 FSC-klagomål mail.docx", "S 581-2025")</f>
        <v/>
      </c>
      <c r="AC837">
        <f>HYPERLINK("https://klasma.github.io/Logging_0680/tillsyn/S 581-2025 tillsynsbegäran.docx", "S 581-2025")</f>
        <v/>
      </c>
      <c r="AD837">
        <f>HYPERLINK("https://klasma.github.io/Logging_0680/tillsynsmail/S 581-2025 tillsynsbegäran mail.docx", "S 581-2025")</f>
        <v/>
      </c>
    </row>
    <row r="838" ht="15" customHeight="1">
      <c r="A838" t="inlineStr">
        <is>
          <t>S 1610-2025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45798</v>
      </c>
      <c r="E838" s="1" t="n">
        <v>46284</v>
      </c>
      <c r="F838" t="inlineStr">
        <is>
          <t>JÖNKÖPINGS LÄN</t>
        </is>
      </c>
      <c r="G838" t="inlineStr">
        <is>
          <t>JÖNKÖPING</t>
        </is>
      </c>
      <c r="I838" t="n">
        <v>65.3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577-2025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45712</v>
      </c>
      <c r="E839" s="1" t="n">
        <v>46284</v>
      </c>
      <c r="F839" t="inlineStr">
        <is>
          <t>JÖNKÖPINGS LÄN</t>
        </is>
      </c>
      <c r="G839" t="inlineStr">
        <is>
          <t>JÖNKÖPING</t>
        </is>
      </c>
      <c r="I839" t="n">
        <v>39.5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1803-2025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45817</v>
      </c>
      <c r="E840" s="1" t="n">
        <v>46284</v>
      </c>
      <c r="F840" t="inlineStr">
        <is>
          <t>JÖNKÖPINGS LÄN</t>
        </is>
      </c>
      <c r="G840" t="inlineStr">
        <is>
          <t>JÖNKÖPING</t>
        </is>
      </c>
      <c r="H840" t="inlineStr">
        <is>
          <t>Kommuner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2245-2025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45870</v>
      </c>
      <c r="E841" s="1" t="n">
        <v>46284</v>
      </c>
      <c r="F841" t="inlineStr">
        <is>
          <t>JÖNKÖPINGS LÄN</t>
        </is>
      </c>
      <c r="G841" t="inlineStr">
        <is>
          <t>JÖNKÖPING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3374-2025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45994</v>
      </c>
      <c r="E842" s="1" t="n">
        <v>46284</v>
      </c>
      <c r="F842" t="inlineStr">
        <is>
          <t>JÖNKÖPINGS LÄN</t>
        </is>
      </c>
      <c r="G842" t="inlineStr">
        <is>
          <t>JÖNKÖPING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180-2026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46047</v>
      </c>
      <c r="E843" s="1" t="n">
        <v>46284</v>
      </c>
      <c r="F843" t="inlineStr">
        <is>
          <t>JÖNKÖPINGS LÄN</t>
        </is>
      </c>
      <c r="G843" t="inlineStr">
        <is>
          <t>JÖNKÖPING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2026-09-19T02:02:57Z</dcterms:created>
  <dcterms:modified xmlns:dcterms="http://purl.org/dc/terms/" xmlns:xsi="http://www.w3.org/2001/XMLSchema-instance" xsi:type="dcterms:W3CDTF">2026-09-19T02:02:58Z</dcterms:modified>
</cp:coreProperties>
</file>