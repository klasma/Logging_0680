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35568-2025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45856</v>
      </c>
      <c r="E2" s="1" t="n">
        <v>46310</v>
      </c>
      <c r="F2" t="inlineStr">
        <is>
          <t>JÖNKÖPINGS LÄN</t>
        </is>
      </c>
      <c r="G2" t="inlineStr">
        <is>
          <t>JÖNKÖPING</t>
        </is>
      </c>
      <c r="I2" t="n">
        <v>2.5</v>
      </c>
      <c r="J2" t="n">
        <v>3</v>
      </c>
      <c r="K2" t="n">
        <v>2</v>
      </c>
      <c r="L2" t="n">
        <v>7</v>
      </c>
      <c r="M2" t="n">
        <v>1</v>
      </c>
      <c r="N2" t="n">
        <v>3</v>
      </c>
      <c r="O2" t="n">
        <v>0</v>
      </c>
      <c r="P2" t="n">
        <v>0</v>
      </c>
      <c r="Q2" t="n">
        <v>11</v>
      </c>
      <c r="R2" t="n">
        <v>4</v>
      </c>
      <c r="S2" t="n">
        <v>15</v>
      </c>
      <c r="T2" t="n">
        <v>16</v>
      </c>
      <c r="U2" t="n">
        <v>14</v>
      </c>
      <c r="V2" s="2" t="inlineStr">
        <is>
          <t>Ask
Källblekvide
Mosippa
Blågrönt mannagräs
Backstarr
Borsttåg
Gullklöver
Slåtterfibbla
Svinrot
Vippärt
Vårstarr
Svart trolldruva
Vätteros
Mattlummer
Grönvit nattviol</t>
        </is>
      </c>
      <c r="W2">
        <f>HYPERLINK("https://klasma.github.io/Logging_0680/artfynd/A 35568-2025 artfynd.xlsx", "A 35568-2025")</f>
        <v/>
      </c>
      <c r="X2">
        <f>HYPERLINK("https://klasma.github.io/Logging_0680/kartor/A 35568-2025 karta.png", "A 35568-2025")</f>
        <v/>
      </c>
      <c r="Y2">
        <f>HYPERLINK("https://klasma.github.io/Logging_0680/kartor_geotiff/A 35568-2025 georefererad karta.tif", "A 35568-2025")</f>
        <v/>
      </c>
      <c r="AA2">
        <f>HYPERLINK("https://klasma.github.io/Logging_0680/klagomål/A 35568-2025 FSC-klagomål.docx", "A 35568-2025")</f>
        <v/>
      </c>
      <c r="AB2">
        <f>HYPERLINK("https://klasma.github.io/Logging_0680/klagomålsmail/A 35568-2025 FSC-klagomål mail.docx", "A 35568-2025")</f>
        <v/>
      </c>
      <c r="AC2">
        <f>HYPERLINK("https://klasma.github.io/Logging_0680/tillsyn/A 35568-2025 tillsynsbegäran.docx", "A 35568-2025")</f>
        <v/>
      </c>
      <c r="AD2">
        <f>HYPERLINK("https://klasma.github.io/Logging_0680/tillsynsmail/A 35568-2025 tillsynsbegäran mail.docx", "A 35568-2025")</f>
        <v/>
      </c>
    </row>
    <row r="3" ht="15" customHeight="1">
      <c r="A3" t="inlineStr">
        <is>
          <t>A 35569-2025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45856</v>
      </c>
      <c r="E3" s="1" t="n">
        <v>46310</v>
      </c>
      <c r="F3" t="inlineStr">
        <is>
          <t>JÖNKÖPINGS LÄN</t>
        </is>
      </c>
      <c r="G3" t="inlineStr">
        <is>
          <t>JÖNKÖPING</t>
        </is>
      </c>
      <c r="I3" t="n">
        <v>2.4</v>
      </c>
      <c r="J3" t="n">
        <v>4</v>
      </c>
      <c r="K3" t="n">
        <v>2</v>
      </c>
      <c r="L3" t="n">
        <v>8</v>
      </c>
      <c r="M3" t="n">
        <v>0</v>
      </c>
      <c r="N3" t="n">
        <v>1</v>
      </c>
      <c r="O3" t="n">
        <v>0</v>
      </c>
      <c r="P3" t="n">
        <v>0</v>
      </c>
      <c r="Q3" t="n">
        <v>9</v>
      </c>
      <c r="R3" t="n">
        <v>1</v>
      </c>
      <c r="S3" t="n">
        <v>15</v>
      </c>
      <c r="T3" t="n">
        <v>16</v>
      </c>
      <c r="U3" t="n">
        <v>12</v>
      </c>
      <c r="V3" s="2" t="inlineStr">
        <is>
          <t>Ask
Gullklöver
Jungfrulin
Slåtterfibbla
Sommarfibbla
Svinrot
Sårläka
Vippärt
Vårärt
Grönpyrola
Vätteros
Blåsippa
Grönvit nattviol
Nattviol
Lopplummer (aggregat)</t>
        </is>
      </c>
      <c r="W3">
        <f>HYPERLINK("https://klasma.github.io/Logging_0680/artfynd/A 35569-2025 artfynd.xlsx", "A 35569-2025")</f>
        <v/>
      </c>
      <c r="X3">
        <f>HYPERLINK("https://klasma.github.io/Logging_0680/kartor/A 35569-2025 karta.png", "A 35569-2025")</f>
        <v/>
      </c>
      <c r="Y3">
        <f>HYPERLINK("https://klasma.github.io/Logging_0680/kartor_geotiff/A 35569-2025 georefererad karta.tif", "A 35569-2025")</f>
        <v/>
      </c>
      <c r="AA3">
        <f>HYPERLINK("https://klasma.github.io/Logging_0680/klagomål/A 35569-2025 FSC-klagomål.docx", "A 35569-2025")</f>
        <v/>
      </c>
      <c r="AB3">
        <f>HYPERLINK("https://klasma.github.io/Logging_0680/klagomålsmail/A 35569-2025 FSC-klagomål mail.docx", "A 35569-2025")</f>
        <v/>
      </c>
      <c r="AC3">
        <f>HYPERLINK("https://klasma.github.io/Logging_0680/tillsyn/A 35569-2025 tillsynsbegäran.docx", "A 35569-2025")</f>
        <v/>
      </c>
      <c r="AD3">
        <f>HYPERLINK("https://klasma.github.io/Logging_0680/tillsynsmail/A 35569-2025 tillsynsbegäran mail.docx", "A 35569-2025")</f>
        <v/>
      </c>
    </row>
    <row r="4" ht="15" customHeight="1">
      <c r="A4" t="inlineStr">
        <is>
          <t>A 48764-2025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45936</v>
      </c>
      <c r="E4" s="1" t="n">
        <v>46310</v>
      </c>
      <c r="F4" t="inlineStr">
        <is>
          <t>JÖNKÖPINGS LÄN</t>
        </is>
      </c>
      <c r="G4" t="inlineStr">
        <is>
          <t>JÖNKÖPING</t>
        </is>
      </c>
      <c r="I4" t="n">
        <v>28.3</v>
      </c>
      <c r="J4" t="n">
        <v>3</v>
      </c>
      <c r="K4" t="n">
        <v>7</v>
      </c>
      <c r="L4" t="n">
        <v>3</v>
      </c>
      <c r="M4" t="n">
        <v>1</v>
      </c>
      <c r="N4" t="n">
        <v>0</v>
      </c>
      <c r="O4" t="n">
        <v>0</v>
      </c>
      <c r="P4" t="n">
        <v>0</v>
      </c>
      <c r="Q4" t="n">
        <v>4</v>
      </c>
      <c r="R4" t="n">
        <v>1</v>
      </c>
      <c r="S4" t="n">
        <v>13</v>
      </c>
      <c r="T4" t="n">
        <v>24</v>
      </c>
      <c r="U4" t="n">
        <v>22</v>
      </c>
      <c r="V4" s="2" t="inlineStr">
        <is>
          <t>Knärot
Gullklöver
Gullpudra
Vårstarr
Blåmossa
Bronshjon
Granbarkgnagare
Thomsons trägnagare
Trådticka
Västlig hakmossa
Vågbandad barkbock
Kungsfågel
Revlummer</t>
        </is>
      </c>
      <c r="W4">
        <f>HYPERLINK("https://klasma.github.io/Logging_0680/artfynd/A 48764-2025 artfynd.xlsx", "A 48764-2025")</f>
        <v/>
      </c>
      <c r="X4">
        <f>HYPERLINK("https://klasma.github.io/Logging_0680/kartor/A 48764-2025 karta.png", "A 48764-2025")</f>
        <v/>
      </c>
      <c r="Y4">
        <f>HYPERLINK("https://klasma.github.io/Logging_0680/kartor_geotiff/A 48764-2025 georefererad karta.tif", "A 48764-2025")</f>
        <v/>
      </c>
      <c r="Z4">
        <f>HYPERLINK("https://klasma.github.io/Logging_0680/knärot/A 48764-2025 karta knärot.png", "A 48764-2025")</f>
        <v/>
      </c>
      <c r="AA4">
        <f>HYPERLINK("https://klasma.github.io/Logging_0680/klagomål/A 48764-2025 FSC-klagomål.docx", "A 48764-2025")</f>
        <v/>
      </c>
      <c r="AB4">
        <f>HYPERLINK("https://klasma.github.io/Logging_0680/klagomålsmail/A 48764-2025 FSC-klagomål mail.docx", "A 48764-2025")</f>
        <v/>
      </c>
      <c r="AC4">
        <f>HYPERLINK("https://klasma.github.io/Logging_0680/tillsyn/A 48764-2025 tillsynsbegäran.docx", "A 48764-2025")</f>
        <v/>
      </c>
      <c r="AD4">
        <f>HYPERLINK("https://klasma.github.io/Logging_0680/tillsynsmail/A 48764-2025 tillsynsbegäran mail.docx", "A 48764-2025")</f>
        <v/>
      </c>
    </row>
    <row r="5" ht="15" customHeight="1">
      <c r="A5" t="inlineStr">
        <is>
          <t>A 63685-2023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45275</v>
      </c>
      <c r="E5" s="1" t="n">
        <v>46310</v>
      </c>
      <c r="F5" t="inlineStr">
        <is>
          <t>JÖNKÖPINGS LÄN</t>
        </is>
      </c>
      <c r="G5" t="inlineStr">
        <is>
          <t>JÖNKÖPING</t>
        </is>
      </c>
      <c r="I5" t="n">
        <v>1.2</v>
      </c>
      <c r="J5" t="n">
        <v>12</v>
      </c>
      <c r="K5" t="n">
        <v>0</v>
      </c>
      <c r="L5" t="n">
        <v>6</v>
      </c>
      <c r="M5" t="n">
        <v>2</v>
      </c>
      <c r="N5" t="n">
        <v>0</v>
      </c>
      <c r="O5" t="n">
        <v>0</v>
      </c>
      <c r="P5" t="n">
        <v>0</v>
      </c>
      <c r="Q5" t="n">
        <v>8</v>
      </c>
      <c r="R5" t="n">
        <v>2</v>
      </c>
      <c r="S5" t="n">
        <v>12</v>
      </c>
      <c r="T5" t="n">
        <v>12</v>
      </c>
      <c r="U5" t="n">
        <v>12</v>
      </c>
      <c r="V5" s="2" t="inlineStr">
        <is>
          <t>Grönfink
Stare
Duvhök
Entita
Grönsångare
Gulsparv
Järnsparv
Ladusvala
Kråka
Kungsfågel
Skogsduva
Trana</t>
        </is>
      </c>
      <c r="W5">
        <f>HYPERLINK("https://klasma.github.io/Logging_0680/artfynd/A 63685-2023 artfynd.xlsx", "A 63685-2023")</f>
        <v/>
      </c>
      <c r="X5">
        <f>HYPERLINK("https://klasma.github.io/Logging_0680/kartor/A 63685-2023 karta.png", "A 63685-2023")</f>
        <v/>
      </c>
      <c r="Y5">
        <f>HYPERLINK("https://klasma.github.io/Logging_0680/kartor_geotiff/A 63685-2023 georefererad karta.tif", "A 63685-2023")</f>
        <v/>
      </c>
      <c r="AA5">
        <f>HYPERLINK("https://klasma.github.io/Logging_0680/klagomål/A 63685-2023 FSC-klagomål.docx", "A 63685-2023")</f>
        <v/>
      </c>
      <c r="AB5">
        <f>HYPERLINK("https://klasma.github.io/Logging_0680/klagomålsmail/A 63685-2023 FSC-klagomål mail.docx", "A 63685-2023")</f>
        <v/>
      </c>
      <c r="AC5">
        <f>HYPERLINK("https://klasma.github.io/Logging_0680/tillsyn/A 63685-2023 tillsynsbegäran.docx", "A 63685-2023")</f>
        <v/>
      </c>
      <c r="AD5">
        <f>HYPERLINK("https://klasma.github.io/Logging_0680/tillsynsmail/A 63685-2023 tillsynsbegäran mail.docx", "A 63685-2023")</f>
        <v/>
      </c>
      <c r="AE5">
        <f>HYPERLINK("https://klasma.github.io/Logging_0680/fåglar/A 63685-2023 prioriterade fågelarter.docx", "A 63685-2023")</f>
        <v/>
      </c>
    </row>
    <row r="6" ht="15" customHeight="1">
      <c r="A6" t="inlineStr">
        <is>
          <t>A 3689-2026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46043</v>
      </c>
      <c r="E6" s="1" t="n">
        <v>46310</v>
      </c>
      <c r="F6" t="inlineStr">
        <is>
          <t>JÖNKÖPINGS LÄN</t>
        </is>
      </c>
      <c r="G6" t="inlineStr">
        <is>
          <t>JÖNKÖPING</t>
        </is>
      </c>
      <c r="I6" t="n">
        <v>1</v>
      </c>
      <c r="J6" t="n">
        <v>1</v>
      </c>
      <c r="K6" t="n">
        <v>5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3</v>
      </c>
      <c r="R6" t="n">
        <v>2</v>
      </c>
      <c r="S6" t="n">
        <v>9</v>
      </c>
      <c r="T6" t="n">
        <v>16</v>
      </c>
      <c r="U6" t="n">
        <v>4</v>
      </c>
      <c r="V6" s="2" t="inlineStr">
        <is>
          <t>Ask
Blek kraterlav
Grynig filtlav
Fällmossa
Guldlockmossa
Liten baronmossa
Platt fjädermossa
Vätteros
Blåsippa</t>
        </is>
      </c>
      <c r="W6">
        <f>HYPERLINK("https://klasma.github.io/Logging_0680/artfynd/A 3689-2026 artfynd.xlsx", "A 3689-2026")</f>
        <v/>
      </c>
      <c r="X6">
        <f>HYPERLINK("https://klasma.github.io/Logging_0680/kartor/A 3689-2026 karta.png", "A 3689-2026")</f>
        <v/>
      </c>
      <c r="Y6">
        <f>HYPERLINK("https://klasma.github.io/Logging_0680/kartor_geotiff/A 3689-2026 georefererad karta.tif", "A 3689-2026")</f>
        <v/>
      </c>
      <c r="AA6">
        <f>HYPERLINK("https://klasma.github.io/Logging_0680/klagomål/A 3689-2026 FSC-klagomål.docx", "A 3689-2026")</f>
        <v/>
      </c>
      <c r="AB6">
        <f>HYPERLINK("https://klasma.github.io/Logging_0680/klagomålsmail/A 3689-2026 FSC-klagomål mail.docx", "A 3689-2026")</f>
        <v/>
      </c>
      <c r="AC6">
        <f>HYPERLINK("https://klasma.github.io/Logging_0680/tillsyn/A 3689-2026 tillsynsbegäran.docx", "A 3689-2026")</f>
        <v/>
      </c>
      <c r="AD6">
        <f>HYPERLINK("https://klasma.github.io/Logging_0680/tillsynsmail/A 3689-2026 tillsynsbegäran mail.docx", "A 3689-2026")</f>
        <v/>
      </c>
    </row>
    <row r="7" ht="15" customHeight="1">
      <c r="A7" t="inlineStr">
        <is>
          <t>S 2395-2023</t>
        </is>
      </c>
      <c r="B7" t="inlineStr">
        <is>
          <t>samrådsanmälan</t>
        </is>
      </c>
      <c r="C7" t="inlineStr">
        <is>
          <t>Annan skogsbruksåtgärd</t>
        </is>
      </c>
      <c r="D7" s="1" t="n">
        <v>45111</v>
      </c>
      <c r="E7" s="1" t="n">
        <v>46310</v>
      </c>
      <c r="F7" t="inlineStr">
        <is>
          <t>JÖNKÖPINGS LÄN</t>
        </is>
      </c>
      <c r="G7" t="inlineStr">
        <is>
          <t>JÖNKÖPING</t>
        </is>
      </c>
      <c r="I7" t="n">
        <v>4.6</v>
      </c>
      <c r="J7" t="n">
        <v>7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9</v>
      </c>
      <c r="T7" t="n">
        <v>10</v>
      </c>
      <c r="U7" t="n">
        <v>2</v>
      </c>
      <c r="V7" s="2" t="inlineStr">
        <is>
          <t>Jordtistel
Nordfladdermus
Fällmossa
Tvåblad
Dvärgpipistrell
Större brunfladdermus
Trollpipistrell
Vattenfladdermus
Ängsnycklar</t>
        </is>
      </c>
      <c r="W7">
        <f>HYPERLINK("https://klasma.github.io/Logging_0680/artfynd/S 2395-2023 artfynd.xlsx", "S 2395-2023")</f>
        <v/>
      </c>
      <c r="X7">
        <f>HYPERLINK("https://klasma.github.io/Logging_0680/kartor/S 2395-2023 karta.png", "S 2395-2023")</f>
        <v/>
      </c>
      <c r="Y7">
        <f>HYPERLINK("https://klasma.github.io/Logging_0680/kartor_geotiff/S 2395-2023 georefererad karta.tif", "S 2395-2023")</f>
        <v/>
      </c>
      <c r="AA7">
        <f>HYPERLINK("https://klasma.github.io/Logging_0680/klagomål/S 2395-2023 FSC-klagomål.docx", "S 2395-2023")</f>
        <v/>
      </c>
      <c r="AB7">
        <f>HYPERLINK("https://klasma.github.io/Logging_0680/klagomålsmail/S 2395-2023 FSC-klagomål mail.docx", "S 2395-2023")</f>
        <v/>
      </c>
      <c r="AC7">
        <f>HYPERLINK("https://klasma.github.io/Logging_0680/tillsyn/S 2395-2023 tillsynsbegäran.docx", "S 2395-2023")</f>
        <v/>
      </c>
      <c r="AD7">
        <f>HYPERLINK("https://klasma.github.io/Logging_0680/tillsynsmail/S 2395-2023 tillsynsbegäran mail.docx", "S 2395-2023")</f>
        <v/>
      </c>
    </row>
    <row r="8" ht="15" customHeight="1">
      <c r="A8" t="inlineStr">
        <is>
          <t>S 961-2022</t>
        </is>
      </c>
      <c r="B8" t="inlineStr">
        <is>
          <t>samrådsanmälan</t>
        </is>
      </c>
      <c r="C8" t="inlineStr">
        <is>
          <t>Askåterföring</t>
        </is>
      </c>
      <c r="D8" s="1" t="n">
        <v>44607</v>
      </c>
      <c r="E8" s="1" t="n">
        <v>46310</v>
      </c>
      <c r="F8" t="inlineStr">
        <is>
          <t>JÖNKÖPINGS LÄN</t>
        </is>
      </c>
      <c r="G8" t="inlineStr">
        <is>
          <t>JÖNKÖPING</t>
        </is>
      </c>
      <c r="H8" t="inlineStr">
        <is>
          <t>Sveaskog</t>
        </is>
      </c>
      <c r="I8" t="n">
        <v>636.1</v>
      </c>
      <c r="J8" t="n">
        <v>8</v>
      </c>
      <c r="K8" t="n">
        <v>1</v>
      </c>
      <c r="L8" t="n">
        <v>3</v>
      </c>
      <c r="M8" t="n">
        <v>0</v>
      </c>
      <c r="N8" t="n">
        <v>1</v>
      </c>
      <c r="O8" t="n">
        <v>0</v>
      </c>
      <c r="P8" t="n">
        <v>0</v>
      </c>
      <c r="Q8" t="n">
        <v>4</v>
      </c>
      <c r="R8" t="n">
        <v>1</v>
      </c>
      <c r="S8" t="n">
        <v>9</v>
      </c>
      <c r="T8" t="n">
        <v>9</v>
      </c>
      <c r="U8" t="n">
        <v>7</v>
      </c>
      <c r="V8" s="2" t="inlineStr">
        <is>
          <t>Pärluggla
Entita
Klofibbla
Sparvuggla
Korallrot
Tjäder
Grönsiska
Kungsfågel
Svartvit flugsnappare</t>
        </is>
      </c>
      <c r="W8">
        <f>HYPERLINK("https://klasma.github.io/Logging_0680/artfynd/S 961-2022 artfynd.xlsx", "S 961-2022")</f>
        <v/>
      </c>
      <c r="X8">
        <f>HYPERLINK("https://klasma.github.io/Logging_0680/kartor/S 961-2022 karta.png", "S 961-2022")</f>
        <v/>
      </c>
      <c r="Y8">
        <f>HYPERLINK("https://klasma.github.io/Logging_0680/kartor_geotiff/S 961-2022 georefererad karta.tif", "S 961-2022")</f>
        <v/>
      </c>
      <c r="AA8">
        <f>HYPERLINK("https://klasma.github.io/Logging_0680/klagomål/S 961-2022 FSC-klagomål.docx", "S 961-2022")</f>
        <v/>
      </c>
      <c r="AB8">
        <f>HYPERLINK("https://klasma.github.io/Logging_0680/klagomålsmail/S 961-2022 FSC-klagomål mail.docx", "S 961-2022")</f>
        <v/>
      </c>
      <c r="AC8">
        <f>HYPERLINK("https://klasma.github.io/Logging_0680/tillsyn/S 961-2022 tillsynsbegäran.docx", "S 961-2022")</f>
        <v/>
      </c>
      <c r="AD8">
        <f>HYPERLINK("https://klasma.github.io/Logging_0680/tillsynsmail/S 961-2022 tillsynsbegäran mail.docx", "S 961-2022")</f>
        <v/>
      </c>
      <c r="AE8">
        <f>HYPERLINK("https://klasma.github.io/Logging_0680/fåglar/S 961-2022 prioriterade fågelarter.docx", "S 961-2022")</f>
        <v/>
      </c>
    </row>
    <row r="9" ht="15" customHeight="1">
      <c r="A9" t="inlineStr">
        <is>
          <t>S 2062-2026</t>
        </is>
      </c>
      <c r="B9" t="inlineStr">
        <is>
          <t>samrådsanmälan</t>
        </is>
      </c>
      <c r="C9" t="inlineStr">
        <is>
          <t>Annan skogsbruksåtgärd</t>
        </is>
      </c>
      <c r="D9" s="1" t="n">
        <v>46225</v>
      </c>
      <c r="E9" s="1" t="n">
        <v>46310</v>
      </c>
      <c r="F9" t="inlineStr">
        <is>
          <t>JÖNKÖPINGS LÄN</t>
        </is>
      </c>
      <c r="G9" t="inlineStr">
        <is>
          <t>JÖNKÖPING</t>
        </is>
      </c>
      <c r="I9" t="n">
        <v>21.4</v>
      </c>
      <c r="J9" t="n">
        <v>2</v>
      </c>
      <c r="K9" t="n">
        <v>1</v>
      </c>
      <c r="L9" t="n">
        <v>5</v>
      </c>
      <c r="M9" t="n">
        <v>1</v>
      </c>
      <c r="N9" t="n">
        <v>0</v>
      </c>
      <c r="O9" t="n">
        <v>0</v>
      </c>
      <c r="P9" t="n">
        <v>0</v>
      </c>
      <c r="Q9" t="n">
        <v>6</v>
      </c>
      <c r="R9" t="n">
        <v>1</v>
      </c>
      <c r="S9" t="n">
        <v>9</v>
      </c>
      <c r="T9" t="n">
        <v>20</v>
      </c>
      <c r="U9" t="n">
        <v>0</v>
      </c>
      <c r="V9" s="2" t="inlineStr">
        <is>
          <t>Garnlav
Borsttåg
Kattfotslav
Motaggsvamp
Skarp dropptaggsvamp
Tallticka
Blomkålssvamp
Mattlummer
Buskskvätta</t>
        </is>
      </c>
      <c r="W9">
        <f>HYPERLINK("https://klasma.github.io/Logging_0680/artfynd/S 2062-2026 artfynd.xlsx", "S 2062-2026")</f>
        <v/>
      </c>
      <c r="X9">
        <f>HYPERLINK("https://klasma.github.io/Logging_0680/kartor/S 2062-2026 karta.png", "S 2062-2026")</f>
        <v/>
      </c>
      <c r="Y9">
        <f>HYPERLINK("https://klasma.github.io/Logging_0680/kartor_geotiff/S 2062-2026 georefererad karta.tif", "S 2062-2026")</f>
        <v/>
      </c>
      <c r="AA9">
        <f>HYPERLINK("https://klasma.github.io/Logging_0680/klagomål/S 2062-2026 FSC-klagomål.docx", "S 2062-2026")</f>
        <v/>
      </c>
      <c r="AB9">
        <f>HYPERLINK("https://klasma.github.io/Logging_0680/klagomålsmail/S 2062-2026 FSC-klagomål mail.docx", "S 2062-2026")</f>
        <v/>
      </c>
      <c r="AC9">
        <f>HYPERLINK("https://klasma.github.io/Logging_0680/tillsyn/S 2062-2026 tillsynsbegäran.docx", "S 2062-2026")</f>
        <v/>
      </c>
      <c r="AD9">
        <f>HYPERLINK("https://klasma.github.io/Logging_0680/tillsynsmail/S 2062-2026 tillsynsbegäran mail.docx", "S 2062-2026")</f>
        <v/>
      </c>
    </row>
    <row r="10" ht="15" customHeight="1">
      <c r="A10" t="inlineStr">
        <is>
          <t>A 52402-2024</t>
        </is>
      </c>
      <c r="B10" t="inlineStr">
        <is>
          <t>avverkningsanmälan</t>
        </is>
      </c>
      <c r="C10" t="inlineStr">
        <is>
          <t>Avverkning för annat ändamål</t>
        </is>
      </c>
      <c r="D10" s="1" t="n">
        <v>45609</v>
      </c>
      <c r="E10" s="1" t="n">
        <v>46310</v>
      </c>
      <c r="F10" t="inlineStr">
        <is>
          <t>JÖNKÖPINGS LÄN</t>
        </is>
      </c>
      <c r="G10" t="inlineStr">
        <is>
          <t>JÖNKÖPING</t>
        </is>
      </c>
      <c r="I10" t="n">
        <v>38.2</v>
      </c>
      <c r="J10" t="n">
        <v>2</v>
      </c>
      <c r="K10" t="n">
        <v>3</v>
      </c>
      <c r="L10" t="n">
        <v>2</v>
      </c>
      <c r="M10" t="n">
        <v>1</v>
      </c>
      <c r="N10" t="n">
        <v>1</v>
      </c>
      <c r="O10" t="n">
        <v>0</v>
      </c>
      <c r="P10" t="n">
        <v>0</v>
      </c>
      <c r="Q10" t="n">
        <v>4</v>
      </c>
      <c r="R10" t="n">
        <v>2</v>
      </c>
      <c r="S10" t="n">
        <v>8</v>
      </c>
      <c r="T10" t="n">
        <v>14</v>
      </c>
      <c r="U10" t="n">
        <v>14</v>
      </c>
      <c r="V10" s="2" t="inlineStr">
        <is>
          <t>Hornuggla
Garnlav
Kattfotslav
Skuggblåslav
Björksplintborre
Bronshjon
Vedticka
Revlummer</t>
        </is>
      </c>
      <c r="W10">
        <f>HYPERLINK("https://klasma.github.io/Logging_0680/artfynd/A 52402-2024 artfynd.xlsx", "A 52402-2024")</f>
        <v/>
      </c>
      <c r="X10">
        <f>HYPERLINK("https://klasma.github.io/Logging_0680/kartor/A 52402-2024 karta.png", "A 52402-2024")</f>
        <v/>
      </c>
      <c r="Y10">
        <f>HYPERLINK("https://klasma.github.io/Logging_0680/kartor_geotiff/A 52402-2024 georefererad karta.tif", "A 52402-2024")</f>
        <v/>
      </c>
      <c r="AA10">
        <f>HYPERLINK("https://klasma.github.io/Logging_0680/klagomål/A 52402-2024 FSC-klagomål.docx", "A 52402-2024")</f>
        <v/>
      </c>
      <c r="AB10">
        <f>HYPERLINK("https://klasma.github.io/Logging_0680/klagomålsmail/A 52402-2024 FSC-klagomål mail.docx", "A 52402-2024")</f>
        <v/>
      </c>
      <c r="AC10">
        <f>HYPERLINK("https://klasma.github.io/Logging_0680/tillsyn/A 52402-2024 tillsynsbegäran.docx", "A 52402-2024")</f>
        <v/>
      </c>
      <c r="AD10">
        <f>HYPERLINK("https://klasma.github.io/Logging_0680/tillsynsmail/A 52402-2024 tillsynsbegäran mail.docx", "A 52402-2024")</f>
        <v/>
      </c>
      <c r="AE10">
        <f>HYPERLINK("https://klasma.github.io/Logging_0680/fåglar/A 52402-2024 prioriterade fågelarter.docx", "A 52402-2024")</f>
        <v/>
      </c>
    </row>
    <row r="11" ht="15" customHeight="1">
      <c r="A11" t="inlineStr">
        <is>
          <t>A 7521-2024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45348</v>
      </c>
      <c r="E11" s="1" t="n">
        <v>46310</v>
      </c>
      <c r="F11" t="inlineStr">
        <is>
          <t>JÖNKÖPINGS LÄN</t>
        </is>
      </c>
      <c r="G11" t="inlineStr">
        <is>
          <t>JÖNKÖPING</t>
        </is>
      </c>
      <c r="I11" t="n">
        <v>8.199999999999999</v>
      </c>
      <c r="J11" t="n">
        <v>2</v>
      </c>
      <c r="K11" t="n">
        <v>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</v>
      </c>
      <c r="T11" t="n">
        <v>13</v>
      </c>
      <c r="U11" t="n">
        <v>13</v>
      </c>
      <c r="V11" s="2" t="inlineStr">
        <is>
          <t>Blåmossa
Bronshjon
Grovticka
Stor revmossa
Vedticka
Västlig hakmossa
Spillkråka
Revlummer</t>
        </is>
      </c>
      <c r="W11">
        <f>HYPERLINK("https://klasma.github.io/Logging_0680/artfynd/A 7521-2024 artfynd.xlsx", "A 7521-2024")</f>
        <v/>
      </c>
      <c r="X11">
        <f>HYPERLINK("https://klasma.github.io/Logging_0680/kartor/A 7521-2024 karta.png", "A 7521-2024")</f>
        <v/>
      </c>
      <c r="Y11">
        <f>HYPERLINK("https://klasma.github.io/Logging_0680/kartor_geotiff/A 7521-2024 georefererad karta.tif", "A 7521-2024")</f>
        <v/>
      </c>
      <c r="AA11">
        <f>HYPERLINK("https://klasma.github.io/Logging_0680/klagomål/A 7521-2024 FSC-klagomål.docx", "A 7521-2024")</f>
        <v/>
      </c>
      <c r="AB11">
        <f>HYPERLINK("https://klasma.github.io/Logging_0680/klagomålsmail/A 7521-2024 FSC-klagomål mail.docx", "A 7521-2024")</f>
        <v/>
      </c>
      <c r="AC11">
        <f>HYPERLINK("https://klasma.github.io/Logging_0680/tillsyn/A 7521-2024 tillsynsbegäran.docx", "A 7521-2024")</f>
        <v/>
      </c>
      <c r="AD11">
        <f>HYPERLINK("https://klasma.github.io/Logging_0680/tillsynsmail/A 7521-2024 tillsynsbegäran mail.docx", "A 7521-2024")</f>
        <v/>
      </c>
      <c r="AE11">
        <f>HYPERLINK("https://klasma.github.io/Logging_0680/fåglar/A 7521-2024 prioriterade fågelarter.docx", "A 7521-2024")</f>
        <v/>
      </c>
    </row>
    <row r="12" ht="15" customHeight="1">
      <c r="A12" t="inlineStr">
        <is>
          <t>A 6327-2026</t>
        </is>
      </c>
      <c r="B12" t="inlineStr">
        <is>
          <t>avverkningsanmälan</t>
        </is>
      </c>
      <c r="C12" t="inlineStr">
        <is>
          <t>Avverkning för annat ändamål</t>
        </is>
      </c>
      <c r="D12" s="1" t="n">
        <v>46055</v>
      </c>
      <c r="E12" s="1" t="n">
        <v>46310</v>
      </c>
      <c r="F12" t="inlineStr">
        <is>
          <t>JÖNKÖPINGS LÄN</t>
        </is>
      </c>
      <c r="G12" t="inlineStr">
        <is>
          <t>JÖNKÖPING</t>
        </is>
      </c>
      <c r="I12" t="n">
        <v>10</v>
      </c>
      <c r="J12" t="n">
        <v>0</v>
      </c>
      <c r="K12" t="n">
        <v>7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8</v>
      </c>
      <c r="T12" t="n">
        <v>8</v>
      </c>
      <c r="U12" t="n">
        <v>0</v>
      </c>
      <c r="V12" s="2" t="inlineStr">
        <is>
          <t>Praktvaxing
Blodvaxing
Gulvaxing
Igelkottsröksvamp
Svart trolldruva
Vitvaxing agg.
Västlig hakmossa
Ängsfingersvamp</t>
        </is>
      </c>
      <c r="W12">
        <f>HYPERLINK("https://klasma.github.io/Logging_0680/artfynd/A 6327-2026 artfynd.xlsx", "A 6327-2026")</f>
        <v/>
      </c>
      <c r="X12">
        <f>HYPERLINK("https://klasma.github.io/Logging_0680/kartor/A 6327-2026 karta.png", "A 6327-2026")</f>
        <v/>
      </c>
      <c r="Y12">
        <f>HYPERLINK("https://klasma.github.io/Logging_0680/kartor_geotiff/A 6327-2026 georefererad karta.tif", "A 6327-2026")</f>
        <v/>
      </c>
      <c r="AA12">
        <f>HYPERLINK("https://klasma.github.io/Logging_0680/klagomål/A 6327-2026 FSC-klagomål.docx", "A 6327-2026")</f>
        <v/>
      </c>
      <c r="AB12">
        <f>HYPERLINK("https://klasma.github.io/Logging_0680/klagomålsmail/A 6327-2026 FSC-klagomål mail.docx", "A 6327-2026")</f>
        <v/>
      </c>
      <c r="AC12">
        <f>HYPERLINK("https://klasma.github.io/Logging_0680/tillsyn/A 6327-2026 tillsynsbegäran.docx", "A 6327-2026")</f>
        <v/>
      </c>
      <c r="AD12">
        <f>HYPERLINK("https://klasma.github.io/Logging_0680/tillsynsmail/A 6327-2026 tillsynsbegäran mail.docx", "A 6327-2026")</f>
        <v/>
      </c>
    </row>
    <row r="13" ht="15" customHeight="1">
      <c r="A13" t="inlineStr">
        <is>
          <t>S 1405-2024</t>
        </is>
      </c>
      <c r="B13" t="inlineStr">
        <is>
          <t>samrådsanmälan</t>
        </is>
      </c>
      <c r="C13" t="inlineStr">
        <is>
          <t>Askåterföring</t>
        </is>
      </c>
      <c r="D13" s="1" t="n">
        <v>45412</v>
      </c>
      <c r="E13" s="1" t="n">
        <v>46310</v>
      </c>
      <c r="F13" t="inlineStr">
        <is>
          <t>JÖNKÖPINGS LÄN</t>
        </is>
      </c>
      <c r="G13" t="inlineStr">
        <is>
          <t>JÖNKÖPING</t>
        </is>
      </c>
      <c r="I13" t="n">
        <v>108.5</v>
      </c>
      <c r="J13" t="n">
        <v>3</v>
      </c>
      <c r="K13" t="n">
        <v>0</v>
      </c>
      <c r="L13" t="n">
        <v>5</v>
      </c>
      <c r="M13" t="n">
        <v>2</v>
      </c>
      <c r="N13" t="n">
        <v>0</v>
      </c>
      <c r="O13" t="n">
        <v>0</v>
      </c>
      <c r="P13" t="n">
        <v>0</v>
      </c>
      <c r="Q13" t="n">
        <v>7</v>
      </c>
      <c r="R13" t="n">
        <v>2</v>
      </c>
      <c r="S13" t="n">
        <v>8</v>
      </c>
      <c r="T13" t="n">
        <v>17</v>
      </c>
      <c r="U13" t="n">
        <v>9</v>
      </c>
      <c r="V13" s="2" t="inlineStr">
        <is>
          <t>Lakritsmusseron
Sandödla
Dropptaggsvamp
Gulsparv
Jungfrulin
Månlåsbräken
Svinrot
Grönsiska</t>
        </is>
      </c>
      <c r="W13">
        <f>HYPERLINK("https://klasma.github.io/Logging_0680/artfynd/S 1405-2024 artfynd.xlsx", "S 1405-2024")</f>
        <v/>
      </c>
      <c r="X13">
        <f>HYPERLINK("https://klasma.github.io/Logging_0680/kartor/S 1405-2024 karta.png", "S 1405-2024")</f>
        <v/>
      </c>
      <c r="Y13">
        <f>HYPERLINK("https://klasma.github.io/Logging_0680/kartor_geotiff/S 1405-2024 georefererad karta.tif", "S 1405-2024")</f>
        <v/>
      </c>
      <c r="AA13">
        <f>HYPERLINK("https://klasma.github.io/Logging_0680/klagomål/S 1405-2024 FSC-klagomål.docx", "S 1405-2024")</f>
        <v/>
      </c>
      <c r="AB13">
        <f>HYPERLINK("https://klasma.github.io/Logging_0680/klagomålsmail/S 1405-2024 FSC-klagomål mail.docx", "S 1405-2024")</f>
        <v/>
      </c>
      <c r="AC13">
        <f>HYPERLINK("https://klasma.github.io/Logging_0680/tillsyn/S 1405-2024 tillsynsbegäran.docx", "S 1405-2024")</f>
        <v/>
      </c>
      <c r="AD13">
        <f>HYPERLINK("https://klasma.github.io/Logging_0680/tillsynsmail/S 1405-2024 tillsynsbegäran mail.docx", "S 1405-2024")</f>
        <v/>
      </c>
      <c r="AE13">
        <f>HYPERLINK("https://klasma.github.io/Logging_0680/fåglar/S 1405-2024 prioriterade fågelarter.docx", "S 1405-2024")</f>
        <v/>
      </c>
    </row>
    <row r="14" ht="15" customHeight="1">
      <c r="A14" t="inlineStr">
        <is>
          <t>S 4791-2022</t>
        </is>
      </c>
      <c r="B14" t="inlineStr">
        <is>
          <t>samrådsanmälan</t>
        </is>
      </c>
      <c r="C14" t="inlineStr">
        <is>
          <t>Askåterföring</t>
        </is>
      </c>
      <c r="D14" s="1" t="n">
        <v>44802</v>
      </c>
      <c r="E14" s="1" t="n">
        <v>46310</v>
      </c>
      <c r="F14" t="inlineStr">
        <is>
          <t>JÖNKÖPINGS LÄN</t>
        </is>
      </c>
      <c r="G14" t="inlineStr">
        <is>
          <t>JÖNKÖPING</t>
        </is>
      </c>
      <c r="I14" t="n">
        <v>137.5</v>
      </c>
      <c r="J14" t="n">
        <v>3</v>
      </c>
      <c r="K14" t="n">
        <v>2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1</v>
      </c>
      <c r="S14" t="n">
        <v>8</v>
      </c>
      <c r="T14" t="n">
        <v>9</v>
      </c>
      <c r="U14" t="n">
        <v>5</v>
      </c>
      <c r="V14" s="2" t="inlineStr">
        <is>
          <t>Ask
Svinrot
Springkorn
Vätteros
Hultbräken
Gröngöling
Hasselmus
Grönvit nattviol</t>
        </is>
      </c>
      <c r="W14">
        <f>HYPERLINK("https://klasma.github.io/Logging_0680/artfynd/S 4791-2022 artfynd.xlsx", "S 4791-2022")</f>
        <v/>
      </c>
      <c r="X14">
        <f>HYPERLINK("https://klasma.github.io/Logging_0680/kartor/S 4791-2022 karta.png", "S 4791-2022")</f>
        <v/>
      </c>
      <c r="Y14">
        <f>HYPERLINK("https://klasma.github.io/Logging_0680/kartor_geotiff/S 4791-2022 georefererad karta.tif", "S 4791-2022")</f>
        <v/>
      </c>
      <c r="AA14">
        <f>HYPERLINK("https://klasma.github.io/Logging_0680/klagomål/S 4791-2022 FSC-klagomål.docx", "S 4791-2022")</f>
        <v/>
      </c>
      <c r="AB14">
        <f>HYPERLINK("https://klasma.github.io/Logging_0680/klagomålsmail/S 4791-2022 FSC-klagomål mail.docx", "S 4791-2022")</f>
        <v/>
      </c>
      <c r="AC14">
        <f>HYPERLINK("https://klasma.github.io/Logging_0680/tillsyn/S 4791-2022 tillsynsbegäran.docx", "S 4791-2022")</f>
        <v/>
      </c>
      <c r="AD14">
        <f>HYPERLINK("https://klasma.github.io/Logging_0680/tillsynsmail/S 4791-2022 tillsynsbegäran mail.docx", "S 4791-2022")</f>
        <v/>
      </c>
    </row>
    <row r="15" ht="15" customHeight="1">
      <c r="A15" t="inlineStr">
        <is>
          <t>A 6205-2025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45698</v>
      </c>
      <c r="E15" s="1" t="n">
        <v>46310</v>
      </c>
      <c r="F15" t="inlineStr">
        <is>
          <t>JÖNKÖPINGS LÄN</t>
        </is>
      </c>
      <c r="G15" t="inlineStr">
        <is>
          <t>JÖNKÖPING</t>
        </is>
      </c>
      <c r="I15" t="n">
        <v>5.2</v>
      </c>
      <c r="J15" t="n">
        <v>3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7</v>
      </c>
      <c r="T15" t="n">
        <v>7</v>
      </c>
      <c r="U15" t="n">
        <v>5</v>
      </c>
      <c r="V15" s="2" t="inlineStr">
        <is>
          <t>Backstarr
Vårstarr
Hasselsopp
Kruskantarell
Blåsippa
Mattlummer
Gullviva</t>
        </is>
      </c>
      <c r="W15">
        <f>HYPERLINK("https://klasma.github.io/Logging_0680/artfynd/A 6205-2025 artfynd.xlsx", "A 6205-2025")</f>
        <v/>
      </c>
      <c r="X15">
        <f>HYPERLINK("https://klasma.github.io/Logging_0680/kartor/A 6205-2025 karta.png", "A 6205-2025")</f>
        <v/>
      </c>
      <c r="Y15">
        <f>HYPERLINK("https://klasma.github.io/Logging_0680/kartor_geotiff/A 6205-2025 georefererad karta.tif", "A 6205-2025")</f>
        <v/>
      </c>
      <c r="AA15">
        <f>HYPERLINK("https://klasma.github.io/Logging_0680/klagomål/A 6205-2025 FSC-klagomål.docx", "A 6205-2025")</f>
        <v/>
      </c>
      <c r="AB15">
        <f>HYPERLINK("https://klasma.github.io/Logging_0680/klagomålsmail/A 6205-2025 FSC-klagomål mail.docx", "A 6205-2025")</f>
        <v/>
      </c>
      <c r="AC15">
        <f>HYPERLINK("https://klasma.github.io/Logging_0680/tillsyn/A 6205-2025 tillsynsbegäran.docx", "A 6205-2025")</f>
        <v/>
      </c>
      <c r="AD15">
        <f>HYPERLINK("https://klasma.github.io/Logging_0680/tillsynsmail/A 6205-2025 tillsynsbegäran mail.docx", "A 6205-2025")</f>
        <v/>
      </c>
    </row>
    <row r="16" ht="15" customHeight="1">
      <c r="A16" t="inlineStr">
        <is>
          <t>A 1244-2024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45302</v>
      </c>
      <c r="E16" s="1" t="n">
        <v>46310</v>
      </c>
      <c r="F16" t="inlineStr">
        <is>
          <t>JÖNKÖPINGS LÄN</t>
        </is>
      </c>
      <c r="G16" t="inlineStr">
        <is>
          <t>JÖNKÖPING</t>
        </is>
      </c>
      <c r="I16" t="n">
        <v>1.4</v>
      </c>
      <c r="J16" t="n">
        <v>1</v>
      </c>
      <c r="K16" t="n">
        <v>2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7</v>
      </c>
      <c r="T16" t="n">
        <v>7</v>
      </c>
      <c r="U16" t="n">
        <v>1</v>
      </c>
      <c r="V16" s="2" t="inlineStr">
        <is>
          <t>Stickelfrö
Sårläka
Vippärt
Vårärt
Kransrams
Skogsbräsma
Brudsporre</t>
        </is>
      </c>
      <c r="W16">
        <f>HYPERLINK("https://klasma.github.io/Logging_0680/artfynd/A 1244-2024 artfynd.xlsx", "A 1244-2024")</f>
        <v/>
      </c>
      <c r="X16">
        <f>HYPERLINK("https://klasma.github.io/Logging_0680/kartor/A 1244-2024 karta.png", "A 1244-2024")</f>
        <v/>
      </c>
      <c r="Y16">
        <f>HYPERLINK("https://klasma.github.io/Logging_0680/kartor_geotiff/A 1244-2024 georefererad karta.tif", "A 1244-2024")</f>
        <v/>
      </c>
      <c r="AA16">
        <f>HYPERLINK("https://klasma.github.io/Logging_0680/klagomål/A 1244-2024 FSC-klagomål.docx", "A 1244-2024")</f>
        <v/>
      </c>
      <c r="AB16">
        <f>HYPERLINK("https://klasma.github.io/Logging_0680/klagomålsmail/A 1244-2024 FSC-klagomål mail.docx", "A 1244-2024")</f>
        <v/>
      </c>
      <c r="AC16">
        <f>HYPERLINK("https://klasma.github.io/Logging_0680/tillsyn/A 1244-2024 tillsynsbegäran.docx", "A 1244-2024")</f>
        <v/>
      </c>
      <c r="AD16">
        <f>HYPERLINK("https://klasma.github.io/Logging_0680/tillsynsmail/A 1244-2024 tillsynsbegäran mail.docx", "A 1244-2024")</f>
        <v/>
      </c>
    </row>
    <row r="17" ht="15" customHeight="1">
      <c r="A17" t="inlineStr">
        <is>
          <t>A 39511-2026</t>
        </is>
      </c>
      <c r="B17" t="inlineStr">
        <is>
          <t>avverkningsanmälan</t>
        </is>
      </c>
      <c r="C17" t="inlineStr">
        <is>
          <t>Avverkning för annat ändamål</t>
        </is>
      </c>
      <c r="D17" s="1" t="n">
        <v>46288</v>
      </c>
      <c r="E17" s="1" t="n">
        <v>46310</v>
      </c>
      <c r="F17" t="inlineStr">
        <is>
          <t>JÖNKÖPINGS LÄN</t>
        </is>
      </c>
      <c r="G17" t="inlineStr">
        <is>
          <t>JÖNKÖPING</t>
        </is>
      </c>
      <c r="I17" t="n">
        <v>3</v>
      </c>
      <c r="J17" t="n">
        <v>1</v>
      </c>
      <c r="K17" t="n">
        <v>2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7</v>
      </c>
      <c r="T17" t="n">
        <v>10</v>
      </c>
      <c r="U17" t="n">
        <v>0</v>
      </c>
      <c r="V17" s="2" t="inlineStr">
        <is>
          <t>Stortimjan
Jungfrulin
Solvända
Svinrot
Sotlav
Svart trolldruva
Blåsippa</t>
        </is>
      </c>
      <c r="W17">
        <f>HYPERLINK("https://klasma.github.io/Logging_0680/artfynd/A 39511-2026 artfynd.xlsx", "A 39511-2026")</f>
        <v/>
      </c>
      <c r="X17">
        <f>HYPERLINK("https://klasma.github.io/Logging_0680/kartor/A 39511-2026 karta.png", "A 39511-2026")</f>
        <v/>
      </c>
      <c r="Y17">
        <f>HYPERLINK("https://klasma.github.io/Logging_0680/kartor_geotiff/A 39511-2026 georefererad karta.tif", "A 39511-2026")</f>
        <v/>
      </c>
      <c r="AA17">
        <f>HYPERLINK("https://klasma.github.io/Logging_0680/klagomål/A 39511-2026 FSC-klagomål.docx", "A 39511-2026")</f>
        <v/>
      </c>
      <c r="AB17">
        <f>HYPERLINK("https://klasma.github.io/Logging_0680/klagomålsmail/A 39511-2026 FSC-klagomål mail.docx", "A 39511-2026")</f>
        <v/>
      </c>
      <c r="AC17">
        <f>HYPERLINK("https://klasma.github.io/Logging_0680/tillsyn/A 39511-2026 tillsynsbegäran.docx", "A 39511-2026")</f>
        <v/>
      </c>
      <c r="AD17">
        <f>HYPERLINK("https://klasma.github.io/Logging_0680/tillsynsmail/A 39511-2026 tillsynsbegäran mail.docx", "A 39511-2026")</f>
        <v/>
      </c>
    </row>
    <row r="18" ht="15" customHeight="1">
      <c r="A18" t="inlineStr">
        <is>
          <t>S 952-2022</t>
        </is>
      </c>
      <c r="B18" t="inlineStr">
        <is>
          <t>samrådsanmälan</t>
        </is>
      </c>
      <c r="C18" t="inlineStr">
        <is>
          <t>Askåterföring</t>
        </is>
      </c>
      <c r="D18" s="1" t="n">
        <v>44607</v>
      </c>
      <c r="E18" s="1" t="n">
        <v>46310</v>
      </c>
      <c r="F18" t="inlineStr">
        <is>
          <t>JÖNKÖPINGS LÄN</t>
        </is>
      </c>
      <c r="G18" t="inlineStr">
        <is>
          <t>JÖNKÖPING</t>
        </is>
      </c>
      <c r="H18" t="inlineStr">
        <is>
          <t>Sveaskog</t>
        </is>
      </c>
      <c r="I18" t="n">
        <v>410.6</v>
      </c>
      <c r="J18" t="n">
        <v>4</v>
      </c>
      <c r="K18" t="n">
        <v>2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7</v>
      </c>
      <c r="T18" t="n">
        <v>7</v>
      </c>
      <c r="U18" t="n">
        <v>4</v>
      </c>
      <c r="V18" s="2" t="inlineStr">
        <is>
          <t>Borsttåg
Skogshare
Talltita
Grov fjädermossa
Spindelblomster
Järpe
Hasselmus</t>
        </is>
      </c>
      <c r="W18">
        <f>HYPERLINK("https://klasma.github.io/Logging_0680/artfynd/S 952-2022 artfynd.xlsx", "S 952-2022")</f>
        <v/>
      </c>
      <c r="X18">
        <f>HYPERLINK("https://klasma.github.io/Logging_0680/kartor/S 952-2022 karta.png", "S 952-2022")</f>
        <v/>
      </c>
      <c r="Y18">
        <f>HYPERLINK("https://klasma.github.io/Logging_0680/kartor_geotiff/S 952-2022 georefererad karta.tif", "S 952-2022")</f>
        <v/>
      </c>
      <c r="AA18">
        <f>HYPERLINK("https://klasma.github.io/Logging_0680/klagomål/S 952-2022 FSC-klagomål.docx", "S 952-2022")</f>
        <v/>
      </c>
      <c r="AB18">
        <f>HYPERLINK("https://klasma.github.io/Logging_0680/klagomålsmail/S 952-2022 FSC-klagomål mail.docx", "S 952-2022")</f>
        <v/>
      </c>
      <c r="AC18">
        <f>HYPERLINK("https://klasma.github.io/Logging_0680/tillsyn/S 952-2022 tillsynsbegäran.docx", "S 952-2022")</f>
        <v/>
      </c>
      <c r="AD18">
        <f>HYPERLINK("https://klasma.github.io/Logging_0680/tillsynsmail/S 952-2022 tillsynsbegäran mail.docx", "S 952-2022")</f>
        <v/>
      </c>
      <c r="AE18">
        <f>HYPERLINK("https://klasma.github.io/Logging_0680/fåglar/S 952-2022 prioriterade fågelarter.docx", "S 952-2022")</f>
        <v/>
      </c>
    </row>
    <row r="19" ht="15" customHeight="1">
      <c r="A19" t="inlineStr">
        <is>
          <t>S 2977-2024</t>
        </is>
      </c>
      <c r="B19" t="inlineStr">
        <is>
          <t>samrådsanmälan</t>
        </is>
      </c>
      <c r="C19" t="inlineStr">
        <is>
          <t>Annan skogsbruksåtgärd</t>
        </is>
      </c>
      <c r="D19" s="1" t="n">
        <v>45510</v>
      </c>
      <c r="E19" s="1" t="n">
        <v>46310</v>
      </c>
      <c r="F19" t="inlineStr">
        <is>
          <t>JÖNKÖPINGS LÄN</t>
        </is>
      </c>
      <c r="G19" t="inlineStr">
        <is>
          <t>JÖNKÖPING</t>
        </is>
      </c>
      <c r="H19" t="inlineStr">
        <is>
          <t>Kommuner</t>
        </is>
      </c>
      <c r="I19" t="n">
        <v>0.8</v>
      </c>
      <c r="J19" t="n">
        <v>7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7</v>
      </c>
      <c r="T19" t="n">
        <v>7</v>
      </c>
      <c r="U19" t="n">
        <v>1</v>
      </c>
      <c r="V19" s="2" t="inlineStr">
        <is>
          <t>Sädesärla
Talltita
Spillkråka
Gröngöling
Kråka
Kungsfågel
Svartvit flugsnappare</t>
        </is>
      </c>
      <c r="W19">
        <f>HYPERLINK("https://klasma.github.io/Logging_0680/artfynd/S 2977-2024 artfynd.xlsx", "S 2977-2024")</f>
        <v/>
      </c>
      <c r="X19">
        <f>HYPERLINK("https://klasma.github.io/Logging_0680/kartor/S 2977-2024 karta.png", "S 2977-2024")</f>
        <v/>
      </c>
      <c r="Y19">
        <f>HYPERLINK("https://klasma.github.io/Logging_0680/kartor_geotiff/S 2977-2024 georefererad karta.tif", "S 2977-2024")</f>
        <v/>
      </c>
      <c r="AA19">
        <f>HYPERLINK("https://klasma.github.io/Logging_0680/klagomål/S 2977-2024 FSC-klagomål.docx", "S 2977-2024")</f>
        <v/>
      </c>
      <c r="AB19">
        <f>HYPERLINK("https://klasma.github.io/Logging_0680/klagomålsmail/S 2977-2024 FSC-klagomål mail.docx", "S 2977-2024")</f>
        <v/>
      </c>
      <c r="AC19">
        <f>HYPERLINK("https://klasma.github.io/Logging_0680/tillsyn/S 2977-2024 tillsynsbegäran.docx", "S 2977-2024")</f>
        <v/>
      </c>
      <c r="AD19">
        <f>HYPERLINK("https://klasma.github.io/Logging_0680/tillsynsmail/S 2977-2024 tillsynsbegäran mail.docx", "S 2977-2024")</f>
        <v/>
      </c>
      <c r="AE19">
        <f>HYPERLINK("https://klasma.github.io/Logging_0680/fåglar/S 2977-2024 prioriterade fågelarter.docx", "S 2977-2024")</f>
        <v/>
      </c>
    </row>
    <row r="20" ht="15" customHeight="1">
      <c r="A20" t="inlineStr">
        <is>
          <t>S 561-2023</t>
        </is>
      </c>
      <c r="B20" t="inlineStr">
        <is>
          <t>samrådsanmälan</t>
        </is>
      </c>
      <c r="C20" t="inlineStr">
        <is>
          <t>Askåterföring</t>
        </is>
      </c>
      <c r="D20" s="1" t="n">
        <v>44970</v>
      </c>
      <c r="E20" s="1" t="n">
        <v>46310</v>
      </c>
      <c r="F20" t="inlineStr">
        <is>
          <t>JÖNKÖPINGS LÄN</t>
        </is>
      </c>
      <c r="G20" t="inlineStr">
        <is>
          <t>JÖNKÖPING</t>
        </is>
      </c>
      <c r="H20" t="inlineStr">
        <is>
          <t>Sveaskog</t>
        </is>
      </c>
      <c r="I20" t="n">
        <v>383.4</v>
      </c>
      <c r="J20" t="n">
        <v>6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3</v>
      </c>
      <c r="R20" t="n">
        <v>2</v>
      </c>
      <c r="S20" t="n">
        <v>7</v>
      </c>
      <c r="T20" t="n">
        <v>8</v>
      </c>
      <c r="U20" t="n">
        <v>5</v>
      </c>
      <c r="V20" s="2" t="inlineStr">
        <is>
          <t>Pärluggla
Garnlav
Sparvuggla
Mattlummer
Vanlig groda
Gaffelglim
Revlummer</t>
        </is>
      </c>
      <c r="W20">
        <f>HYPERLINK("https://klasma.github.io/Logging_0680/artfynd/S 561-2023 artfynd.xlsx", "S 561-2023")</f>
        <v/>
      </c>
      <c r="X20">
        <f>HYPERLINK("https://klasma.github.io/Logging_0680/kartor/S 561-2023 karta.png", "S 561-2023")</f>
        <v/>
      </c>
      <c r="Y20">
        <f>HYPERLINK("https://klasma.github.io/Logging_0680/kartor_geotiff/S 561-2023 georefererad karta.tif", "S 561-2023")</f>
        <v/>
      </c>
      <c r="AA20">
        <f>HYPERLINK("https://klasma.github.io/Logging_0680/klagomål/S 561-2023 FSC-klagomål.docx", "S 561-2023")</f>
        <v/>
      </c>
      <c r="AB20">
        <f>HYPERLINK("https://klasma.github.io/Logging_0680/klagomålsmail/S 561-2023 FSC-klagomål mail.docx", "S 561-2023")</f>
        <v/>
      </c>
      <c r="AC20">
        <f>HYPERLINK("https://klasma.github.io/Logging_0680/tillsyn/S 561-2023 tillsynsbegäran.docx", "S 561-2023")</f>
        <v/>
      </c>
      <c r="AD20">
        <f>HYPERLINK("https://klasma.github.io/Logging_0680/tillsynsmail/S 561-2023 tillsynsbegäran mail.docx", "S 561-2023")</f>
        <v/>
      </c>
      <c r="AE20">
        <f>HYPERLINK("https://klasma.github.io/Logging_0680/fåglar/S 561-2023 prioriterade fågelarter.docx", "S 561-2023")</f>
        <v/>
      </c>
    </row>
    <row r="21" ht="15" customHeight="1">
      <c r="A21" t="inlineStr">
        <is>
          <t>A 47412-2025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45930</v>
      </c>
      <c r="E21" s="1" t="n">
        <v>46310</v>
      </c>
      <c r="F21" t="inlineStr">
        <is>
          <t>JÖNKÖPINGS LÄN</t>
        </is>
      </c>
      <c r="G21" t="inlineStr">
        <is>
          <t>JÖNKÖPING</t>
        </is>
      </c>
      <c r="I21" t="n">
        <v>2.6</v>
      </c>
      <c r="J21" t="n">
        <v>1</v>
      </c>
      <c r="K21" t="n">
        <v>4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6</v>
      </c>
      <c r="T21" t="n">
        <v>6</v>
      </c>
      <c r="U21" t="n">
        <v>4</v>
      </c>
      <c r="V21" s="2" t="inlineStr">
        <is>
          <t>Knärot
Vedsäckmossa
Bronshjon
Grönpyrola
Thomsons trägnagare
Västlig hakmossa</t>
        </is>
      </c>
      <c r="W21">
        <f>HYPERLINK("https://klasma.github.io/Logging_0680/artfynd/A 47412-2025 artfynd.xlsx", "A 47412-2025")</f>
        <v/>
      </c>
      <c r="X21">
        <f>HYPERLINK("https://klasma.github.io/Logging_0680/kartor/A 47412-2025 karta.png", "A 47412-2025")</f>
        <v/>
      </c>
      <c r="Y21">
        <f>HYPERLINK("https://klasma.github.io/Logging_0680/kartor_geotiff/A 47412-2025 georefererad karta.tif", "A 47412-2025")</f>
        <v/>
      </c>
      <c r="Z21">
        <f>HYPERLINK("https://klasma.github.io/Logging_0680/knärot/A 47412-2025 karta knärot.png", "A 47412-2025")</f>
        <v/>
      </c>
      <c r="AA21">
        <f>HYPERLINK("https://klasma.github.io/Logging_0680/klagomål/A 47412-2025 FSC-klagomål.docx", "A 47412-2025")</f>
        <v/>
      </c>
      <c r="AB21">
        <f>HYPERLINK("https://klasma.github.io/Logging_0680/klagomålsmail/A 47412-2025 FSC-klagomål mail.docx", "A 47412-2025")</f>
        <v/>
      </c>
      <c r="AC21">
        <f>HYPERLINK("https://klasma.github.io/Logging_0680/tillsyn/A 47412-2025 tillsynsbegäran.docx", "A 47412-2025")</f>
        <v/>
      </c>
      <c r="AD21">
        <f>HYPERLINK("https://klasma.github.io/Logging_0680/tillsynsmail/A 47412-2025 tillsynsbegäran mail.docx", "A 47412-2025")</f>
        <v/>
      </c>
    </row>
    <row r="22" ht="15" customHeight="1">
      <c r="A22" t="inlineStr">
        <is>
          <t>A 62414-2023</t>
        </is>
      </c>
      <c r="B22" t="inlineStr">
        <is>
          <t>avverkningsanmälan</t>
        </is>
      </c>
      <c r="C22" t="inlineStr">
        <is>
          <t>Avverkning för annat ändamål</t>
        </is>
      </c>
      <c r="D22" s="1" t="n">
        <v>45268</v>
      </c>
      <c r="E22" s="1" t="n">
        <v>46310</v>
      </c>
      <c r="F22" t="inlineStr">
        <is>
          <t>JÖNKÖPINGS LÄN</t>
        </is>
      </c>
      <c r="G22" t="inlineStr">
        <is>
          <t>JÖNKÖPING</t>
        </is>
      </c>
      <c r="I22" t="n">
        <v>1.1</v>
      </c>
      <c r="J22" t="n">
        <v>5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6</v>
      </c>
      <c r="U22" t="n">
        <v>1</v>
      </c>
      <c r="V22" s="2" t="inlineStr">
        <is>
          <t>Grönsångare
Talltita
Grovticka
Spillkråka
Kungsfågel
Svartvit flugsnappare</t>
        </is>
      </c>
      <c r="W22">
        <f>HYPERLINK("https://klasma.github.io/Logging_0680/artfynd/A 62414-2023 artfynd.xlsx", "A 62414-2023")</f>
        <v/>
      </c>
      <c r="X22">
        <f>HYPERLINK("https://klasma.github.io/Logging_0680/kartor/A 62414-2023 karta.png", "A 62414-2023")</f>
        <v/>
      </c>
      <c r="Y22">
        <f>HYPERLINK("https://klasma.github.io/Logging_0680/kartor_geotiff/A 62414-2023 georefererad karta.tif", "A 62414-2023")</f>
        <v/>
      </c>
      <c r="AA22">
        <f>HYPERLINK("https://klasma.github.io/Logging_0680/klagomål/A 62414-2023 FSC-klagomål.docx", "A 62414-2023")</f>
        <v/>
      </c>
      <c r="AB22">
        <f>HYPERLINK("https://klasma.github.io/Logging_0680/klagomålsmail/A 62414-2023 FSC-klagomål mail.docx", "A 62414-2023")</f>
        <v/>
      </c>
      <c r="AC22">
        <f>HYPERLINK("https://klasma.github.io/Logging_0680/tillsyn/A 62414-2023 tillsynsbegäran.docx", "A 62414-2023")</f>
        <v/>
      </c>
      <c r="AD22">
        <f>HYPERLINK("https://klasma.github.io/Logging_0680/tillsynsmail/A 62414-2023 tillsynsbegäran mail.docx", "A 62414-2023")</f>
        <v/>
      </c>
      <c r="AE22">
        <f>HYPERLINK("https://klasma.github.io/Logging_0680/fåglar/A 62414-2023 prioriterade fågelarter.docx", "A 62414-2023")</f>
        <v/>
      </c>
    </row>
    <row r="23" ht="15" customHeight="1">
      <c r="A23" t="inlineStr">
        <is>
          <t>S 453-2023</t>
        </is>
      </c>
      <c r="B23" t="inlineStr">
        <is>
          <t>samrådsanmälan</t>
        </is>
      </c>
      <c r="C23" t="inlineStr">
        <is>
          <t>Annan skogsbruksåtgärd</t>
        </is>
      </c>
      <c r="D23" s="1" t="n">
        <v>44963</v>
      </c>
      <c r="E23" s="1" t="n">
        <v>46310</v>
      </c>
      <c r="F23" t="inlineStr">
        <is>
          <t>JÖNKÖPINGS LÄN</t>
        </is>
      </c>
      <c r="G23" t="inlineStr">
        <is>
          <t>JÖNKÖPING</t>
        </is>
      </c>
      <c r="I23" t="n">
        <v>0.7</v>
      </c>
      <c r="J23" t="n">
        <v>0</v>
      </c>
      <c r="K23" t="n">
        <v>2</v>
      </c>
      <c r="L23" t="n">
        <v>1</v>
      </c>
      <c r="M23" t="n">
        <v>2</v>
      </c>
      <c r="N23" t="n">
        <v>1</v>
      </c>
      <c r="O23" t="n">
        <v>0</v>
      </c>
      <c r="P23" t="n">
        <v>0</v>
      </c>
      <c r="Q23" t="n">
        <v>4</v>
      </c>
      <c r="R23" t="n">
        <v>3</v>
      </c>
      <c r="S23" t="n">
        <v>6</v>
      </c>
      <c r="T23" t="n">
        <v>8</v>
      </c>
      <c r="U23" t="n">
        <v>5</v>
      </c>
      <c r="V23" s="2" t="inlineStr">
        <is>
          <t>Blylav
Blek kraterlav
Ädellav
Grynig filtlav
Barkkornlav
Korallblylav</t>
        </is>
      </c>
      <c r="W23">
        <f>HYPERLINK("https://klasma.github.io/Logging_0680/artfynd/S 453-2023 artfynd.xlsx", "S 453-2023")</f>
        <v/>
      </c>
      <c r="X23">
        <f>HYPERLINK("https://klasma.github.io/Logging_0680/kartor/S 453-2023 karta.png", "S 453-2023")</f>
        <v/>
      </c>
      <c r="Y23">
        <f>HYPERLINK("https://klasma.github.io/Logging_0680/kartor_geotiff/S 453-2023 georefererad karta.tif", "S 453-2023")</f>
        <v/>
      </c>
      <c r="AA23">
        <f>HYPERLINK("https://klasma.github.io/Logging_0680/klagomål/S 453-2023 FSC-klagomål.docx", "S 453-2023")</f>
        <v/>
      </c>
      <c r="AB23">
        <f>HYPERLINK("https://klasma.github.io/Logging_0680/klagomålsmail/S 453-2023 FSC-klagomål mail.docx", "S 453-2023")</f>
        <v/>
      </c>
      <c r="AC23">
        <f>HYPERLINK("https://klasma.github.io/Logging_0680/tillsyn/S 453-2023 tillsynsbegäran.docx", "S 453-2023")</f>
        <v/>
      </c>
      <c r="AD23">
        <f>HYPERLINK("https://klasma.github.io/Logging_0680/tillsynsmail/S 453-2023 tillsynsbegäran mail.docx", "S 453-2023")</f>
        <v/>
      </c>
    </row>
    <row r="24" ht="15" customHeight="1">
      <c r="A24" t="inlineStr">
        <is>
          <t>S 2418-2026</t>
        </is>
      </c>
      <c r="B24" t="inlineStr">
        <is>
          <t>samrådsanmälan</t>
        </is>
      </c>
      <c r="C24" t="inlineStr">
        <is>
          <t>Annan skogsbruksåtgärd</t>
        </is>
      </c>
      <c r="D24" s="1" t="n">
        <v>46280</v>
      </c>
      <c r="E24" s="1" t="n">
        <v>46310</v>
      </c>
      <c r="F24" t="inlineStr">
        <is>
          <t>JÖNKÖPINGS LÄN</t>
        </is>
      </c>
      <c r="G24" t="inlineStr">
        <is>
          <t>JÖNKÖPING</t>
        </is>
      </c>
      <c r="I24" t="n">
        <v>8.699999999999999</v>
      </c>
      <c r="J24" t="n">
        <v>0</v>
      </c>
      <c r="K24" t="n">
        <v>3</v>
      </c>
      <c r="L24" t="n">
        <v>1</v>
      </c>
      <c r="M24" t="n">
        <v>0</v>
      </c>
      <c r="N24" t="n">
        <v>2</v>
      </c>
      <c r="O24" t="n">
        <v>0</v>
      </c>
      <c r="P24" t="n">
        <v>0</v>
      </c>
      <c r="Q24" t="n">
        <v>3</v>
      </c>
      <c r="R24" t="n">
        <v>2</v>
      </c>
      <c r="S24" t="n">
        <v>6</v>
      </c>
      <c r="T24" t="n">
        <v>8</v>
      </c>
      <c r="U24" t="n">
        <v>0</v>
      </c>
      <c r="V24" s="2" t="inlineStr">
        <is>
          <t>Almlav
Ask
Hjälmbrosklav
Gulpudrad spiklav
Lönnlav
Rostfläck</t>
        </is>
      </c>
      <c r="W24">
        <f>HYPERLINK("https://klasma.github.io/Logging_0680/artfynd/S 2418-2026 artfynd.xlsx", "S 2418-2026")</f>
        <v/>
      </c>
      <c r="X24">
        <f>HYPERLINK("https://klasma.github.io/Logging_0680/kartor/S 2418-2026 karta.png", "S 2418-2026")</f>
        <v/>
      </c>
      <c r="Y24">
        <f>HYPERLINK("https://klasma.github.io/Logging_0680/kartor_geotiff/S 2418-2026 georefererad karta.tif", "S 2418-2026")</f>
        <v/>
      </c>
      <c r="AA24">
        <f>HYPERLINK("https://klasma.github.io/Logging_0680/klagomål/S 2418-2026 FSC-klagomål.docx", "S 2418-2026")</f>
        <v/>
      </c>
      <c r="AB24">
        <f>HYPERLINK("https://klasma.github.io/Logging_0680/klagomålsmail/S 2418-2026 FSC-klagomål mail.docx", "S 2418-2026")</f>
        <v/>
      </c>
      <c r="AC24">
        <f>HYPERLINK("https://klasma.github.io/Logging_0680/tillsyn/S 2418-2026 tillsynsbegäran.docx", "S 2418-2026")</f>
        <v/>
      </c>
      <c r="AD24">
        <f>HYPERLINK("https://klasma.github.io/Logging_0680/tillsynsmail/S 2418-2026 tillsynsbegäran mail.docx", "S 2418-2026")</f>
        <v/>
      </c>
    </row>
    <row r="25" ht="15" customHeight="1">
      <c r="A25" t="inlineStr">
        <is>
          <t>A 22555-2025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45788</v>
      </c>
      <c r="E25" s="1" t="n">
        <v>46310</v>
      </c>
      <c r="F25" t="inlineStr">
        <is>
          <t>JÖNKÖPINGS LÄN</t>
        </is>
      </c>
      <c r="G25" t="inlineStr">
        <is>
          <t>JÖNKÖPING</t>
        </is>
      </c>
      <c r="I25" t="n">
        <v>1.2</v>
      </c>
      <c r="J25" t="n">
        <v>2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5</v>
      </c>
      <c r="T25" t="n">
        <v>5</v>
      </c>
      <c r="U25" t="n">
        <v>5</v>
      </c>
      <c r="V25" s="2" t="inlineStr">
        <is>
          <t>Borsttåg
Jungfrulin
Åkerkulla
Fläcknycklar
Revlummer</t>
        </is>
      </c>
      <c r="W25">
        <f>HYPERLINK("https://klasma.github.io/Logging_0680/artfynd/A 22555-2025 artfynd.xlsx", "A 22555-2025")</f>
        <v/>
      </c>
      <c r="X25">
        <f>HYPERLINK("https://klasma.github.io/Logging_0680/kartor/A 22555-2025 karta.png", "A 22555-2025")</f>
        <v/>
      </c>
      <c r="Y25">
        <f>HYPERLINK("https://klasma.github.io/Logging_0680/kartor_geotiff/A 22555-2025 georefererad karta.tif", "A 22555-2025")</f>
        <v/>
      </c>
      <c r="AA25">
        <f>HYPERLINK("https://klasma.github.io/Logging_0680/klagomål/A 22555-2025 FSC-klagomål.docx", "A 22555-2025")</f>
        <v/>
      </c>
      <c r="AB25">
        <f>HYPERLINK("https://klasma.github.io/Logging_0680/klagomålsmail/A 22555-2025 FSC-klagomål mail.docx", "A 22555-2025")</f>
        <v/>
      </c>
      <c r="AC25">
        <f>HYPERLINK("https://klasma.github.io/Logging_0680/tillsyn/A 22555-2025 tillsynsbegäran.docx", "A 22555-2025")</f>
        <v/>
      </c>
      <c r="AD25">
        <f>HYPERLINK("https://klasma.github.io/Logging_0680/tillsynsmail/A 22555-2025 tillsynsbegäran mail.docx", "A 22555-2025")</f>
        <v/>
      </c>
    </row>
    <row r="26" ht="15" customHeight="1">
      <c r="A26" t="inlineStr">
        <is>
          <t>A 11258-2023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44992</v>
      </c>
      <c r="E26" s="1" t="n">
        <v>46310</v>
      </c>
      <c r="F26" t="inlineStr">
        <is>
          <t>JÖNKÖPINGS LÄN</t>
        </is>
      </c>
      <c r="G26" t="inlineStr">
        <is>
          <t>JÖNKÖPING</t>
        </is>
      </c>
      <c r="I26" t="n">
        <v>2.3</v>
      </c>
      <c r="J26" t="n">
        <v>4</v>
      </c>
      <c r="K26" t="n">
        <v>2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5</v>
      </c>
      <c r="T26" t="n">
        <v>7</v>
      </c>
      <c r="U26" t="n">
        <v>0</v>
      </c>
      <c r="V26" s="2" t="inlineStr">
        <is>
          <t>Knärot
Nötkråka
Grönpyrola
Spindelblomster
Grönvit nattviol</t>
        </is>
      </c>
      <c r="W26">
        <f>HYPERLINK("https://klasma.github.io/Logging_0680/artfynd/A 11258-2023 artfynd.xlsx", "A 11258-2023")</f>
        <v/>
      </c>
      <c r="X26">
        <f>HYPERLINK("https://klasma.github.io/Logging_0680/kartor/A 11258-2023 karta.png", "A 11258-2023")</f>
        <v/>
      </c>
      <c r="Y26">
        <f>HYPERLINK("https://klasma.github.io/Logging_0680/kartor_geotiff/A 11258-2023 georefererad karta.tif", "A 11258-2023")</f>
        <v/>
      </c>
      <c r="Z26">
        <f>HYPERLINK("https://klasma.github.io/Logging_0680/knärot/A 11258-2023 karta knärot.png", "A 11258-2023")</f>
        <v/>
      </c>
      <c r="AA26">
        <f>HYPERLINK("https://klasma.github.io/Logging_0680/klagomål/A 11258-2023 FSC-klagomål.docx", "A 11258-2023")</f>
        <v/>
      </c>
      <c r="AB26">
        <f>HYPERLINK("https://klasma.github.io/Logging_0680/klagomålsmail/A 11258-2023 FSC-klagomål mail.docx", "A 11258-2023")</f>
        <v/>
      </c>
      <c r="AC26">
        <f>HYPERLINK("https://klasma.github.io/Logging_0680/tillsyn/A 11258-2023 tillsynsbegäran.docx", "A 11258-2023")</f>
        <v/>
      </c>
      <c r="AD26">
        <f>HYPERLINK("https://klasma.github.io/Logging_0680/tillsynsmail/A 11258-2023 tillsynsbegäran mail.docx", "A 11258-2023")</f>
        <v/>
      </c>
      <c r="AE26">
        <f>HYPERLINK("https://klasma.github.io/Logging_0680/fåglar/A 11258-2023 prioriterade fågelarter.docx", "A 11258-2023")</f>
        <v/>
      </c>
    </row>
    <row r="27" ht="15" customHeight="1">
      <c r="A27" t="inlineStr">
        <is>
          <t>A 47402-2025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45930</v>
      </c>
      <c r="E27" s="1" t="n">
        <v>46310</v>
      </c>
      <c r="F27" t="inlineStr">
        <is>
          <t>JÖNKÖPINGS LÄN</t>
        </is>
      </c>
      <c r="G27" t="inlineStr">
        <is>
          <t>JÖNKÖPING</t>
        </is>
      </c>
      <c r="I27" t="n">
        <v>2.1</v>
      </c>
      <c r="J27" t="n">
        <v>0</v>
      </c>
      <c r="K27" t="n">
        <v>4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5</v>
      </c>
      <c r="T27" t="n">
        <v>6</v>
      </c>
      <c r="U27" t="n">
        <v>5</v>
      </c>
      <c r="V27" s="2" t="inlineStr">
        <is>
          <t>Vedsäckmossa
Bronshjon
Granbarkgnagare
Västlig hakmossa
Vågbandad barkbock</t>
        </is>
      </c>
      <c r="W27">
        <f>HYPERLINK("https://klasma.github.io/Logging_0680/artfynd/A 47402-2025 artfynd.xlsx", "A 47402-2025")</f>
        <v/>
      </c>
      <c r="X27">
        <f>HYPERLINK("https://klasma.github.io/Logging_0680/kartor/A 47402-2025 karta.png", "A 47402-2025")</f>
        <v/>
      </c>
      <c r="Y27">
        <f>HYPERLINK("https://klasma.github.io/Logging_0680/kartor_geotiff/A 47402-2025 georefererad karta.tif", "A 47402-2025")</f>
        <v/>
      </c>
      <c r="AA27">
        <f>HYPERLINK("https://klasma.github.io/Logging_0680/klagomål/A 47402-2025 FSC-klagomål.docx", "A 47402-2025")</f>
        <v/>
      </c>
      <c r="AB27">
        <f>HYPERLINK("https://klasma.github.io/Logging_0680/klagomålsmail/A 47402-2025 FSC-klagomål mail.docx", "A 47402-2025")</f>
        <v/>
      </c>
      <c r="AC27">
        <f>HYPERLINK("https://klasma.github.io/Logging_0680/tillsyn/A 47402-2025 tillsynsbegäran.docx", "A 47402-2025")</f>
        <v/>
      </c>
      <c r="AD27">
        <f>HYPERLINK("https://klasma.github.io/Logging_0680/tillsynsmail/A 47402-2025 tillsynsbegäran mail.docx", "A 47402-2025")</f>
        <v/>
      </c>
    </row>
    <row r="28" ht="15" customHeight="1">
      <c r="A28" t="inlineStr">
        <is>
          <t>A 64890-2021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44512</v>
      </c>
      <c r="E28" s="1" t="n">
        <v>46310</v>
      </c>
      <c r="F28" t="inlineStr">
        <is>
          <t>JÖNKÖPINGS LÄN</t>
        </is>
      </c>
      <c r="G28" t="inlineStr">
        <is>
          <t>JÖNKÖPING</t>
        </is>
      </c>
      <c r="H28" t="inlineStr">
        <is>
          <t>Sveaskog</t>
        </is>
      </c>
      <c r="I28" t="n">
        <v>2.9</v>
      </c>
      <c r="J28" t="n">
        <v>4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5</v>
      </c>
      <c r="T28" t="n">
        <v>5</v>
      </c>
      <c r="U28" t="n">
        <v>5</v>
      </c>
      <c r="V28" s="2" t="inlineStr">
        <is>
          <t>Backtimjan
Mattlummer
Dvärgpipistrell
Större brunfladdermus
Revlummer</t>
        </is>
      </c>
      <c r="W28">
        <f>HYPERLINK("https://klasma.github.io/Logging_0680/artfynd/A 64890-2021 artfynd.xlsx", "A 64890-2021")</f>
        <v/>
      </c>
      <c r="X28">
        <f>HYPERLINK("https://klasma.github.io/Logging_0680/kartor/A 64890-2021 karta.png", "A 64890-2021")</f>
        <v/>
      </c>
      <c r="Y28">
        <f>HYPERLINK("https://klasma.github.io/Logging_0680/kartor_geotiff/A 64890-2021 georefererad karta.tif", "A 64890-2021")</f>
        <v/>
      </c>
      <c r="AA28">
        <f>HYPERLINK("https://klasma.github.io/Logging_0680/klagomål/A 64890-2021 FSC-klagomål.docx", "A 64890-2021")</f>
        <v/>
      </c>
      <c r="AB28">
        <f>HYPERLINK("https://klasma.github.io/Logging_0680/klagomålsmail/A 64890-2021 FSC-klagomål mail.docx", "A 64890-2021")</f>
        <v/>
      </c>
      <c r="AC28">
        <f>HYPERLINK("https://klasma.github.io/Logging_0680/tillsyn/A 64890-2021 tillsynsbegäran.docx", "A 64890-2021")</f>
        <v/>
      </c>
      <c r="AD28">
        <f>HYPERLINK("https://klasma.github.io/Logging_0680/tillsynsmail/A 64890-2021 tillsynsbegäran mail.docx", "A 64890-2021")</f>
        <v/>
      </c>
    </row>
    <row r="29" ht="15" customHeight="1">
      <c r="A29" t="inlineStr">
        <is>
          <t>A 28820-2026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46198</v>
      </c>
      <c r="E29" s="1" t="n">
        <v>46310</v>
      </c>
      <c r="F29" t="inlineStr">
        <is>
          <t>JÖNKÖPINGS LÄN</t>
        </is>
      </c>
      <c r="G29" t="inlineStr">
        <is>
          <t>JÖNKÖPING</t>
        </is>
      </c>
      <c r="I29" t="n">
        <v>6.2</v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6</v>
      </c>
      <c r="U29" t="n">
        <v>0</v>
      </c>
      <c r="V29" s="2" t="inlineStr">
        <is>
          <t>Bronshjon
Spillkråka
Kungsfågel
Lopplummer (aggregat)
Revlummer</t>
        </is>
      </c>
      <c r="W29">
        <f>HYPERLINK("https://klasma.github.io/Logging_0680/artfynd/A 28820-2026 artfynd.xlsx", "A 28820-2026")</f>
        <v/>
      </c>
      <c r="X29">
        <f>HYPERLINK("https://klasma.github.io/Logging_0680/kartor/A 28820-2026 karta.png", "A 28820-2026")</f>
        <v/>
      </c>
      <c r="Y29">
        <f>HYPERLINK("https://klasma.github.io/Logging_0680/kartor_geotiff/A 28820-2026 georefererad karta.tif", "A 28820-2026")</f>
        <v/>
      </c>
      <c r="AA29">
        <f>HYPERLINK("https://klasma.github.io/Logging_0680/klagomål/A 28820-2026 FSC-klagomål.docx", "A 28820-2026")</f>
        <v/>
      </c>
      <c r="AB29">
        <f>HYPERLINK("https://klasma.github.io/Logging_0680/klagomålsmail/A 28820-2026 FSC-klagomål mail.docx", "A 28820-2026")</f>
        <v/>
      </c>
      <c r="AC29">
        <f>HYPERLINK("https://klasma.github.io/Logging_0680/tillsyn/A 28820-2026 tillsynsbegäran.docx", "A 28820-2026")</f>
        <v/>
      </c>
      <c r="AD29">
        <f>HYPERLINK("https://klasma.github.io/Logging_0680/tillsynsmail/A 28820-2026 tillsynsbegäran mail.docx", "A 28820-2026")</f>
        <v/>
      </c>
      <c r="AE29">
        <f>HYPERLINK("https://klasma.github.io/Logging_0680/fåglar/A 28820-2026 prioriterade fågelarter.docx", "A 28820-2026")</f>
        <v/>
      </c>
    </row>
    <row r="30" ht="15" customHeight="1">
      <c r="A30" t="inlineStr">
        <is>
          <t>S 887-2024</t>
        </is>
      </c>
      <c r="B30" t="inlineStr">
        <is>
          <t>samrådsanmälan</t>
        </is>
      </c>
      <c r="C30" t="inlineStr">
        <is>
          <t>Askåterföring</t>
        </is>
      </c>
      <c r="D30" s="1" t="n">
        <v>45376</v>
      </c>
      <c r="E30" s="1" t="n">
        <v>46310</v>
      </c>
      <c r="F30" t="inlineStr">
        <is>
          <t>JÖNKÖPINGS LÄN</t>
        </is>
      </c>
      <c r="G30" t="inlineStr">
        <is>
          <t>JÖNKÖPING</t>
        </is>
      </c>
      <c r="I30" t="n">
        <v>27.9</v>
      </c>
      <c r="J30" t="n">
        <v>5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5</v>
      </c>
      <c r="T30" t="n">
        <v>10</v>
      </c>
      <c r="U30" t="n">
        <v>0</v>
      </c>
      <c r="V30" s="2" t="inlineStr">
        <is>
          <t>Barbastell
Brunlångöra
Nordfladdermus
Dvärgpipistrell
Större brunfladdermus</t>
        </is>
      </c>
      <c r="W30">
        <f>HYPERLINK("https://klasma.github.io/Logging_0680/artfynd/S 887-2024 artfynd.xlsx", "S 887-2024")</f>
        <v/>
      </c>
      <c r="X30">
        <f>HYPERLINK("https://klasma.github.io/Logging_0680/kartor/S 887-2024 karta.png", "S 887-2024")</f>
        <v/>
      </c>
      <c r="Y30">
        <f>HYPERLINK("https://klasma.github.io/Logging_0680/kartor_geotiff/S 887-2024 georefererad karta.tif", "S 887-2024")</f>
        <v/>
      </c>
      <c r="AA30">
        <f>HYPERLINK("https://klasma.github.io/Logging_0680/klagomål/S 887-2024 FSC-klagomål.docx", "S 887-2024")</f>
        <v/>
      </c>
      <c r="AB30">
        <f>HYPERLINK("https://klasma.github.io/Logging_0680/klagomålsmail/S 887-2024 FSC-klagomål mail.docx", "S 887-2024")</f>
        <v/>
      </c>
      <c r="AC30">
        <f>HYPERLINK("https://klasma.github.io/Logging_0680/tillsyn/S 887-2024 tillsynsbegäran.docx", "S 887-2024")</f>
        <v/>
      </c>
      <c r="AD30">
        <f>HYPERLINK("https://klasma.github.io/Logging_0680/tillsynsmail/S 887-2024 tillsynsbegäran mail.docx", "S 887-2024")</f>
        <v/>
      </c>
    </row>
    <row r="31" ht="15" customHeight="1">
      <c r="A31" t="inlineStr">
        <is>
          <t>S 1016-2025</t>
        </is>
      </c>
      <c r="B31" t="inlineStr">
        <is>
          <t>samrådsanmälan</t>
        </is>
      </c>
      <c r="C31" t="inlineStr">
        <is>
          <t>Annan skogsbruksåtgärd</t>
        </is>
      </c>
      <c r="D31" s="1" t="n">
        <v>45747</v>
      </c>
      <c r="E31" s="1" t="n">
        <v>46310</v>
      </c>
      <c r="F31" t="inlineStr">
        <is>
          <t>JÖNKÖPINGS LÄN</t>
        </is>
      </c>
      <c r="G31" t="inlineStr">
        <is>
          <t>JÖNKÖPING</t>
        </is>
      </c>
      <c r="H31" t="inlineStr">
        <is>
          <t>Sveaskog</t>
        </is>
      </c>
      <c r="I31" t="n">
        <v>7.6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5</v>
      </c>
      <c r="U31" t="n">
        <v>4</v>
      </c>
      <c r="V31" s="2" t="inlineStr">
        <is>
          <t>Sparvuggla
Stor revmossa
Tjäder
Kungsfågel
Orre</t>
        </is>
      </c>
      <c r="W31">
        <f>HYPERLINK("https://klasma.github.io/Logging_0680/artfynd/S 1016-2025 artfynd.xlsx", "S 1016-2025")</f>
        <v/>
      </c>
      <c r="X31">
        <f>HYPERLINK("https://klasma.github.io/Logging_0680/kartor/S 1016-2025 karta.png", "S 1016-2025")</f>
        <v/>
      </c>
      <c r="Y31">
        <f>HYPERLINK("https://klasma.github.io/Logging_0680/kartor_geotiff/S 1016-2025 georefererad karta.tif", "S 1016-2025")</f>
        <v/>
      </c>
      <c r="AA31">
        <f>HYPERLINK("https://klasma.github.io/Logging_0680/klagomål/S 1016-2025 FSC-klagomål.docx", "S 1016-2025")</f>
        <v/>
      </c>
      <c r="AB31">
        <f>HYPERLINK("https://klasma.github.io/Logging_0680/klagomålsmail/S 1016-2025 FSC-klagomål mail.docx", "S 1016-2025")</f>
        <v/>
      </c>
      <c r="AC31">
        <f>HYPERLINK("https://klasma.github.io/Logging_0680/tillsyn/S 1016-2025 tillsynsbegäran.docx", "S 1016-2025")</f>
        <v/>
      </c>
      <c r="AD31">
        <f>HYPERLINK("https://klasma.github.io/Logging_0680/tillsynsmail/S 1016-2025 tillsynsbegäran mail.docx", "S 1016-2025")</f>
        <v/>
      </c>
      <c r="AE31">
        <f>HYPERLINK("https://klasma.github.io/Logging_0680/fåglar/S 1016-2025 prioriterade fågelarter.docx", "S 1016-2025")</f>
        <v/>
      </c>
    </row>
    <row r="32" ht="15" customHeight="1">
      <c r="A32" t="inlineStr">
        <is>
          <t>A 51492-2024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45604</v>
      </c>
      <c r="E32" s="1" t="n">
        <v>46310</v>
      </c>
      <c r="F32" t="inlineStr">
        <is>
          <t>JÖNKÖPINGS LÄN</t>
        </is>
      </c>
      <c r="G32" t="inlineStr">
        <is>
          <t>JÖNKÖPING</t>
        </is>
      </c>
      <c r="I32" t="n">
        <v>3.1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0</v>
      </c>
      <c r="V32" s="2" t="inlineStr">
        <is>
          <t>Rostfläck
Vanlig padda
Grönvit nattviol
Revlummer</t>
        </is>
      </c>
      <c r="W32">
        <f>HYPERLINK("https://klasma.github.io/Logging_0680/artfynd/A 51492-2024 artfynd.xlsx", "A 51492-2024")</f>
        <v/>
      </c>
      <c r="X32">
        <f>HYPERLINK("https://klasma.github.io/Logging_0680/kartor/A 51492-2024 karta.png", "A 51492-2024")</f>
        <v/>
      </c>
      <c r="Y32">
        <f>HYPERLINK("https://klasma.github.io/Logging_0680/kartor_geotiff/A 51492-2024 georefererad karta.tif", "A 51492-2024")</f>
        <v/>
      </c>
      <c r="AA32">
        <f>HYPERLINK("https://klasma.github.io/Logging_0680/klagomål/A 51492-2024 FSC-klagomål.docx", "A 51492-2024")</f>
        <v/>
      </c>
      <c r="AB32">
        <f>HYPERLINK("https://klasma.github.io/Logging_0680/klagomålsmail/A 51492-2024 FSC-klagomål mail.docx", "A 51492-2024")</f>
        <v/>
      </c>
      <c r="AC32">
        <f>HYPERLINK("https://klasma.github.io/Logging_0680/tillsyn/A 51492-2024 tillsynsbegäran.docx", "A 51492-2024")</f>
        <v/>
      </c>
      <c r="AD32">
        <f>HYPERLINK("https://klasma.github.io/Logging_0680/tillsynsmail/A 51492-2024 tillsynsbegäran mail.docx", "A 51492-2024")</f>
        <v/>
      </c>
    </row>
    <row r="33" ht="15" customHeight="1">
      <c r="A33" t="inlineStr">
        <is>
          <t>A 6799-2022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44602</v>
      </c>
      <c r="E33" s="1" t="n">
        <v>46310</v>
      </c>
      <c r="F33" t="inlineStr">
        <is>
          <t>JÖNKÖPINGS LÄN</t>
        </is>
      </c>
      <c r="G33" t="inlineStr">
        <is>
          <t>JÖNKÖPING</t>
        </is>
      </c>
      <c r="H33" t="inlineStr">
        <is>
          <t>Kyrkan</t>
        </is>
      </c>
      <c r="I33" t="n">
        <v>2.2</v>
      </c>
      <c r="J33" t="n">
        <v>2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8</v>
      </c>
      <c r="U33" t="n">
        <v>7</v>
      </c>
      <c r="V33" s="2" t="inlineStr">
        <is>
          <t>Dvärgtufs
Grön sköldmossa
Västlig hakmossa
Mattlummer</t>
        </is>
      </c>
      <c r="W33">
        <f>HYPERLINK("https://klasma.github.io/Logging_0680/artfynd/A 6799-2022 artfynd.xlsx", "A 6799-2022")</f>
        <v/>
      </c>
      <c r="X33">
        <f>HYPERLINK("https://klasma.github.io/Logging_0680/kartor/A 6799-2022 karta.png", "A 6799-2022")</f>
        <v/>
      </c>
      <c r="Y33">
        <f>HYPERLINK("https://klasma.github.io/Logging_0680/kartor_geotiff/A 6799-2022 georefererad karta.tif", "A 6799-2022")</f>
        <v/>
      </c>
      <c r="AA33">
        <f>HYPERLINK("https://klasma.github.io/Logging_0680/klagomål/A 6799-2022 FSC-klagomål.docx", "A 6799-2022")</f>
        <v/>
      </c>
      <c r="AB33">
        <f>HYPERLINK("https://klasma.github.io/Logging_0680/klagomålsmail/A 6799-2022 FSC-klagomål mail.docx", "A 6799-2022")</f>
        <v/>
      </c>
      <c r="AC33">
        <f>HYPERLINK("https://klasma.github.io/Logging_0680/tillsyn/A 6799-2022 tillsynsbegäran.docx", "A 6799-2022")</f>
        <v/>
      </c>
      <c r="AD33">
        <f>HYPERLINK("https://klasma.github.io/Logging_0680/tillsynsmail/A 6799-2022 tillsynsbegäran mail.docx", "A 6799-2022")</f>
        <v/>
      </c>
    </row>
    <row r="34" ht="15" customHeight="1">
      <c r="A34" t="inlineStr">
        <is>
          <t>A 25362-2026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46176</v>
      </c>
      <c r="E34" s="1" t="n">
        <v>46310</v>
      </c>
      <c r="F34" t="inlineStr">
        <is>
          <t>JÖNKÖPINGS LÄN</t>
        </is>
      </c>
      <c r="G34" t="inlineStr">
        <is>
          <t>JÖNKÖPING</t>
        </is>
      </c>
      <c r="I34" t="n">
        <v>2.2</v>
      </c>
      <c r="J34" t="n">
        <v>4</v>
      </c>
      <c r="K34" t="n">
        <v>0</v>
      </c>
      <c r="L34" t="n">
        <v>3</v>
      </c>
      <c r="M34" t="n">
        <v>1</v>
      </c>
      <c r="N34" t="n">
        <v>0</v>
      </c>
      <c r="O34" t="n">
        <v>0</v>
      </c>
      <c r="P34" t="n">
        <v>0</v>
      </c>
      <c r="Q34" t="n">
        <v>4</v>
      </c>
      <c r="R34" t="n">
        <v>1</v>
      </c>
      <c r="S34" t="n">
        <v>4</v>
      </c>
      <c r="T34" t="n">
        <v>4</v>
      </c>
      <c r="U34" t="n">
        <v>4</v>
      </c>
      <c r="V34" s="2" t="inlineStr">
        <is>
          <t>Grönfink
Entita
Grönsångare
Sädesärla</t>
        </is>
      </c>
      <c r="W34">
        <f>HYPERLINK("https://klasma.github.io/Logging_0680/artfynd/A 25362-2026 artfynd.xlsx", "A 25362-2026")</f>
        <v/>
      </c>
      <c r="X34">
        <f>HYPERLINK("https://klasma.github.io/Logging_0680/kartor/A 25362-2026 karta.png", "A 25362-2026")</f>
        <v/>
      </c>
      <c r="Y34">
        <f>HYPERLINK("https://klasma.github.io/Logging_0680/kartor_geotiff/A 25362-2026 georefererad karta.tif", "A 25362-2026")</f>
        <v/>
      </c>
      <c r="AA34">
        <f>HYPERLINK("https://klasma.github.io/Logging_0680/klagomål/A 25362-2026 FSC-klagomål.docx", "A 25362-2026")</f>
        <v/>
      </c>
      <c r="AB34">
        <f>HYPERLINK("https://klasma.github.io/Logging_0680/klagomålsmail/A 25362-2026 FSC-klagomål mail.docx", "A 25362-2026")</f>
        <v/>
      </c>
      <c r="AC34">
        <f>HYPERLINK("https://klasma.github.io/Logging_0680/tillsyn/A 25362-2026 tillsynsbegäran.docx", "A 25362-2026")</f>
        <v/>
      </c>
      <c r="AD34">
        <f>HYPERLINK("https://klasma.github.io/Logging_0680/tillsynsmail/A 25362-2026 tillsynsbegäran mail.docx", "A 25362-2026")</f>
        <v/>
      </c>
      <c r="AE34">
        <f>HYPERLINK("https://klasma.github.io/Logging_0680/fåglar/A 25362-2026 prioriterade fågelarter.docx", "A 25362-2026")</f>
        <v/>
      </c>
    </row>
    <row r="35" ht="15" customHeight="1">
      <c r="A35" t="inlineStr">
        <is>
          <t>A 6280-2026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46055</v>
      </c>
      <c r="E35" s="1" t="n">
        <v>46310</v>
      </c>
      <c r="F35" t="inlineStr">
        <is>
          <t>JÖNKÖPINGS LÄN</t>
        </is>
      </c>
      <c r="G35" t="inlineStr">
        <is>
          <t>JÖNKÖPING</t>
        </is>
      </c>
      <c r="I35" t="n">
        <v>1.7</v>
      </c>
      <c r="J35" t="n">
        <v>1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4</v>
      </c>
      <c r="U35" t="n">
        <v>0</v>
      </c>
      <c r="V35" s="2" t="inlineStr">
        <is>
          <t>Vedtrappmossa
Grön sköldmossa
Stubbspretmossa
Västlig hakmossa</t>
        </is>
      </c>
      <c r="W35">
        <f>HYPERLINK("https://klasma.github.io/Logging_0680/artfynd/A 6280-2026 artfynd.xlsx", "A 6280-2026")</f>
        <v/>
      </c>
      <c r="X35">
        <f>HYPERLINK("https://klasma.github.io/Logging_0680/kartor/A 6280-2026 karta.png", "A 6280-2026")</f>
        <v/>
      </c>
      <c r="Y35">
        <f>HYPERLINK("https://klasma.github.io/Logging_0680/kartor_geotiff/A 6280-2026 georefererad karta.tif", "A 6280-2026")</f>
        <v/>
      </c>
      <c r="AA35">
        <f>HYPERLINK("https://klasma.github.io/Logging_0680/klagomål/A 6280-2026 FSC-klagomål.docx", "A 6280-2026")</f>
        <v/>
      </c>
      <c r="AB35">
        <f>HYPERLINK("https://klasma.github.io/Logging_0680/klagomålsmail/A 6280-2026 FSC-klagomål mail.docx", "A 6280-2026")</f>
        <v/>
      </c>
      <c r="AC35">
        <f>HYPERLINK("https://klasma.github.io/Logging_0680/tillsyn/A 6280-2026 tillsynsbegäran.docx", "A 6280-2026")</f>
        <v/>
      </c>
      <c r="AD35">
        <f>HYPERLINK("https://klasma.github.io/Logging_0680/tillsynsmail/A 6280-2026 tillsynsbegäran mail.docx", "A 6280-2026")</f>
        <v/>
      </c>
    </row>
    <row r="36" ht="15" customHeight="1">
      <c r="A36" t="inlineStr">
        <is>
          <t>S 1542-2025</t>
        </is>
      </c>
      <c r="B36" t="inlineStr">
        <is>
          <t>samrådsanmälan</t>
        </is>
      </c>
      <c r="C36" t="inlineStr">
        <is>
          <t>Annan skogsbruksåtgärd</t>
        </is>
      </c>
      <c r="D36" s="1" t="n">
        <v>45792</v>
      </c>
      <c r="E36" s="1" t="n">
        <v>46310</v>
      </c>
      <c r="F36" t="inlineStr">
        <is>
          <t>JÖNKÖPINGS LÄN</t>
        </is>
      </c>
      <c r="G36" t="inlineStr">
        <is>
          <t>JÖNKÖPING</t>
        </is>
      </c>
      <c r="H36" t="inlineStr">
        <is>
          <t>Kommuner</t>
        </is>
      </c>
      <c r="I36" t="n">
        <v>5.5</v>
      </c>
      <c r="J36" t="n">
        <v>0</v>
      </c>
      <c r="K36" t="n">
        <v>1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1</v>
      </c>
      <c r="S36" t="n">
        <v>4</v>
      </c>
      <c r="T36" t="n">
        <v>11</v>
      </c>
      <c r="U36" t="n">
        <v>0</v>
      </c>
      <c r="V36" s="2" t="inlineStr">
        <is>
          <t>Ask
Hjälmbrosklav
Rosa skärelav
Svart trolldruva</t>
        </is>
      </c>
      <c r="W36">
        <f>HYPERLINK("https://klasma.github.io/Logging_0680/artfynd/S 1542-2025 artfynd.xlsx", "S 1542-2025")</f>
        <v/>
      </c>
      <c r="X36">
        <f>HYPERLINK("https://klasma.github.io/Logging_0680/kartor/S 1542-2025 karta.png", "S 1542-2025")</f>
        <v/>
      </c>
      <c r="Y36">
        <f>HYPERLINK("https://klasma.github.io/Logging_0680/kartor_geotiff/S 1542-2025 georefererad karta.tif", "S 1542-2025")</f>
        <v/>
      </c>
      <c r="AA36">
        <f>HYPERLINK("https://klasma.github.io/Logging_0680/klagomål/S 1542-2025 FSC-klagomål.docx", "S 1542-2025")</f>
        <v/>
      </c>
      <c r="AB36">
        <f>HYPERLINK("https://klasma.github.io/Logging_0680/klagomålsmail/S 1542-2025 FSC-klagomål mail.docx", "S 1542-2025")</f>
        <v/>
      </c>
      <c r="AC36">
        <f>HYPERLINK("https://klasma.github.io/Logging_0680/tillsyn/S 1542-2025 tillsynsbegäran.docx", "S 1542-2025")</f>
        <v/>
      </c>
      <c r="AD36">
        <f>HYPERLINK("https://klasma.github.io/Logging_0680/tillsynsmail/S 1542-2025 tillsynsbegäran mail.docx", "S 1542-2025")</f>
        <v/>
      </c>
    </row>
    <row r="37" ht="15" customHeight="1">
      <c r="A37" t="inlineStr">
        <is>
          <t>S 1123-2026</t>
        </is>
      </c>
      <c r="B37" t="inlineStr">
        <is>
          <t>samrådsanmälan</t>
        </is>
      </c>
      <c r="C37" t="inlineStr">
        <is>
          <t>Askåterföring</t>
        </is>
      </c>
      <c r="D37" s="1" t="n">
        <v>46133</v>
      </c>
      <c r="E37" s="1" t="n">
        <v>46310</v>
      </c>
      <c r="F37" t="inlineStr">
        <is>
          <t>JÖNKÖPINGS LÄN</t>
        </is>
      </c>
      <c r="G37" t="inlineStr">
        <is>
          <t>JÖNKÖPING</t>
        </is>
      </c>
      <c r="I37" t="n">
        <v>190.2</v>
      </c>
      <c r="J37" t="n">
        <v>2</v>
      </c>
      <c r="K37" t="n">
        <v>0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1</v>
      </c>
      <c r="S37" t="n">
        <v>4</v>
      </c>
      <c r="T37" t="n">
        <v>4</v>
      </c>
      <c r="U37" t="n">
        <v>0</v>
      </c>
      <c r="V37" s="2" t="inlineStr">
        <is>
          <t>Slåttergubbe
Talltita
Älg
Huggorm</t>
        </is>
      </c>
      <c r="W37">
        <f>HYPERLINK("https://klasma.github.io/Logging_0680/artfynd/S 1123-2026 artfynd.xlsx", "S 1123-2026")</f>
        <v/>
      </c>
      <c r="X37">
        <f>HYPERLINK("https://klasma.github.io/Logging_0680/kartor/S 1123-2026 karta.png", "S 1123-2026")</f>
        <v/>
      </c>
      <c r="Y37">
        <f>HYPERLINK("https://klasma.github.io/Logging_0680/kartor_geotiff/S 1123-2026 georefererad karta.tif", "S 1123-2026")</f>
        <v/>
      </c>
      <c r="AA37">
        <f>HYPERLINK("https://klasma.github.io/Logging_0680/klagomål/S 1123-2026 FSC-klagomål.docx", "S 1123-2026")</f>
        <v/>
      </c>
      <c r="AB37">
        <f>HYPERLINK("https://klasma.github.io/Logging_0680/klagomålsmail/S 1123-2026 FSC-klagomål mail.docx", "S 1123-2026")</f>
        <v/>
      </c>
      <c r="AC37">
        <f>HYPERLINK("https://klasma.github.io/Logging_0680/tillsyn/S 1123-2026 tillsynsbegäran.docx", "S 1123-2026")</f>
        <v/>
      </c>
      <c r="AD37">
        <f>HYPERLINK("https://klasma.github.io/Logging_0680/tillsynsmail/S 1123-2026 tillsynsbegäran mail.docx", "S 1123-2026")</f>
        <v/>
      </c>
      <c r="AE37">
        <f>HYPERLINK("https://klasma.github.io/Logging_0680/fåglar/S 1123-2026 prioriterade fågelarter.docx", "S 1123-2026")</f>
        <v/>
      </c>
    </row>
    <row r="38" ht="15" customHeight="1">
      <c r="A38" t="inlineStr">
        <is>
          <t>A 70402-2021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44536</v>
      </c>
      <c r="E38" s="1" t="n">
        <v>46310</v>
      </c>
      <c r="F38" t="inlineStr">
        <is>
          <t>JÖNKÖPINGS LÄN</t>
        </is>
      </c>
      <c r="G38" t="inlineStr">
        <is>
          <t>JÖNKÖPING</t>
        </is>
      </c>
      <c r="H38" t="inlineStr">
        <is>
          <t>Sveaskog</t>
        </is>
      </c>
      <c r="I38" t="n">
        <v>6.2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3</v>
      </c>
      <c r="T38" t="n">
        <v>3</v>
      </c>
      <c r="U38" t="n">
        <v>3</v>
      </c>
      <c r="V38" s="2" t="inlineStr">
        <is>
          <t>Slåttergubbe
Jungfrulin
Nattskärra</t>
        </is>
      </c>
      <c r="W38">
        <f>HYPERLINK("https://klasma.github.io/Logging_0680/artfynd/A 70402-2021 artfynd.xlsx", "A 70402-2021")</f>
        <v/>
      </c>
      <c r="X38">
        <f>HYPERLINK("https://klasma.github.io/Logging_0680/kartor/A 70402-2021 karta.png", "A 70402-2021")</f>
        <v/>
      </c>
      <c r="Y38">
        <f>HYPERLINK("https://klasma.github.io/Logging_0680/kartor_geotiff/A 70402-2021 georefererad karta.tif", "A 70402-2021")</f>
        <v/>
      </c>
      <c r="AA38">
        <f>HYPERLINK("https://klasma.github.io/Logging_0680/klagomål/A 70402-2021 FSC-klagomål.docx", "A 70402-2021")</f>
        <v/>
      </c>
      <c r="AB38">
        <f>HYPERLINK("https://klasma.github.io/Logging_0680/klagomålsmail/A 70402-2021 FSC-klagomål mail.docx", "A 70402-2021")</f>
        <v/>
      </c>
      <c r="AC38">
        <f>HYPERLINK("https://klasma.github.io/Logging_0680/tillsyn/A 70402-2021 tillsynsbegäran.docx", "A 70402-2021")</f>
        <v/>
      </c>
      <c r="AD38">
        <f>HYPERLINK("https://klasma.github.io/Logging_0680/tillsynsmail/A 70402-2021 tillsynsbegäran mail.docx", "A 70402-2021")</f>
        <v/>
      </c>
      <c r="AE38">
        <f>HYPERLINK("https://klasma.github.io/Logging_0680/fåglar/A 70402-2021 prioriterade fågelarter.docx", "A 70402-2021")</f>
        <v/>
      </c>
    </row>
    <row r="39" ht="15" customHeight="1">
      <c r="A39" t="inlineStr">
        <is>
          <t>A 8179-2023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44974</v>
      </c>
      <c r="E39" s="1" t="n">
        <v>46310</v>
      </c>
      <c r="F39" t="inlineStr">
        <is>
          <t>JÖNKÖPINGS LÄN</t>
        </is>
      </c>
      <c r="G39" t="inlineStr">
        <is>
          <t>JÖNKÖPING</t>
        </is>
      </c>
      <c r="I39" t="n">
        <v>1.1</v>
      </c>
      <c r="J39" t="n">
        <v>3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3</v>
      </c>
      <c r="T39" t="n">
        <v>3</v>
      </c>
      <c r="U39" t="n">
        <v>0</v>
      </c>
      <c r="V39" s="2" t="inlineStr">
        <is>
          <t>Brunlångöra
Nordfladdermus
Dvärgpipistrell</t>
        </is>
      </c>
      <c r="W39">
        <f>HYPERLINK("https://klasma.github.io/Logging_0680/artfynd/A 8179-2023 artfynd.xlsx", "A 8179-2023")</f>
        <v/>
      </c>
      <c r="X39">
        <f>HYPERLINK("https://klasma.github.io/Logging_0680/kartor/A 8179-2023 karta.png", "A 8179-2023")</f>
        <v/>
      </c>
      <c r="Y39">
        <f>HYPERLINK("https://klasma.github.io/Logging_0680/kartor_geotiff/A 8179-2023 georefererad karta.tif", "A 8179-2023")</f>
        <v/>
      </c>
      <c r="AA39">
        <f>HYPERLINK("https://klasma.github.io/Logging_0680/klagomål/A 8179-2023 FSC-klagomål.docx", "A 8179-2023")</f>
        <v/>
      </c>
      <c r="AB39">
        <f>HYPERLINK("https://klasma.github.io/Logging_0680/klagomålsmail/A 8179-2023 FSC-klagomål mail.docx", "A 8179-2023")</f>
        <v/>
      </c>
      <c r="AC39">
        <f>HYPERLINK("https://klasma.github.io/Logging_0680/tillsyn/A 8179-2023 tillsynsbegäran.docx", "A 8179-2023")</f>
        <v/>
      </c>
      <c r="AD39">
        <f>HYPERLINK("https://klasma.github.io/Logging_0680/tillsynsmail/A 8179-2023 tillsynsbegäran mail.docx", "A 8179-2023")</f>
        <v/>
      </c>
    </row>
    <row r="40" ht="15" customHeight="1">
      <c r="A40" t="inlineStr">
        <is>
          <t>A 68822-2021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44530</v>
      </c>
      <c r="E40" s="1" t="n">
        <v>46310</v>
      </c>
      <c r="F40" t="inlineStr">
        <is>
          <t>JÖNKÖPINGS LÄN</t>
        </is>
      </c>
      <c r="G40" t="inlineStr">
        <is>
          <t>JÖNKÖPING</t>
        </is>
      </c>
      <c r="I40" t="n">
        <v>0.9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3</v>
      </c>
      <c r="T40" t="n">
        <v>3</v>
      </c>
      <c r="U40" t="n">
        <v>3</v>
      </c>
      <c r="V40" s="2" t="inlineStr">
        <is>
          <t>Ask
Korallrot
Blåsippa</t>
        </is>
      </c>
      <c r="W40">
        <f>HYPERLINK("https://klasma.github.io/Logging_0680/artfynd/A 68822-2021 artfynd.xlsx", "A 68822-2021")</f>
        <v/>
      </c>
      <c r="X40">
        <f>HYPERLINK("https://klasma.github.io/Logging_0680/kartor/A 68822-2021 karta.png", "A 68822-2021")</f>
        <v/>
      </c>
      <c r="Y40">
        <f>HYPERLINK("https://klasma.github.io/Logging_0680/kartor_geotiff/A 68822-2021 georefererad karta.tif", "A 68822-2021")</f>
        <v/>
      </c>
      <c r="AA40">
        <f>HYPERLINK("https://klasma.github.io/Logging_0680/klagomål/A 68822-2021 FSC-klagomål.docx", "A 68822-2021")</f>
        <v/>
      </c>
      <c r="AB40">
        <f>HYPERLINK("https://klasma.github.io/Logging_0680/klagomålsmail/A 68822-2021 FSC-klagomål mail.docx", "A 68822-2021")</f>
        <v/>
      </c>
      <c r="AC40">
        <f>HYPERLINK("https://klasma.github.io/Logging_0680/tillsyn/A 68822-2021 tillsynsbegäran.docx", "A 68822-2021")</f>
        <v/>
      </c>
      <c r="AD40">
        <f>HYPERLINK("https://klasma.github.io/Logging_0680/tillsynsmail/A 68822-2021 tillsynsbegäran mail.docx", "A 68822-2021")</f>
        <v/>
      </c>
    </row>
    <row r="41" ht="15" customHeight="1">
      <c r="A41" t="inlineStr">
        <is>
          <t>A 15760-2026</t>
        </is>
      </c>
      <c r="B41" t="inlineStr">
        <is>
          <t>avverkningsanmälan</t>
        </is>
      </c>
      <c r="C41" t="inlineStr">
        <is>
          <t>Avverkning för annat ändamål</t>
        </is>
      </c>
      <c r="D41" s="1" t="n">
        <v>46107</v>
      </c>
      <c r="E41" s="1" t="n">
        <v>46310</v>
      </c>
      <c r="F41" t="inlineStr">
        <is>
          <t>JÖNKÖPINGS LÄN</t>
        </is>
      </c>
      <c r="G41" t="inlineStr">
        <is>
          <t>JÖNKÖPING</t>
        </is>
      </c>
      <c r="I41" t="n">
        <v>10.8</v>
      </c>
      <c r="J41" t="n">
        <v>0</v>
      </c>
      <c r="K41" t="n">
        <v>1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  <c r="Q41" t="n">
        <v>2</v>
      </c>
      <c r="R41" t="n">
        <v>2</v>
      </c>
      <c r="S41" t="n">
        <v>3</v>
      </c>
      <c r="T41" t="n">
        <v>17</v>
      </c>
      <c r="U41" t="n">
        <v>0</v>
      </c>
      <c r="V41" s="2" t="inlineStr">
        <is>
          <t>Ask
Skogsalm
Kruskantarell</t>
        </is>
      </c>
      <c r="W41">
        <f>HYPERLINK("https://klasma.github.io/Logging_0680/artfynd/A 15760-2026 artfynd.xlsx", "A 15760-2026")</f>
        <v/>
      </c>
      <c r="X41">
        <f>HYPERLINK("https://klasma.github.io/Logging_0680/kartor/A 15760-2026 karta.png", "A 15760-2026")</f>
        <v/>
      </c>
      <c r="Y41">
        <f>HYPERLINK("https://klasma.github.io/Logging_0680/kartor_geotiff/A 15760-2026 georefererad karta.tif", "A 15760-2026")</f>
        <v/>
      </c>
      <c r="AA41">
        <f>HYPERLINK("https://klasma.github.io/Logging_0680/klagomål/A 15760-2026 FSC-klagomål.docx", "A 15760-2026")</f>
        <v/>
      </c>
      <c r="AB41">
        <f>HYPERLINK("https://klasma.github.io/Logging_0680/klagomålsmail/A 15760-2026 FSC-klagomål mail.docx", "A 15760-2026")</f>
        <v/>
      </c>
      <c r="AC41">
        <f>HYPERLINK("https://klasma.github.io/Logging_0680/tillsyn/A 15760-2026 tillsynsbegäran.docx", "A 15760-2026")</f>
        <v/>
      </c>
      <c r="AD41">
        <f>HYPERLINK("https://klasma.github.io/Logging_0680/tillsynsmail/A 15760-2026 tillsynsbegäran mail.docx", "A 15760-2026")</f>
        <v/>
      </c>
    </row>
    <row r="42" ht="15" customHeight="1">
      <c r="A42" t="inlineStr">
        <is>
          <t>A 41104-2025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45898</v>
      </c>
      <c r="E42" s="1" t="n">
        <v>46310</v>
      </c>
      <c r="F42" t="inlineStr">
        <is>
          <t>JÖNKÖPINGS LÄN</t>
        </is>
      </c>
      <c r="G42" t="inlineStr">
        <is>
          <t>JÖNKÖPING</t>
        </is>
      </c>
      <c r="I42" t="n">
        <v>1</v>
      </c>
      <c r="J42" t="n">
        <v>3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3</v>
      </c>
      <c r="T42" t="n">
        <v>3</v>
      </c>
      <c r="U42" t="n">
        <v>0</v>
      </c>
      <c r="V42" s="2" t="inlineStr">
        <is>
          <t>Duvhök
Havsörn
Trana</t>
        </is>
      </c>
      <c r="W42">
        <f>HYPERLINK("https://klasma.github.io/Logging_0680/artfynd/A 41104-2025 artfynd.xlsx", "A 41104-2025")</f>
        <v/>
      </c>
      <c r="X42">
        <f>HYPERLINK("https://klasma.github.io/Logging_0680/kartor/A 41104-2025 karta.png", "A 41104-2025")</f>
        <v/>
      </c>
      <c r="Y42">
        <f>HYPERLINK("https://klasma.github.io/Logging_0680/kartor_geotiff/A 41104-2025 georefererad karta.tif", "A 41104-2025")</f>
        <v/>
      </c>
      <c r="AA42">
        <f>HYPERLINK("https://klasma.github.io/Logging_0680/klagomål/A 41104-2025 FSC-klagomål.docx", "A 41104-2025")</f>
        <v/>
      </c>
      <c r="AB42">
        <f>HYPERLINK("https://klasma.github.io/Logging_0680/klagomålsmail/A 41104-2025 FSC-klagomål mail.docx", "A 41104-2025")</f>
        <v/>
      </c>
      <c r="AC42">
        <f>HYPERLINK("https://klasma.github.io/Logging_0680/tillsyn/A 41104-2025 tillsynsbegäran.docx", "A 41104-2025")</f>
        <v/>
      </c>
      <c r="AD42">
        <f>HYPERLINK("https://klasma.github.io/Logging_0680/tillsynsmail/A 41104-2025 tillsynsbegäran mail.docx", "A 41104-2025")</f>
        <v/>
      </c>
      <c r="AE42">
        <f>HYPERLINK("https://klasma.github.io/Logging_0680/fåglar/A 41104-2025 prioriterade fågelarter.docx", "A 41104-2025")</f>
        <v/>
      </c>
    </row>
    <row r="43" ht="15" customHeight="1">
      <c r="A43" t="inlineStr">
        <is>
          <t>A 21006-2025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45777</v>
      </c>
      <c r="E43" s="1" t="n">
        <v>46310</v>
      </c>
      <c r="F43" t="inlineStr">
        <is>
          <t>JÖNKÖPINGS LÄN</t>
        </is>
      </c>
      <c r="G43" t="inlineStr">
        <is>
          <t>JÖNKÖPING</t>
        </is>
      </c>
      <c r="I43" t="n">
        <v>2.3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3</v>
      </c>
      <c r="T43" t="n">
        <v>3</v>
      </c>
      <c r="U43" t="n">
        <v>3</v>
      </c>
      <c r="V43" s="2" t="inlineStr">
        <is>
          <t>Gullpudra
Blåsippa
Spillkråka</t>
        </is>
      </c>
      <c r="W43">
        <f>HYPERLINK("https://klasma.github.io/Logging_0680/artfynd/A 21006-2025 artfynd.xlsx", "A 21006-2025")</f>
        <v/>
      </c>
      <c r="X43">
        <f>HYPERLINK("https://klasma.github.io/Logging_0680/kartor/A 21006-2025 karta.png", "A 21006-2025")</f>
        <v/>
      </c>
      <c r="Y43">
        <f>HYPERLINK("https://klasma.github.io/Logging_0680/kartor_geotiff/A 21006-2025 georefererad karta.tif", "A 21006-2025")</f>
        <v/>
      </c>
      <c r="AA43">
        <f>HYPERLINK("https://klasma.github.io/Logging_0680/klagomål/A 21006-2025 FSC-klagomål.docx", "A 21006-2025")</f>
        <v/>
      </c>
      <c r="AB43">
        <f>HYPERLINK("https://klasma.github.io/Logging_0680/klagomålsmail/A 21006-2025 FSC-klagomål mail.docx", "A 21006-2025")</f>
        <v/>
      </c>
      <c r="AC43">
        <f>HYPERLINK("https://klasma.github.io/Logging_0680/tillsyn/A 21006-2025 tillsynsbegäran.docx", "A 21006-2025")</f>
        <v/>
      </c>
      <c r="AD43">
        <f>HYPERLINK("https://klasma.github.io/Logging_0680/tillsynsmail/A 21006-2025 tillsynsbegäran mail.docx", "A 21006-2025")</f>
        <v/>
      </c>
      <c r="AE43">
        <f>HYPERLINK("https://klasma.github.io/Logging_0680/fåglar/A 21006-2025 prioriterade fågelarter.docx", "A 21006-2025")</f>
        <v/>
      </c>
    </row>
    <row r="44" ht="15" customHeight="1">
      <c r="A44" t="inlineStr">
        <is>
          <t>A 21591-2025</t>
        </is>
      </c>
      <c r="B44" t="inlineStr">
        <is>
          <t>avverkningsanmälan</t>
        </is>
      </c>
      <c r="C44" t="inlineStr">
        <is>
          <t>Avverkning för att bevara och utveckla /försöksver</t>
        </is>
      </c>
      <c r="D44" s="1" t="n">
        <v>45783</v>
      </c>
      <c r="E44" s="1" t="n">
        <v>46310</v>
      </c>
      <c r="F44" t="inlineStr">
        <is>
          <t>JÖNKÖPINGS LÄN</t>
        </is>
      </c>
      <c r="G44" t="inlineStr">
        <is>
          <t>JÖNKÖPING</t>
        </is>
      </c>
      <c r="I44" t="n">
        <v>4.6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3</v>
      </c>
      <c r="T44" t="n">
        <v>3</v>
      </c>
      <c r="U44" t="n">
        <v>0</v>
      </c>
      <c r="V44" s="2" t="inlineStr">
        <is>
          <t>Svinrot
Sotlav
Nattviol</t>
        </is>
      </c>
      <c r="W44">
        <f>HYPERLINK("https://klasma.github.io/Logging_0680/artfynd/A 21591-2025 artfynd.xlsx", "A 21591-2025")</f>
        <v/>
      </c>
      <c r="X44">
        <f>HYPERLINK("https://klasma.github.io/Logging_0680/kartor/A 21591-2025 karta.png", "A 21591-2025")</f>
        <v/>
      </c>
      <c r="Y44">
        <f>HYPERLINK("https://klasma.github.io/Logging_0680/kartor_geotiff/A 21591-2025 georefererad karta.tif", "A 21591-2025")</f>
        <v/>
      </c>
      <c r="AA44">
        <f>HYPERLINK("https://klasma.github.io/Logging_0680/klagomål/A 21591-2025 FSC-klagomål.docx", "A 21591-2025")</f>
        <v/>
      </c>
      <c r="AB44">
        <f>HYPERLINK("https://klasma.github.io/Logging_0680/klagomålsmail/A 21591-2025 FSC-klagomål mail.docx", "A 21591-2025")</f>
        <v/>
      </c>
      <c r="AC44">
        <f>HYPERLINK("https://klasma.github.io/Logging_0680/tillsyn/A 21591-2025 tillsynsbegäran.docx", "A 21591-2025")</f>
        <v/>
      </c>
      <c r="AD44">
        <f>HYPERLINK("https://klasma.github.io/Logging_0680/tillsynsmail/A 21591-2025 tillsynsbegäran mail.docx", "A 21591-2025")</f>
        <v/>
      </c>
    </row>
    <row r="45" ht="15" customHeight="1">
      <c r="A45" t="inlineStr">
        <is>
          <t>A 20088-2025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45772</v>
      </c>
      <c r="E45" s="1" t="n">
        <v>46310</v>
      </c>
      <c r="F45" t="inlineStr">
        <is>
          <t>JÖNKÖPINGS LÄN</t>
        </is>
      </c>
      <c r="G45" t="inlineStr">
        <is>
          <t>JÖNKÖPING</t>
        </is>
      </c>
      <c r="I45" t="n">
        <v>4.7</v>
      </c>
      <c r="J45" t="n">
        <v>1</v>
      </c>
      <c r="K45" t="n">
        <v>0</v>
      </c>
      <c r="L45" t="n">
        <v>2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1</v>
      </c>
      <c r="S45" t="n">
        <v>3</v>
      </c>
      <c r="T45" t="n">
        <v>3</v>
      </c>
      <c r="U45" t="n">
        <v>0</v>
      </c>
      <c r="V45" s="2" t="inlineStr">
        <is>
          <t>Backsippa
Jungfrulin
Spindelört</t>
        </is>
      </c>
      <c r="W45">
        <f>HYPERLINK("https://klasma.github.io/Logging_0680/artfynd/A 20088-2025 artfynd.xlsx", "A 20088-2025")</f>
        <v/>
      </c>
      <c r="X45">
        <f>HYPERLINK("https://klasma.github.io/Logging_0680/kartor/A 20088-2025 karta.png", "A 20088-2025")</f>
        <v/>
      </c>
      <c r="Y45">
        <f>HYPERLINK("https://klasma.github.io/Logging_0680/kartor_geotiff/A 20088-2025 georefererad karta.tif", "A 20088-2025")</f>
        <v/>
      </c>
      <c r="AA45">
        <f>HYPERLINK("https://klasma.github.io/Logging_0680/klagomål/A 20088-2025 FSC-klagomål.docx", "A 20088-2025")</f>
        <v/>
      </c>
      <c r="AB45">
        <f>HYPERLINK("https://klasma.github.io/Logging_0680/klagomålsmail/A 20088-2025 FSC-klagomål mail.docx", "A 20088-2025")</f>
        <v/>
      </c>
      <c r="AC45">
        <f>HYPERLINK("https://klasma.github.io/Logging_0680/tillsyn/A 20088-2025 tillsynsbegäran.docx", "A 20088-2025")</f>
        <v/>
      </c>
      <c r="AD45">
        <f>HYPERLINK("https://klasma.github.io/Logging_0680/tillsynsmail/A 20088-2025 tillsynsbegäran mail.docx", "A 20088-2025")</f>
        <v/>
      </c>
    </row>
    <row r="46" ht="15" customHeight="1">
      <c r="A46" t="inlineStr">
        <is>
          <t>S 4972-2024</t>
        </is>
      </c>
      <c r="B46" t="inlineStr">
        <is>
          <t>samrådsanmälan</t>
        </is>
      </c>
      <c r="C46" t="inlineStr">
        <is>
          <t>Annan skogsbruksåtgärd</t>
        </is>
      </c>
      <c r="D46" s="1" t="n">
        <v>45629</v>
      </c>
      <c r="E46" s="1" t="n">
        <v>46310</v>
      </c>
      <c r="F46" t="inlineStr">
        <is>
          <t>JÖNKÖPINGS LÄN</t>
        </is>
      </c>
      <c r="G46" t="inlineStr">
        <is>
          <t>JÖNKÖPING</t>
        </is>
      </c>
      <c r="I46" t="n">
        <v>0.7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3</v>
      </c>
      <c r="T46" t="n">
        <v>4</v>
      </c>
      <c r="U46" t="n">
        <v>0</v>
      </c>
      <c r="V46" s="2" t="inlineStr">
        <is>
          <t>Ask
Svart trolldruva
Blåsippa</t>
        </is>
      </c>
      <c r="W46">
        <f>HYPERLINK("https://klasma.github.io/Logging_0680/artfynd/S 4972-2024 artfynd.xlsx", "S 4972-2024")</f>
        <v/>
      </c>
      <c r="X46">
        <f>HYPERLINK("https://klasma.github.io/Logging_0680/kartor/S 4972-2024 karta.png", "S 4972-2024")</f>
        <v/>
      </c>
      <c r="Y46">
        <f>HYPERLINK("https://klasma.github.io/Logging_0680/kartor_geotiff/S 4972-2024 georefererad karta.tif", "S 4972-2024")</f>
        <v/>
      </c>
      <c r="AA46">
        <f>HYPERLINK("https://klasma.github.io/Logging_0680/klagomål/S 4972-2024 FSC-klagomål.docx", "S 4972-2024")</f>
        <v/>
      </c>
      <c r="AB46">
        <f>HYPERLINK("https://klasma.github.io/Logging_0680/klagomålsmail/S 4972-2024 FSC-klagomål mail.docx", "S 4972-2024")</f>
        <v/>
      </c>
      <c r="AC46">
        <f>HYPERLINK("https://klasma.github.io/Logging_0680/tillsyn/S 4972-2024 tillsynsbegäran.docx", "S 4972-2024")</f>
        <v/>
      </c>
      <c r="AD46">
        <f>HYPERLINK("https://klasma.github.io/Logging_0680/tillsynsmail/S 4972-2024 tillsynsbegäran mail.docx", "S 4972-2024")</f>
        <v/>
      </c>
    </row>
    <row r="47" ht="15" customHeight="1">
      <c r="A47" t="inlineStr">
        <is>
          <t>S 3863-2022</t>
        </is>
      </c>
      <c r="B47" t="inlineStr">
        <is>
          <t>samrådsanmälan</t>
        </is>
      </c>
      <c r="C47" t="inlineStr">
        <is>
          <t>Askåterföring</t>
        </is>
      </c>
      <c r="D47" s="1" t="n">
        <v>44747</v>
      </c>
      <c r="E47" s="1" t="n">
        <v>46310</v>
      </c>
      <c r="F47" t="inlineStr">
        <is>
          <t>JÖNKÖPINGS LÄN</t>
        </is>
      </c>
      <c r="G47" t="inlineStr">
        <is>
          <t>JÖNKÖPING</t>
        </is>
      </c>
      <c r="I47" t="n">
        <v>75.40000000000001</v>
      </c>
      <c r="J47" t="n">
        <v>0</v>
      </c>
      <c r="K47" t="n">
        <v>1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3</v>
      </c>
      <c r="T47" t="n">
        <v>4</v>
      </c>
      <c r="U47" t="n">
        <v>2</v>
      </c>
      <c r="V47" s="2" t="inlineStr">
        <is>
          <t>Motaggsvamp
Svinrot
Blomkålssvamp</t>
        </is>
      </c>
      <c r="W47">
        <f>HYPERLINK("https://klasma.github.io/Logging_0680/artfynd/S 3863-2022 artfynd.xlsx", "S 3863-2022")</f>
        <v/>
      </c>
      <c r="X47">
        <f>HYPERLINK("https://klasma.github.io/Logging_0680/kartor/S 3863-2022 karta.png", "S 3863-2022")</f>
        <v/>
      </c>
      <c r="Y47">
        <f>HYPERLINK("https://klasma.github.io/Logging_0680/kartor_geotiff/S 3863-2022 georefererad karta.tif", "S 3863-2022")</f>
        <v/>
      </c>
      <c r="AA47">
        <f>HYPERLINK("https://klasma.github.io/Logging_0680/klagomål/S 3863-2022 FSC-klagomål.docx", "S 3863-2022")</f>
        <v/>
      </c>
      <c r="AB47">
        <f>HYPERLINK("https://klasma.github.io/Logging_0680/klagomålsmail/S 3863-2022 FSC-klagomål mail.docx", "S 3863-2022")</f>
        <v/>
      </c>
      <c r="AC47">
        <f>HYPERLINK("https://klasma.github.io/Logging_0680/tillsyn/S 3863-2022 tillsynsbegäran.docx", "S 3863-2022")</f>
        <v/>
      </c>
      <c r="AD47">
        <f>HYPERLINK("https://klasma.github.io/Logging_0680/tillsynsmail/S 3863-2022 tillsynsbegäran mail.docx", "S 3863-2022")</f>
        <v/>
      </c>
    </row>
    <row r="48" ht="15" customHeight="1">
      <c r="A48" t="inlineStr">
        <is>
          <t>S 959-2022</t>
        </is>
      </c>
      <c r="B48" t="inlineStr">
        <is>
          <t>samrådsanmälan</t>
        </is>
      </c>
      <c r="C48" t="inlineStr">
        <is>
          <t>Askåterföring</t>
        </is>
      </c>
      <c r="D48" s="1" t="n">
        <v>44607</v>
      </c>
      <c r="E48" s="1" t="n">
        <v>46310</v>
      </c>
      <c r="F48" t="inlineStr">
        <is>
          <t>JÖNKÖPINGS LÄN</t>
        </is>
      </c>
      <c r="G48" t="inlineStr">
        <is>
          <t>JÖNKÖPING</t>
        </is>
      </c>
      <c r="H48" t="inlineStr">
        <is>
          <t>Sveaskog</t>
        </is>
      </c>
      <c r="I48" t="n">
        <v>209</v>
      </c>
      <c r="J48" t="n">
        <v>2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3</v>
      </c>
      <c r="T48" t="n">
        <v>3</v>
      </c>
      <c r="U48" t="n">
        <v>3</v>
      </c>
      <c r="V48" s="2" t="inlineStr">
        <is>
          <t>Borsttåg
Mattlummer
Revlummer</t>
        </is>
      </c>
      <c r="W48">
        <f>HYPERLINK("https://klasma.github.io/Logging_0680/artfynd/S 959-2022 artfynd.xlsx", "S 959-2022")</f>
        <v/>
      </c>
      <c r="X48">
        <f>HYPERLINK("https://klasma.github.io/Logging_0680/kartor/S 959-2022 karta.png", "S 959-2022")</f>
        <v/>
      </c>
      <c r="Y48">
        <f>HYPERLINK("https://klasma.github.io/Logging_0680/kartor_geotiff/S 959-2022 georefererad karta.tif", "S 959-2022")</f>
        <v/>
      </c>
      <c r="AA48">
        <f>HYPERLINK("https://klasma.github.io/Logging_0680/klagomål/S 959-2022 FSC-klagomål.docx", "S 959-2022")</f>
        <v/>
      </c>
      <c r="AB48">
        <f>HYPERLINK("https://klasma.github.io/Logging_0680/klagomålsmail/S 959-2022 FSC-klagomål mail.docx", "S 959-2022")</f>
        <v/>
      </c>
      <c r="AC48">
        <f>HYPERLINK("https://klasma.github.io/Logging_0680/tillsyn/S 959-2022 tillsynsbegäran.docx", "S 959-2022")</f>
        <v/>
      </c>
      <c r="AD48">
        <f>HYPERLINK("https://klasma.github.io/Logging_0680/tillsynsmail/S 959-2022 tillsynsbegäran mail.docx", "S 959-2022")</f>
        <v/>
      </c>
    </row>
    <row r="49" ht="15" customHeight="1">
      <c r="A49" t="inlineStr">
        <is>
          <t>S 713-2026</t>
        </is>
      </c>
      <c r="B49" t="inlineStr">
        <is>
          <t>samrådsanmälan</t>
        </is>
      </c>
      <c r="C49" t="inlineStr">
        <is>
          <t>Askåterföring</t>
        </is>
      </c>
      <c r="D49" s="1" t="n">
        <v>46092</v>
      </c>
      <c r="E49" s="1" t="n">
        <v>46310</v>
      </c>
      <c r="F49" t="inlineStr">
        <is>
          <t>JÖNKÖPINGS LÄN</t>
        </is>
      </c>
      <c r="G49" t="inlineStr">
        <is>
          <t>JÖNKÖPING</t>
        </is>
      </c>
      <c r="I49" t="n">
        <v>29.7</v>
      </c>
      <c r="J49" t="n">
        <v>2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3</v>
      </c>
      <c r="T49" t="n">
        <v>4</v>
      </c>
      <c r="U49" t="n">
        <v>2</v>
      </c>
      <c r="V49" s="2" t="inlineStr">
        <is>
          <t>Svinrot
Utter
Nattviol</t>
        </is>
      </c>
      <c r="W49">
        <f>HYPERLINK("https://klasma.github.io/Logging_0680/artfynd/S 713-2026 artfynd.xlsx", "S 713-2026")</f>
        <v/>
      </c>
      <c r="X49">
        <f>HYPERLINK("https://klasma.github.io/Logging_0680/kartor/S 713-2026 karta.png", "S 713-2026")</f>
        <v/>
      </c>
      <c r="Y49">
        <f>HYPERLINK("https://klasma.github.io/Logging_0680/kartor_geotiff/S 713-2026 georefererad karta.tif", "S 713-2026")</f>
        <v/>
      </c>
      <c r="AA49">
        <f>HYPERLINK("https://klasma.github.io/Logging_0680/klagomål/S 713-2026 FSC-klagomål.docx", "S 713-2026")</f>
        <v/>
      </c>
      <c r="AB49">
        <f>HYPERLINK("https://klasma.github.io/Logging_0680/klagomålsmail/S 713-2026 FSC-klagomål mail.docx", "S 713-2026")</f>
        <v/>
      </c>
      <c r="AC49">
        <f>HYPERLINK("https://klasma.github.io/Logging_0680/tillsyn/S 713-2026 tillsynsbegäran.docx", "S 713-2026")</f>
        <v/>
      </c>
      <c r="AD49">
        <f>HYPERLINK("https://klasma.github.io/Logging_0680/tillsynsmail/S 713-2026 tillsynsbegäran mail.docx", "S 713-2026")</f>
        <v/>
      </c>
    </row>
    <row r="50" ht="15" customHeight="1">
      <c r="A50" t="inlineStr">
        <is>
          <t>A 3361-2025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45679</v>
      </c>
      <c r="E50" s="1" t="n">
        <v>46310</v>
      </c>
      <c r="F50" t="inlineStr">
        <is>
          <t>JÖNKÖPINGS LÄN</t>
        </is>
      </c>
      <c r="G50" t="inlineStr">
        <is>
          <t>JÖNKÖPING</t>
        </is>
      </c>
      <c r="I50" t="n">
        <v>1.3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2</v>
      </c>
      <c r="T50" t="n">
        <v>4</v>
      </c>
      <c r="U50" t="n">
        <v>2</v>
      </c>
      <c r="V50" s="2" t="inlineStr">
        <is>
          <t>Vårärt
Blåsippa</t>
        </is>
      </c>
      <c r="W50">
        <f>HYPERLINK("https://klasma.github.io/Logging_0680/artfynd/A 3361-2025 artfynd.xlsx", "A 3361-2025")</f>
        <v/>
      </c>
      <c r="X50">
        <f>HYPERLINK("https://klasma.github.io/Logging_0680/kartor/A 3361-2025 karta.png", "A 3361-2025")</f>
        <v/>
      </c>
      <c r="Y50">
        <f>HYPERLINK("https://klasma.github.io/Logging_0680/kartor_geotiff/A 3361-2025 georefererad karta.tif", "A 3361-2025")</f>
        <v/>
      </c>
      <c r="AA50">
        <f>HYPERLINK("https://klasma.github.io/Logging_0680/klagomål/A 3361-2025 FSC-klagomål.docx", "A 3361-2025")</f>
        <v/>
      </c>
      <c r="AB50">
        <f>HYPERLINK("https://klasma.github.io/Logging_0680/klagomålsmail/A 3361-2025 FSC-klagomål mail.docx", "A 3361-2025")</f>
        <v/>
      </c>
      <c r="AC50">
        <f>HYPERLINK("https://klasma.github.io/Logging_0680/tillsyn/A 3361-2025 tillsynsbegäran.docx", "A 3361-2025")</f>
        <v/>
      </c>
      <c r="AD50">
        <f>HYPERLINK("https://klasma.github.io/Logging_0680/tillsynsmail/A 3361-2025 tillsynsbegäran mail.docx", "A 3361-2025")</f>
        <v/>
      </c>
    </row>
    <row r="51" ht="15" customHeight="1">
      <c r="A51" t="inlineStr">
        <is>
          <t>A 9974-2023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44979</v>
      </c>
      <c r="E51" s="1" t="n">
        <v>46310</v>
      </c>
      <c r="F51" t="inlineStr">
        <is>
          <t>JÖNKÖPINGS LÄN</t>
        </is>
      </c>
      <c r="G51" t="inlineStr">
        <is>
          <t>JÖNKÖPING</t>
        </is>
      </c>
      <c r="I51" t="n">
        <v>1.2</v>
      </c>
      <c r="J51" t="n">
        <v>2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2</v>
      </c>
      <c r="T51" t="n">
        <v>2</v>
      </c>
      <c r="U51" t="n">
        <v>2</v>
      </c>
      <c r="V51" s="2" t="inlineStr">
        <is>
          <t>Entita
Kungsfågel</t>
        </is>
      </c>
      <c r="W51">
        <f>HYPERLINK("https://klasma.github.io/Logging_0680/artfynd/A 9974-2023 artfynd.xlsx", "A 9974-2023")</f>
        <v/>
      </c>
      <c r="X51">
        <f>HYPERLINK("https://klasma.github.io/Logging_0680/kartor/A 9974-2023 karta.png", "A 9974-2023")</f>
        <v/>
      </c>
      <c r="Y51">
        <f>HYPERLINK("https://klasma.github.io/Logging_0680/kartor_geotiff/A 9974-2023 georefererad karta.tif", "A 9974-2023")</f>
        <v/>
      </c>
      <c r="AA51">
        <f>HYPERLINK("https://klasma.github.io/Logging_0680/klagomål/A 9974-2023 FSC-klagomål.docx", "A 9974-2023")</f>
        <v/>
      </c>
      <c r="AB51">
        <f>HYPERLINK("https://klasma.github.io/Logging_0680/klagomålsmail/A 9974-2023 FSC-klagomål mail.docx", "A 9974-2023")</f>
        <v/>
      </c>
      <c r="AC51">
        <f>HYPERLINK("https://klasma.github.io/Logging_0680/tillsyn/A 9974-2023 tillsynsbegäran.docx", "A 9974-2023")</f>
        <v/>
      </c>
      <c r="AD51">
        <f>HYPERLINK("https://klasma.github.io/Logging_0680/tillsynsmail/A 9974-2023 tillsynsbegäran mail.docx", "A 9974-2023")</f>
        <v/>
      </c>
      <c r="AE51">
        <f>HYPERLINK("https://klasma.github.io/Logging_0680/fåglar/A 9974-2023 prioriterade fågelarter.docx", "A 9974-2023")</f>
        <v/>
      </c>
    </row>
    <row r="52" ht="15" customHeight="1">
      <c r="A52" t="inlineStr">
        <is>
          <t>A 45917-2024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45580</v>
      </c>
      <c r="E52" s="1" t="n">
        <v>46310</v>
      </c>
      <c r="F52" t="inlineStr">
        <is>
          <t>JÖNKÖPINGS LÄN</t>
        </is>
      </c>
      <c r="G52" t="inlineStr">
        <is>
          <t>JÖNKÖPING</t>
        </is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2</v>
      </c>
      <c r="T52" t="n">
        <v>2</v>
      </c>
      <c r="U52" t="n">
        <v>0</v>
      </c>
      <c r="V52" s="2" t="inlineStr">
        <is>
          <t>Lunglav
Grön sköldmossa</t>
        </is>
      </c>
      <c r="W52">
        <f>HYPERLINK("https://klasma.github.io/Logging_0680/artfynd/A 45917-2024 artfynd.xlsx", "A 45917-2024")</f>
        <v/>
      </c>
      <c r="X52">
        <f>HYPERLINK("https://klasma.github.io/Logging_0680/kartor/A 45917-2024 karta.png", "A 45917-2024")</f>
        <v/>
      </c>
      <c r="Y52">
        <f>HYPERLINK("https://klasma.github.io/Logging_0680/kartor_geotiff/A 45917-2024 georefererad karta.tif", "A 45917-2024")</f>
        <v/>
      </c>
      <c r="AA52">
        <f>HYPERLINK("https://klasma.github.io/Logging_0680/klagomål/A 45917-2024 FSC-klagomål.docx", "A 45917-2024")</f>
        <v/>
      </c>
      <c r="AB52">
        <f>HYPERLINK("https://klasma.github.io/Logging_0680/klagomålsmail/A 45917-2024 FSC-klagomål mail.docx", "A 45917-2024")</f>
        <v/>
      </c>
      <c r="AC52">
        <f>HYPERLINK("https://klasma.github.io/Logging_0680/tillsyn/A 45917-2024 tillsynsbegäran.docx", "A 45917-2024")</f>
        <v/>
      </c>
      <c r="AD52">
        <f>HYPERLINK("https://klasma.github.io/Logging_0680/tillsynsmail/A 45917-2024 tillsynsbegäran mail.docx", "A 45917-2024")</f>
        <v/>
      </c>
    </row>
    <row r="53" ht="15" customHeight="1">
      <c r="A53" t="inlineStr">
        <is>
          <t>A 51183-2024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45603</v>
      </c>
      <c r="E53" s="1" t="n">
        <v>46310</v>
      </c>
      <c r="F53" t="inlineStr">
        <is>
          <t>JÖNKÖPINGS LÄN</t>
        </is>
      </c>
      <c r="G53" t="inlineStr">
        <is>
          <t>JÖNKÖPING</t>
        </is>
      </c>
      <c r="I53" t="n">
        <v>5.9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2</v>
      </c>
      <c r="U53" t="n">
        <v>0</v>
      </c>
      <c r="V53" s="2" t="inlineStr">
        <is>
          <t>Sångsvan
Trana</t>
        </is>
      </c>
      <c r="W53">
        <f>HYPERLINK("https://klasma.github.io/Logging_0680/artfynd/A 51183-2024 artfynd.xlsx", "A 51183-2024")</f>
        <v/>
      </c>
      <c r="X53">
        <f>HYPERLINK("https://klasma.github.io/Logging_0680/kartor/A 51183-2024 karta.png", "A 51183-2024")</f>
        <v/>
      </c>
      <c r="Y53">
        <f>HYPERLINK("https://klasma.github.io/Logging_0680/kartor_geotiff/A 51183-2024 georefererad karta.tif", "A 51183-2024")</f>
        <v/>
      </c>
      <c r="AA53">
        <f>HYPERLINK("https://klasma.github.io/Logging_0680/klagomål/A 51183-2024 FSC-klagomål.docx", "A 51183-2024")</f>
        <v/>
      </c>
      <c r="AB53">
        <f>HYPERLINK("https://klasma.github.io/Logging_0680/klagomålsmail/A 51183-2024 FSC-klagomål mail.docx", "A 51183-2024")</f>
        <v/>
      </c>
      <c r="AC53">
        <f>HYPERLINK("https://klasma.github.io/Logging_0680/tillsyn/A 51183-2024 tillsynsbegäran.docx", "A 51183-2024")</f>
        <v/>
      </c>
      <c r="AD53">
        <f>HYPERLINK("https://klasma.github.io/Logging_0680/tillsynsmail/A 51183-2024 tillsynsbegäran mail.docx", "A 51183-2024")</f>
        <v/>
      </c>
      <c r="AE53">
        <f>HYPERLINK("https://klasma.github.io/Logging_0680/fåglar/A 51183-2024 prioriterade fågelarter.docx", "A 51183-2024")</f>
        <v/>
      </c>
    </row>
    <row r="54" ht="15" customHeight="1">
      <c r="A54" t="inlineStr">
        <is>
          <t>A 37016-2024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45539</v>
      </c>
      <c r="E54" s="1" t="n">
        <v>46310</v>
      </c>
      <c r="F54" t="inlineStr">
        <is>
          <t>JÖNKÖPINGS LÄN</t>
        </is>
      </c>
      <c r="G54" t="inlineStr">
        <is>
          <t>JÖNKÖPING</t>
        </is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2</v>
      </c>
      <c r="T54" t="n">
        <v>2</v>
      </c>
      <c r="U54" t="n">
        <v>2</v>
      </c>
      <c r="V54" s="2" t="inlineStr">
        <is>
          <t>Vårärt
Tibast</t>
        </is>
      </c>
      <c r="W54">
        <f>HYPERLINK("https://klasma.github.io/Logging_0680/artfynd/A 37016-2024 artfynd.xlsx", "A 37016-2024")</f>
        <v/>
      </c>
      <c r="X54">
        <f>HYPERLINK("https://klasma.github.io/Logging_0680/kartor/A 37016-2024 karta.png", "A 37016-2024")</f>
        <v/>
      </c>
      <c r="Y54">
        <f>HYPERLINK("https://klasma.github.io/Logging_0680/kartor_geotiff/A 37016-2024 georefererad karta.tif", "A 37016-2024")</f>
        <v/>
      </c>
      <c r="AA54">
        <f>HYPERLINK("https://klasma.github.io/Logging_0680/klagomål/A 37016-2024 FSC-klagomål.docx", "A 37016-2024")</f>
        <v/>
      </c>
      <c r="AB54">
        <f>HYPERLINK("https://klasma.github.io/Logging_0680/klagomålsmail/A 37016-2024 FSC-klagomål mail.docx", "A 37016-2024")</f>
        <v/>
      </c>
      <c r="AC54">
        <f>HYPERLINK("https://klasma.github.io/Logging_0680/tillsyn/A 37016-2024 tillsynsbegäran.docx", "A 37016-2024")</f>
        <v/>
      </c>
      <c r="AD54">
        <f>HYPERLINK("https://klasma.github.io/Logging_0680/tillsynsmail/A 37016-2024 tillsynsbegäran mail.docx", "A 37016-2024")</f>
        <v/>
      </c>
    </row>
    <row r="55" ht="15" customHeight="1">
      <c r="A55" t="inlineStr">
        <is>
          <t>A 5291-2024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45331</v>
      </c>
      <c r="E55" s="1" t="n">
        <v>46310</v>
      </c>
      <c r="F55" t="inlineStr">
        <is>
          <t>JÖNKÖPINGS LÄN</t>
        </is>
      </c>
      <c r="G55" t="inlineStr">
        <is>
          <t>JÖNKÖPING</t>
        </is>
      </c>
      <c r="I55" t="n">
        <v>8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2</v>
      </c>
      <c r="T55" t="n">
        <v>3</v>
      </c>
      <c r="U55" t="n">
        <v>3</v>
      </c>
      <c r="V55" s="2" t="inlineStr">
        <is>
          <t>Jungfrulin
Grönvit nattviol</t>
        </is>
      </c>
      <c r="W55">
        <f>HYPERLINK("https://klasma.github.io/Logging_0680/artfynd/A 5291-2024 artfynd.xlsx", "A 5291-2024")</f>
        <v/>
      </c>
      <c r="X55">
        <f>HYPERLINK("https://klasma.github.io/Logging_0680/kartor/A 5291-2024 karta.png", "A 5291-2024")</f>
        <v/>
      </c>
      <c r="Y55">
        <f>HYPERLINK("https://klasma.github.io/Logging_0680/kartor_geotiff/A 5291-2024 georefererad karta.tif", "A 5291-2024")</f>
        <v/>
      </c>
      <c r="AA55">
        <f>HYPERLINK("https://klasma.github.io/Logging_0680/klagomål/A 5291-2024 FSC-klagomål.docx", "A 5291-2024")</f>
        <v/>
      </c>
      <c r="AB55">
        <f>HYPERLINK("https://klasma.github.io/Logging_0680/klagomålsmail/A 5291-2024 FSC-klagomål mail.docx", "A 5291-2024")</f>
        <v/>
      </c>
      <c r="AC55">
        <f>HYPERLINK("https://klasma.github.io/Logging_0680/tillsyn/A 5291-2024 tillsynsbegäran.docx", "A 5291-2024")</f>
        <v/>
      </c>
      <c r="AD55">
        <f>HYPERLINK("https://klasma.github.io/Logging_0680/tillsynsmail/A 5291-2024 tillsynsbegäran mail.docx", "A 5291-2024")</f>
        <v/>
      </c>
    </row>
    <row r="56" ht="15" customHeight="1">
      <c r="A56" t="inlineStr">
        <is>
          <t>A 51385-2025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45947</v>
      </c>
      <c r="E56" s="1" t="n">
        <v>46310</v>
      </c>
      <c r="F56" t="inlineStr">
        <is>
          <t>JÖNKÖPINGS LÄN</t>
        </is>
      </c>
      <c r="G56" t="inlineStr">
        <is>
          <t>JÖNKÖPING</t>
        </is>
      </c>
      <c r="I56" t="n">
        <v>5.2</v>
      </c>
      <c r="J56" t="n">
        <v>0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2</v>
      </c>
      <c r="T56" t="n">
        <v>2</v>
      </c>
      <c r="U56" t="n">
        <v>0</v>
      </c>
      <c r="V56" s="2" t="inlineStr">
        <is>
          <t>Gullklöver
Klofibbla</t>
        </is>
      </c>
      <c r="W56">
        <f>HYPERLINK("https://klasma.github.io/Logging_0680/artfynd/A 51385-2025 artfynd.xlsx", "A 51385-2025")</f>
        <v/>
      </c>
      <c r="X56">
        <f>HYPERLINK("https://klasma.github.io/Logging_0680/kartor/A 51385-2025 karta.png", "A 51385-2025")</f>
        <v/>
      </c>
      <c r="Y56">
        <f>HYPERLINK("https://klasma.github.io/Logging_0680/kartor_geotiff/A 51385-2025 georefererad karta.tif", "A 51385-2025")</f>
        <v/>
      </c>
      <c r="AA56">
        <f>HYPERLINK("https://klasma.github.io/Logging_0680/klagomål/A 51385-2025 FSC-klagomål.docx", "A 51385-2025")</f>
        <v/>
      </c>
      <c r="AB56">
        <f>HYPERLINK("https://klasma.github.io/Logging_0680/klagomålsmail/A 51385-2025 FSC-klagomål mail.docx", "A 51385-2025")</f>
        <v/>
      </c>
      <c r="AC56">
        <f>HYPERLINK("https://klasma.github.io/Logging_0680/tillsyn/A 51385-2025 tillsynsbegäran.docx", "A 51385-2025")</f>
        <v/>
      </c>
      <c r="AD56">
        <f>HYPERLINK("https://klasma.github.io/Logging_0680/tillsynsmail/A 51385-2025 tillsynsbegäran mail.docx", "A 51385-2025")</f>
        <v/>
      </c>
    </row>
    <row r="57" ht="15" customHeight="1">
      <c r="A57" t="inlineStr">
        <is>
          <t>A 22303-2024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45446</v>
      </c>
      <c r="E57" s="1" t="n">
        <v>46310</v>
      </c>
      <c r="F57" t="inlineStr">
        <is>
          <t>JÖNKÖPINGS LÄN</t>
        </is>
      </c>
      <c r="G57" t="inlineStr">
        <is>
          <t>JÖNKÖPING</t>
        </is>
      </c>
      <c r="I57" t="n">
        <v>4.1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2</v>
      </c>
      <c r="T57" t="n">
        <v>2</v>
      </c>
      <c r="U57" t="n">
        <v>0</v>
      </c>
      <c r="V57" s="2" t="inlineStr">
        <is>
          <t>Jungfrulin
Grönvit nattviol</t>
        </is>
      </c>
      <c r="W57">
        <f>HYPERLINK("https://klasma.github.io/Logging_0680/artfynd/A 22303-2024 artfynd.xlsx", "A 22303-2024")</f>
        <v/>
      </c>
      <c r="X57">
        <f>HYPERLINK("https://klasma.github.io/Logging_0680/kartor/A 22303-2024 karta.png", "A 22303-2024")</f>
        <v/>
      </c>
      <c r="Y57">
        <f>HYPERLINK("https://klasma.github.io/Logging_0680/kartor_geotiff/A 22303-2024 georefererad karta.tif", "A 22303-2024")</f>
        <v/>
      </c>
      <c r="AA57">
        <f>HYPERLINK("https://klasma.github.io/Logging_0680/klagomål/A 22303-2024 FSC-klagomål.docx", "A 22303-2024")</f>
        <v/>
      </c>
      <c r="AB57">
        <f>HYPERLINK("https://klasma.github.io/Logging_0680/klagomålsmail/A 22303-2024 FSC-klagomål mail.docx", "A 22303-2024")</f>
        <v/>
      </c>
      <c r="AC57">
        <f>HYPERLINK("https://klasma.github.io/Logging_0680/tillsyn/A 22303-2024 tillsynsbegäran.docx", "A 22303-2024")</f>
        <v/>
      </c>
      <c r="AD57">
        <f>HYPERLINK("https://klasma.github.io/Logging_0680/tillsynsmail/A 22303-2024 tillsynsbegäran mail.docx", "A 22303-2024")</f>
        <v/>
      </c>
    </row>
    <row r="58" ht="15" customHeight="1">
      <c r="A58" t="inlineStr">
        <is>
          <t>A 11623-2024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45373</v>
      </c>
      <c r="E58" s="1" t="n">
        <v>46310</v>
      </c>
      <c r="F58" t="inlineStr">
        <is>
          <t>JÖNKÖPINGS LÄN</t>
        </is>
      </c>
      <c r="G58" t="inlineStr">
        <is>
          <t>JÖNKÖPING</t>
        </is>
      </c>
      <c r="I58" t="n">
        <v>0.7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2</v>
      </c>
      <c r="T58" t="n">
        <v>2</v>
      </c>
      <c r="U58" t="n">
        <v>2</v>
      </c>
      <c r="V58" s="2" t="inlineStr">
        <is>
          <t>Sexfläckig bastardsvärmare
Ängsmetallvinge</t>
        </is>
      </c>
      <c r="W58">
        <f>HYPERLINK("https://klasma.github.io/Logging_0680/artfynd/A 11623-2024 artfynd.xlsx", "A 11623-2024")</f>
        <v/>
      </c>
      <c r="X58">
        <f>HYPERLINK("https://klasma.github.io/Logging_0680/kartor/A 11623-2024 karta.png", "A 11623-2024")</f>
        <v/>
      </c>
      <c r="Y58">
        <f>HYPERLINK("https://klasma.github.io/Logging_0680/kartor_geotiff/A 11623-2024 georefererad karta.tif", "A 11623-2024")</f>
        <v/>
      </c>
      <c r="AA58">
        <f>HYPERLINK("https://klasma.github.io/Logging_0680/klagomål/A 11623-2024 FSC-klagomål.docx", "A 11623-2024")</f>
        <v/>
      </c>
      <c r="AB58">
        <f>HYPERLINK("https://klasma.github.io/Logging_0680/klagomålsmail/A 11623-2024 FSC-klagomål mail.docx", "A 11623-2024")</f>
        <v/>
      </c>
      <c r="AC58">
        <f>HYPERLINK("https://klasma.github.io/Logging_0680/tillsyn/A 11623-2024 tillsynsbegäran.docx", "A 11623-2024")</f>
        <v/>
      </c>
      <c r="AD58">
        <f>HYPERLINK("https://klasma.github.io/Logging_0680/tillsynsmail/A 11623-2024 tillsynsbegäran mail.docx", "A 11623-2024")</f>
        <v/>
      </c>
    </row>
    <row r="59" ht="15" customHeight="1">
      <c r="A59" t="inlineStr">
        <is>
          <t>A 2486-2023</t>
        </is>
      </c>
      <c r="B59" t="inlineStr">
        <is>
          <t>avverkningsanmälan</t>
        </is>
      </c>
      <c r="C59" t="inlineStr">
        <is>
          <t>Avverkning för annat ändamål</t>
        </is>
      </c>
      <c r="D59" s="1" t="n">
        <v>44943</v>
      </c>
      <c r="E59" s="1" t="n">
        <v>46310</v>
      </c>
      <c r="F59" t="inlineStr">
        <is>
          <t>JÖNKÖPINGS LÄN</t>
        </is>
      </c>
      <c r="G59" t="inlineStr">
        <is>
          <t>JÖNKÖPING</t>
        </is>
      </c>
      <c r="I59" t="n">
        <v>2.5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2</v>
      </c>
      <c r="T59" t="n">
        <v>2</v>
      </c>
      <c r="U59" t="n">
        <v>0</v>
      </c>
      <c r="V59" s="2" t="inlineStr">
        <is>
          <t>Solvända
Fällmossa</t>
        </is>
      </c>
      <c r="W59">
        <f>HYPERLINK("https://klasma.github.io/Logging_0680/artfynd/A 2486-2023 artfynd.xlsx", "A 2486-2023")</f>
        <v/>
      </c>
      <c r="X59">
        <f>HYPERLINK("https://klasma.github.io/Logging_0680/kartor/A 2486-2023 karta.png", "A 2486-2023")</f>
        <v/>
      </c>
      <c r="Y59">
        <f>HYPERLINK("https://klasma.github.io/Logging_0680/kartor_geotiff/A 2486-2023 georefererad karta.tif", "A 2486-2023")</f>
        <v/>
      </c>
      <c r="AA59">
        <f>HYPERLINK("https://klasma.github.io/Logging_0680/klagomål/A 2486-2023 FSC-klagomål.docx", "A 2486-2023")</f>
        <v/>
      </c>
      <c r="AB59">
        <f>HYPERLINK("https://klasma.github.io/Logging_0680/klagomålsmail/A 2486-2023 FSC-klagomål mail.docx", "A 2486-2023")</f>
        <v/>
      </c>
      <c r="AC59">
        <f>HYPERLINK("https://klasma.github.io/Logging_0680/tillsyn/A 2486-2023 tillsynsbegäran.docx", "A 2486-2023")</f>
        <v/>
      </c>
      <c r="AD59">
        <f>HYPERLINK("https://klasma.github.io/Logging_0680/tillsynsmail/A 2486-2023 tillsynsbegäran mail.docx", "A 2486-2023")</f>
        <v/>
      </c>
    </row>
    <row r="60" ht="15" customHeight="1">
      <c r="A60" t="inlineStr">
        <is>
          <t>A 4810-2026</t>
        </is>
      </c>
      <c r="B60" t="inlineStr">
        <is>
          <t>avverkningsanmälan</t>
        </is>
      </c>
      <c r="C60" t="inlineStr">
        <is>
          <t>Avverkning för annat ändamål</t>
        </is>
      </c>
      <c r="D60" s="1" t="n">
        <v>46048</v>
      </c>
      <c r="E60" s="1" t="n">
        <v>46310</v>
      </c>
      <c r="F60" t="inlineStr">
        <is>
          <t>JÖNKÖPINGS LÄN</t>
        </is>
      </c>
      <c r="G60" t="inlineStr">
        <is>
          <t>JÖNKÖPING</t>
        </is>
      </c>
      <c r="I60" t="n">
        <v>0.4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2</v>
      </c>
      <c r="T60" t="n">
        <v>4</v>
      </c>
      <c r="U60" t="n">
        <v>2</v>
      </c>
      <c r="V60" s="2" t="inlineStr">
        <is>
          <t>Svinrot
Gullviva</t>
        </is>
      </c>
      <c r="W60">
        <f>HYPERLINK("https://klasma.github.io/Logging_0680/artfynd/A 4810-2026 artfynd.xlsx", "A 4810-2026")</f>
        <v/>
      </c>
      <c r="X60">
        <f>HYPERLINK("https://klasma.github.io/Logging_0680/kartor/A 4810-2026 karta.png", "A 4810-2026")</f>
        <v/>
      </c>
      <c r="Y60">
        <f>HYPERLINK("https://klasma.github.io/Logging_0680/kartor_geotiff/A 4810-2026 georefererad karta.tif", "A 4810-2026")</f>
        <v/>
      </c>
      <c r="AA60">
        <f>HYPERLINK("https://klasma.github.io/Logging_0680/klagomål/A 4810-2026 FSC-klagomål.docx", "A 4810-2026")</f>
        <v/>
      </c>
      <c r="AB60">
        <f>HYPERLINK("https://klasma.github.io/Logging_0680/klagomålsmail/A 4810-2026 FSC-klagomål mail.docx", "A 4810-2026")</f>
        <v/>
      </c>
      <c r="AC60">
        <f>HYPERLINK("https://klasma.github.io/Logging_0680/tillsyn/A 4810-2026 tillsynsbegäran.docx", "A 4810-2026")</f>
        <v/>
      </c>
      <c r="AD60">
        <f>HYPERLINK("https://klasma.github.io/Logging_0680/tillsynsmail/A 4810-2026 tillsynsbegäran mail.docx", "A 4810-2026")</f>
        <v/>
      </c>
    </row>
    <row r="61" ht="15" customHeight="1">
      <c r="A61" t="inlineStr">
        <is>
          <t>A 5125-2026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46049</v>
      </c>
      <c r="E61" s="1" t="n">
        <v>46310</v>
      </c>
      <c r="F61" t="inlineStr">
        <is>
          <t>JÖNKÖPINGS LÄN</t>
        </is>
      </c>
      <c r="G61" t="inlineStr">
        <is>
          <t>JÖNKÖPING</t>
        </is>
      </c>
      <c r="I61" t="n">
        <v>0.6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0</v>
      </c>
      <c r="S61" t="n">
        <v>2</v>
      </c>
      <c r="T61" t="n">
        <v>2</v>
      </c>
      <c r="U61" t="n">
        <v>0</v>
      </c>
      <c r="V61" s="2" t="inlineStr">
        <is>
          <t>Sommarfibbla
Svinrot</t>
        </is>
      </c>
      <c r="W61">
        <f>HYPERLINK("https://klasma.github.io/Logging_0680/artfynd/A 5125-2026 artfynd.xlsx", "A 5125-2026")</f>
        <v/>
      </c>
      <c r="X61">
        <f>HYPERLINK("https://klasma.github.io/Logging_0680/kartor/A 5125-2026 karta.png", "A 5125-2026")</f>
        <v/>
      </c>
      <c r="Y61">
        <f>HYPERLINK("https://klasma.github.io/Logging_0680/kartor_geotiff/A 5125-2026 georefererad karta.tif", "A 5125-2026")</f>
        <v/>
      </c>
      <c r="AA61">
        <f>HYPERLINK("https://klasma.github.io/Logging_0680/klagomål/A 5125-2026 FSC-klagomål.docx", "A 5125-2026")</f>
        <v/>
      </c>
      <c r="AB61">
        <f>HYPERLINK("https://klasma.github.io/Logging_0680/klagomålsmail/A 5125-2026 FSC-klagomål mail.docx", "A 5125-2026")</f>
        <v/>
      </c>
      <c r="AC61">
        <f>HYPERLINK("https://klasma.github.io/Logging_0680/tillsyn/A 5125-2026 tillsynsbegäran.docx", "A 5125-2026")</f>
        <v/>
      </c>
      <c r="AD61">
        <f>HYPERLINK("https://klasma.github.io/Logging_0680/tillsynsmail/A 5125-2026 tillsynsbegäran mail.docx", "A 5125-2026")</f>
        <v/>
      </c>
    </row>
    <row r="62" ht="15" customHeight="1">
      <c r="A62" t="inlineStr">
        <is>
          <t>A 36799-2024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45538</v>
      </c>
      <c r="E62" s="1" t="n">
        <v>46310</v>
      </c>
      <c r="F62" t="inlineStr">
        <is>
          <t>JÖNKÖPINGS LÄN</t>
        </is>
      </c>
      <c r="G62" t="inlineStr">
        <is>
          <t>JÖNKÖPING</t>
        </is>
      </c>
      <c r="I62" t="n">
        <v>1.1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2</v>
      </c>
      <c r="T62" t="n">
        <v>2</v>
      </c>
      <c r="U62" t="n">
        <v>0</v>
      </c>
      <c r="V62" s="2" t="inlineStr">
        <is>
          <t>Svinrot
Grönpyrola</t>
        </is>
      </c>
      <c r="W62">
        <f>HYPERLINK("https://klasma.github.io/Logging_0680/artfynd/A 36799-2024 artfynd.xlsx", "A 36799-2024")</f>
        <v/>
      </c>
      <c r="X62">
        <f>HYPERLINK("https://klasma.github.io/Logging_0680/kartor/A 36799-2024 karta.png", "A 36799-2024")</f>
        <v/>
      </c>
      <c r="Y62">
        <f>HYPERLINK("https://klasma.github.io/Logging_0680/kartor_geotiff/A 36799-2024 georefererad karta.tif", "A 36799-2024")</f>
        <v/>
      </c>
      <c r="AA62">
        <f>HYPERLINK("https://klasma.github.io/Logging_0680/klagomål/A 36799-2024 FSC-klagomål.docx", "A 36799-2024")</f>
        <v/>
      </c>
      <c r="AB62">
        <f>HYPERLINK("https://klasma.github.io/Logging_0680/klagomålsmail/A 36799-2024 FSC-klagomål mail.docx", "A 36799-2024")</f>
        <v/>
      </c>
      <c r="AC62">
        <f>HYPERLINK("https://klasma.github.io/Logging_0680/tillsyn/A 36799-2024 tillsynsbegäran.docx", "A 36799-2024")</f>
        <v/>
      </c>
      <c r="AD62">
        <f>HYPERLINK("https://klasma.github.io/Logging_0680/tillsynsmail/A 36799-2024 tillsynsbegäran mail.docx", "A 36799-2024")</f>
        <v/>
      </c>
    </row>
    <row r="63" ht="15" customHeight="1">
      <c r="A63" t="inlineStr">
        <is>
          <t>A 1235-2024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45302</v>
      </c>
      <c r="E63" s="1" t="n">
        <v>46310</v>
      </c>
      <c r="F63" t="inlineStr">
        <is>
          <t>JÖNKÖPINGS LÄN</t>
        </is>
      </c>
      <c r="G63" t="inlineStr">
        <is>
          <t>JÖNKÖPING</t>
        </is>
      </c>
      <c r="I63" t="n">
        <v>2.8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2</v>
      </c>
      <c r="R63" t="n">
        <v>1</v>
      </c>
      <c r="S63" t="n">
        <v>2</v>
      </c>
      <c r="T63" t="n">
        <v>3</v>
      </c>
      <c r="U63" t="n">
        <v>0</v>
      </c>
      <c r="V63" s="2" t="inlineStr">
        <is>
          <t>Lakritsmusseron
Dropptaggsvamp</t>
        </is>
      </c>
      <c r="W63">
        <f>HYPERLINK("https://klasma.github.io/Logging_0680/artfynd/A 1235-2024 artfynd.xlsx", "A 1235-2024")</f>
        <v/>
      </c>
      <c r="X63">
        <f>HYPERLINK("https://klasma.github.io/Logging_0680/kartor/A 1235-2024 karta.png", "A 1235-2024")</f>
        <v/>
      </c>
      <c r="Y63">
        <f>HYPERLINK("https://klasma.github.io/Logging_0680/kartor_geotiff/A 1235-2024 georefererad karta.tif", "A 1235-2024")</f>
        <v/>
      </c>
      <c r="AA63">
        <f>HYPERLINK("https://klasma.github.io/Logging_0680/klagomål/A 1235-2024 FSC-klagomål.docx", "A 1235-2024")</f>
        <v/>
      </c>
      <c r="AB63">
        <f>HYPERLINK("https://klasma.github.io/Logging_0680/klagomålsmail/A 1235-2024 FSC-klagomål mail.docx", "A 1235-2024")</f>
        <v/>
      </c>
      <c r="AC63">
        <f>HYPERLINK("https://klasma.github.io/Logging_0680/tillsyn/A 1235-2024 tillsynsbegäran.docx", "A 1235-2024")</f>
        <v/>
      </c>
      <c r="AD63">
        <f>HYPERLINK("https://klasma.github.io/Logging_0680/tillsynsmail/A 1235-2024 tillsynsbegäran mail.docx", "A 1235-2024")</f>
        <v/>
      </c>
    </row>
    <row r="64" ht="15" customHeight="1">
      <c r="A64" t="inlineStr">
        <is>
          <t>A 25071-2026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46174</v>
      </c>
      <c r="E64" s="1" t="n">
        <v>46310</v>
      </c>
      <c r="F64" t="inlineStr">
        <is>
          <t>JÖNKÖPINGS LÄN</t>
        </is>
      </c>
      <c r="G64" t="inlineStr">
        <is>
          <t>JÖNKÖPING</t>
        </is>
      </c>
      <c r="H64" t="inlineStr">
        <is>
          <t>Sveaskog</t>
        </is>
      </c>
      <c r="I64" t="n">
        <v>4.9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</v>
      </c>
      <c r="T64" t="n">
        <v>2</v>
      </c>
      <c r="U64" t="n">
        <v>0</v>
      </c>
      <c r="V64" s="2" t="inlineStr">
        <is>
          <t>Nattskärra
Tjäder</t>
        </is>
      </c>
      <c r="W64">
        <f>HYPERLINK("https://klasma.github.io/Logging_0680/artfynd/A 25071-2026 artfynd.xlsx", "A 25071-2026")</f>
        <v/>
      </c>
      <c r="X64">
        <f>HYPERLINK("https://klasma.github.io/Logging_0680/kartor/A 25071-2026 karta.png", "A 25071-2026")</f>
        <v/>
      </c>
      <c r="Y64">
        <f>HYPERLINK("https://klasma.github.io/Logging_0680/kartor_geotiff/A 25071-2026 georefererad karta.tif", "A 25071-2026")</f>
        <v/>
      </c>
      <c r="AA64">
        <f>HYPERLINK("https://klasma.github.io/Logging_0680/klagomål/A 25071-2026 FSC-klagomål.docx", "A 25071-2026")</f>
        <v/>
      </c>
      <c r="AB64">
        <f>HYPERLINK("https://klasma.github.io/Logging_0680/klagomålsmail/A 25071-2026 FSC-klagomål mail.docx", "A 25071-2026")</f>
        <v/>
      </c>
      <c r="AC64">
        <f>HYPERLINK("https://klasma.github.io/Logging_0680/tillsyn/A 25071-2026 tillsynsbegäran.docx", "A 25071-2026")</f>
        <v/>
      </c>
      <c r="AD64">
        <f>HYPERLINK("https://klasma.github.io/Logging_0680/tillsynsmail/A 25071-2026 tillsynsbegäran mail.docx", "A 25071-2026")</f>
        <v/>
      </c>
      <c r="AE64">
        <f>HYPERLINK("https://klasma.github.io/Logging_0680/fåglar/A 25071-2026 prioriterade fågelarter.docx", "A 25071-2026")</f>
        <v/>
      </c>
    </row>
    <row r="65" ht="15" customHeight="1">
      <c r="A65" t="inlineStr">
        <is>
          <t>A 28211-2026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46196</v>
      </c>
      <c r="E65" s="1" t="n">
        <v>46310</v>
      </c>
      <c r="F65" t="inlineStr">
        <is>
          <t>JÖNKÖPINGS LÄN</t>
        </is>
      </c>
      <c r="G65" t="inlineStr">
        <is>
          <t>JÖNKÖPING</t>
        </is>
      </c>
      <c r="H65" t="inlineStr">
        <is>
          <t>Sveaskog</t>
        </is>
      </c>
      <c r="I65" t="n">
        <v>2.4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0</v>
      </c>
      <c r="S65" t="n">
        <v>2</v>
      </c>
      <c r="T65" t="n">
        <v>2</v>
      </c>
      <c r="U65" t="n">
        <v>0</v>
      </c>
      <c r="V65" s="2" t="inlineStr">
        <is>
          <t>Backtimjan
Solvända</t>
        </is>
      </c>
      <c r="W65">
        <f>HYPERLINK("https://klasma.github.io/Logging_0680/artfynd/A 28211-2026 artfynd.xlsx", "A 28211-2026")</f>
        <v/>
      </c>
      <c r="X65">
        <f>HYPERLINK("https://klasma.github.io/Logging_0680/kartor/A 28211-2026 karta.png", "A 28211-2026")</f>
        <v/>
      </c>
      <c r="Y65">
        <f>HYPERLINK("https://klasma.github.io/Logging_0680/kartor_geotiff/A 28211-2026 georefererad karta.tif", "A 28211-2026")</f>
        <v/>
      </c>
      <c r="AA65">
        <f>HYPERLINK("https://klasma.github.io/Logging_0680/klagomål/A 28211-2026 FSC-klagomål.docx", "A 28211-2026")</f>
        <v/>
      </c>
      <c r="AB65">
        <f>HYPERLINK("https://klasma.github.io/Logging_0680/klagomålsmail/A 28211-2026 FSC-klagomål mail.docx", "A 28211-2026")</f>
        <v/>
      </c>
      <c r="AC65">
        <f>HYPERLINK("https://klasma.github.io/Logging_0680/tillsyn/A 28211-2026 tillsynsbegäran.docx", "A 28211-2026")</f>
        <v/>
      </c>
      <c r="AD65">
        <f>HYPERLINK("https://klasma.github.io/Logging_0680/tillsynsmail/A 28211-2026 tillsynsbegäran mail.docx", "A 28211-2026")</f>
        <v/>
      </c>
    </row>
    <row r="66" ht="15" customHeight="1">
      <c r="A66" t="inlineStr">
        <is>
          <t>A 31770-2026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46230</v>
      </c>
      <c r="E66" s="1" t="n">
        <v>46310</v>
      </c>
      <c r="F66" t="inlineStr">
        <is>
          <t>JÖNKÖPINGS LÄN</t>
        </is>
      </c>
      <c r="G66" t="inlineStr">
        <is>
          <t>JÖNKÖPING</t>
        </is>
      </c>
      <c r="H66" t="inlineStr">
        <is>
          <t>Sveaskog</t>
        </is>
      </c>
      <c r="I66" t="n">
        <v>3.1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2</v>
      </c>
      <c r="T66" t="n">
        <v>2</v>
      </c>
      <c r="U66" t="n">
        <v>0</v>
      </c>
      <c r="V66" s="2" t="inlineStr">
        <is>
          <t>Knärot
Grönpyrola</t>
        </is>
      </c>
      <c r="W66">
        <f>HYPERLINK("https://klasma.github.io/Logging_0680/artfynd/A 31770-2026 artfynd.xlsx", "A 31770-2026")</f>
        <v/>
      </c>
      <c r="X66">
        <f>HYPERLINK("https://klasma.github.io/Logging_0680/kartor/A 31770-2026 karta.png", "A 31770-2026")</f>
        <v/>
      </c>
      <c r="Y66">
        <f>HYPERLINK("https://klasma.github.io/Logging_0680/kartor_geotiff/A 31770-2026 georefererad karta.tif", "A 31770-2026")</f>
        <v/>
      </c>
      <c r="Z66">
        <f>HYPERLINK("https://klasma.github.io/Logging_0680/knärot/A 31770-2026 karta knärot.png", "A 31770-2026")</f>
        <v/>
      </c>
      <c r="AA66">
        <f>HYPERLINK("https://klasma.github.io/Logging_0680/klagomål/A 31770-2026 FSC-klagomål.docx", "A 31770-2026")</f>
        <v/>
      </c>
      <c r="AB66">
        <f>HYPERLINK("https://klasma.github.io/Logging_0680/klagomålsmail/A 31770-2026 FSC-klagomål mail.docx", "A 31770-2026")</f>
        <v/>
      </c>
      <c r="AC66">
        <f>HYPERLINK("https://klasma.github.io/Logging_0680/tillsyn/A 31770-2026 tillsynsbegäran.docx", "A 31770-2026")</f>
        <v/>
      </c>
      <c r="AD66">
        <f>HYPERLINK("https://klasma.github.io/Logging_0680/tillsynsmail/A 31770-2026 tillsynsbegäran mail.docx", "A 31770-2026")</f>
        <v/>
      </c>
    </row>
    <row r="67" ht="15" customHeight="1">
      <c r="A67" t="inlineStr">
        <is>
          <t>A 10991-2023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44991</v>
      </c>
      <c r="E67" s="1" t="n">
        <v>46310</v>
      </c>
      <c r="F67" t="inlineStr">
        <is>
          <t>JÖNKÖPINGS LÄN</t>
        </is>
      </c>
      <c r="G67" t="inlineStr">
        <is>
          <t>JÖNKÖPING</t>
        </is>
      </c>
      <c r="I67" t="n">
        <v>0.7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</v>
      </c>
      <c r="T67" t="n">
        <v>2</v>
      </c>
      <c r="U67" t="n">
        <v>0</v>
      </c>
      <c r="V67" s="2" t="inlineStr">
        <is>
          <t>Gulnål
Kornig nållav</t>
        </is>
      </c>
      <c r="W67">
        <f>HYPERLINK("https://klasma.github.io/Logging_0680/artfynd/A 10991-2023 artfynd.xlsx", "A 10991-2023")</f>
        <v/>
      </c>
      <c r="X67">
        <f>HYPERLINK("https://klasma.github.io/Logging_0680/kartor/A 10991-2023 karta.png", "A 10991-2023")</f>
        <v/>
      </c>
      <c r="Y67">
        <f>HYPERLINK("https://klasma.github.io/Logging_0680/kartor_geotiff/A 10991-2023 georefererad karta.tif", "A 10991-2023")</f>
        <v/>
      </c>
      <c r="AA67">
        <f>HYPERLINK("https://klasma.github.io/Logging_0680/klagomål/A 10991-2023 FSC-klagomål.docx", "A 10991-2023")</f>
        <v/>
      </c>
      <c r="AB67">
        <f>HYPERLINK("https://klasma.github.io/Logging_0680/klagomålsmail/A 10991-2023 FSC-klagomål mail.docx", "A 10991-2023")</f>
        <v/>
      </c>
      <c r="AC67">
        <f>HYPERLINK("https://klasma.github.io/Logging_0680/tillsyn/A 10991-2023 tillsynsbegäran.docx", "A 10991-2023")</f>
        <v/>
      </c>
      <c r="AD67">
        <f>HYPERLINK("https://klasma.github.io/Logging_0680/tillsynsmail/A 10991-2023 tillsynsbegäran mail.docx", "A 10991-2023")</f>
        <v/>
      </c>
    </row>
    <row r="68" ht="15" customHeight="1">
      <c r="A68" t="inlineStr">
        <is>
          <t>A 38934-2026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46286</v>
      </c>
      <c r="E68" s="1" t="n">
        <v>46310</v>
      </c>
      <c r="F68" t="inlineStr">
        <is>
          <t>JÖNKÖPINGS LÄN</t>
        </is>
      </c>
      <c r="G68" t="inlineStr">
        <is>
          <t>JÖNKÖPING</t>
        </is>
      </c>
      <c r="I68" t="n">
        <v>3.9</v>
      </c>
      <c r="J68" t="n">
        <v>2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2</v>
      </c>
      <c r="T68" t="n">
        <v>6</v>
      </c>
      <c r="U68" t="n">
        <v>0</v>
      </c>
      <c r="V68" s="2" t="inlineStr">
        <is>
          <t>Knärot
Revlummer</t>
        </is>
      </c>
      <c r="W68">
        <f>HYPERLINK("https://klasma.github.io/Logging_0680/artfynd/A 38934-2026 artfynd.xlsx", "A 38934-2026")</f>
        <v/>
      </c>
      <c r="X68">
        <f>HYPERLINK("https://klasma.github.io/Logging_0680/kartor/A 38934-2026 karta.png", "A 38934-2026")</f>
        <v/>
      </c>
      <c r="Y68">
        <f>HYPERLINK("https://klasma.github.io/Logging_0680/kartor_geotiff/A 38934-2026 georefererad karta.tif", "A 38934-2026")</f>
        <v/>
      </c>
      <c r="Z68">
        <f>HYPERLINK("https://klasma.github.io/Logging_0680/knärot/A 38934-2026 karta knärot.png", "A 38934-2026")</f>
        <v/>
      </c>
      <c r="AA68">
        <f>HYPERLINK("https://klasma.github.io/Logging_0680/klagomål/A 38934-2026 FSC-klagomål.docx", "A 38934-2026")</f>
        <v/>
      </c>
      <c r="AB68">
        <f>HYPERLINK("https://klasma.github.io/Logging_0680/klagomålsmail/A 38934-2026 FSC-klagomål mail.docx", "A 38934-2026")</f>
        <v/>
      </c>
      <c r="AC68">
        <f>HYPERLINK("https://klasma.github.io/Logging_0680/tillsyn/A 38934-2026 tillsynsbegäran.docx", "A 38934-2026")</f>
        <v/>
      </c>
      <c r="AD68">
        <f>HYPERLINK("https://klasma.github.io/Logging_0680/tillsynsmail/A 38934-2026 tillsynsbegäran mail.docx", "A 38934-2026")</f>
        <v/>
      </c>
    </row>
    <row r="69" ht="15" customHeight="1">
      <c r="A69" t="inlineStr">
        <is>
          <t>A 17836-2025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45758</v>
      </c>
      <c r="E69" s="1" t="n">
        <v>46310</v>
      </c>
      <c r="F69" t="inlineStr">
        <is>
          <t>JÖNKÖPINGS LÄN</t>
        </is>
      </c>
      <c r="G69" t="inlineStr">
        <is>
          <t>JÖNKÖPING</t>
        </is>
      </c>
      <c r="H69" t="inlineStr">
        <is>
          <t>Kyrkan</t>
        </is>
      </c>
      <c r="I69" t="n">
        <v>7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4</v>
      </c>
      <c r="U69" t="n">
        <v>0</v>
      </c>
      <c r="V69" s="2" t="inlineStr">
        <is>
          <t>Större vattensalamander
Mindre vattensalamander</t>
        </is>
      </c>
      <c r="W69">
        <f>HYPERLINK("https://klasma.github.io/Logging_0680/artfynd/A 17836-2025 artfynd.xlsx", "A 17836-2025")</f>
        <v/>
      </c>
      <c r="X69">
        <f>HYPERLINK("https://klasma.github.io/Logging_0680/kartor/A 17836-2025 karta.png", "A 17836-2025")</f>
        <v/>
      </c>
      <c r="Y69">
        <f>HYPERLINK("https://klasma.github.io/Logging_0680/kartor_geotiff/A 17836-2025 georefererad karta.tif", "A 17836-2025")</f>
        <v/>
      </c>
      <c r="AA69">
        <f>HYPERLINK("https://klasma.github.io/Logging_0680/klagomål/A 17836-2025 FSC-klagomål.docx", "A 17836-2025")</f>
        <v/>
      </c>
      <c r="AB69">
        <f>HYPERLINK("https://klasma.github.io/Logging_0680/klagomålsmail/A 17836-2025 FSC-klagomål mail.docx", "A 17836-2025")</f>
        <v/>
      </c>
      <c r="AC69">
        <f>HYPERLINK("https://klasma.github.io/Logging_0680/tillsyn/A 17836-2025 tillsynsbegäran.docx", "A 17836-2025")</f>
        <v/>
      </c>
      <c r="AD69">
        <f>HYPERLINK("https://klasma.github.io/Logging_0680/tillsynsmail/A 17836-2025 tillsynsbegäran mail.docx", "A 17836-2025")</f>
        <v/>
      </c>
    </row>
    <row r="70" ht="15" customHeight="1">
      <c r="A70" t="inlineStr">
        <is>
          <t>A 58082-2025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45982</v>
      </c>
      <c r="E70" s="1" t="n">
        <v>46310</v>
      </c>
      <c r="F70" t="inlineStr">
        <is>
          <t>JÖNKÖPINGS LÄN</t>
        </is>
      </c>
      <c r="G70" t="inlineStr">
        <is>
          <t>JÖNKÖPING</t>
        </is>
      </c>
      <c r="I70" t="n">
        <v>2.9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2</v>
      </c>
      <c r="T70" t="n">
        <v>2</v>
      </c>
      <c r="U70" t="n">
        <v>0</v>
      </c>
      <c r="V70" s="2" t="inlineStr">
        <is>
          <t>Storgröe
Springkorn</t>
        </is>
      </c>
      <c r="W70">
        <f>HYPERLINK("https://klasma.github.io/Logging_0680/artfynd/A 58082-2025 artfynd.xlsx", "A 58082-2025")</f>
        <v/>
      </c>
      <c r="X70">
        <f>HYPERLINK("https://klasma.github.io/Logging_0680/kartor/A 58082-2025 karta.png", "A 58082-2025")</f>
        <v/>
      </c>
      <c r="Y70">
        <f>HYPERLINK("https://klasma.github.io/Logging_0680/kartor_geotiff/A 58082-2025 georefererad karta.tif", "A 58082-2025")</f>
        <v/>
      </c>
      <c r="AA70">
        <f>HYPERLINK("https://klasma.github.io/Logging_0680/klagomål/A 58082-2025 FSC-klagomål.docx", "A 58082-2025")</f>
        <v/>
      </c>
      <c r="AB70">
        <f>HYPERLINK("https://klasma.github.io/Logging_0680/klagomålsmail/A 58082-2025 FSC-klagomål mail.docx", "A 58082-2025")</f>
        <v/>
      </c>
      <c r="AC70">
        <f>HYPERLINK("https://klasma.github.io/Logging_0680/tillsyn/A 58082-2025 tillsynsbegäran.docx", "A 58082-2025")</f>
        <v/>
      </c>
      <c r="AD70">
        <f>HYPERLINK("https://klasma.github.io/Logging_0680/tillsynsmail/A 58082-2025 tillsynsbegäran mail.docx", "A 58082-2025")</f>
        <v/>
      </c>
    </row>
    <row r="71" ht="15" customHeight="1">
      <c r="A71" t="inlineStr">
        <is>
          <t>A 9221-2024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45358</v>
      </c>
      <c r="E71" s="1" t="n">
        <v>46310</v>
      </c>
      <c r="F71" t="inlineStr">
        <is>
          <t>JÖNKÖPINGS LÄN</t>
        </is>
      </c>
      <c r="G71" t="inlineStr">
        <is>
          <t>JÖNKÖPING</t>
        </is>
      </c>
      <c r="I71" t="n">
        <v>4.7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2</v>
      </c>
      <c r="T71" t="n">
        <v>5</v>
      </c>
      <c r="U71" t="n">
        <v>0</v>
      </c>
      <c r="V71" s="2" t="inlineStr">
        <is>
          <t>Motaggsvamp
Blomkålssvamp</t>
        </is>
      </c>
      <c r="W71">
        <f>HYPERLINK("https://klasma.github.io/Logging_0680/artfynd/A 9221-2024 artfynd.xlsx", "A 9221-2024")</f>
        <v/>
      </c>
      <c r="X71">
        <f>HYPERLINK("https://klasma.github.io/Logging_0680/kartor/A 9221-2024 karta.png", "A 9221-2024")</f>
        <v/>
      </c>
      <c r="Y71">
        <f>HYPERLINK("https://klasma.github.io/Logging_0680/kartor_geotiff/A 9221-2024 georefererad karta.tif", "A 9221-2024")</f>
        <v/>
      </c>
      <c r="AA71">
        <f>HYPERLINK("https://klasma.github.io/Logging_0680/klagomål/A 9221-2024 FSC-klagomål.docx", "A 9221-2024")</f>
        <v/>
      </c>
      <c r="AB71">
        <f>HYPERLINK("https://klasma.github.io/Logging_0680/klagomålsmail/A 9221-2024 FSC-klagomål mail.docx", "A 9221-2024")</f>
        <v/>
      </c>
      <c r="AC71">
        <f>HYPERLINK("https://klasma.github.io/Logging_0680/tillsyn/A 9221-2024 tillsynsbegäran.docx", "A 9221-2024")</f>
        <v/>
      </c>
      <c r="AD71">
        <f>HYPERLINK("https://klasma.github.io/Logging_0680/tillsynsmail/A 9221-2024 tillsynsbegäran mail.docx", "A 9221-2024")</f>
        <v/>
      </c>
    </row>
    <row r="72" ht="15" customHeight="1">
      <c r="A72" t="inlineStr">
        <is>
          <t>A 23066-2025</t>
        </is>
      </c>
      <c r="B72" t="inlineStr">
        <is>
          <t>avverkningsanmälan</t>
        </is>
      </c>
      <c r="C72" t="inlineStr">
        <is>
          <t>Avverkning för att bevara och utveckla /försöksver</t>
        </is>
      </c>
      <c r="D72" s="1" t="n">
        <v>45790</v>
      </c>
      <c r="E72" s="1" t="n">
        <v>46310</v>
      </c>
      <c r="F72" t="inlineStr">
        <is>
          <t>JÖNKÖPINGS LÄN</t>
        </is>
      </c>
      <c r="G72" t="inlineStr">
        <is>
          <t>JÖNKÖPING</t>
        </is>
      </c>
      <c r="I72" t="n">
        <v>1.5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2</v>
      </c>
      <c r="T72" t="n">
        <v>2</v>
      </c>
      <c r="U72" t="n">
        <v>0</v>
      </c>
      <c r="V72" s="2" t="inlineStr">
        <is>
          <t>Slåttergubbe
Nattviol</t>
        </is>
      </c>
      <c r="W72">
        <f>HYPERLINK("https://klasma.github.io/Logging_0680/artfynd/A 23066-2025 artfynd.xlsx", "A 23066-2025")</f>
        <v/>
      </c>
      <c r="X72">
        <f>HYPERLINK("https://klasma.github.io/Logging_0680/kartor/A 23066-2025 karta.png", "A 23066-2025")</f>
        <v/>
      </c>
      <c r="Y72">
        <f>HYPERLINK("https://klasma.github.io/Logging_0680/kartor_geotiff/A 23066-2025 georefererad karta.tif", "A 23066-2025")</f>
        <v/>
      </c>
      <c r="AA72">
        <f>HYPERLINK("https://klasma.github.io/Logging_0680/klagomål/A 23066-2025 FSC-klagomål.docx", "A 23066-2025")</f>
        <v/>
      </c>
      <c r="AB72">
        <f>HYPERLINK("https://klasma.github.io/Logging_0680/klagomålsmail/A 23066-2025 FSC-klagomål mail.docx", "A 23066-2025")</f>
        <v/>
      </c>
      <c r="AC72">
        <f>HYPERLINK("https://klasma.github.io/Logging_0680/tillsyn/A 23066-2025 tillsynsbegäran.docx", "A 23066-2025")</f>
        <v/>
      </c>
      <c r="AD72">
        <f>HYPERLINK("https://klasma.github.io/Logging_0680/tillsynsmail/A 23066-2025 tillsynsbegäran mail.docx", "A 23066-2025")</f>
        <v/>
      </c>
    </row>
    <row r="73" ht="15" customHeight="1">
      <c r="A73" t="inlineStr">
        <is>
          <t>S 1403-2020</t>
        </is>
      </c>
      <c r="B73" t="inlineStr">
        <is>
          <t>samrådsanmälan</t>
        </is>
      </c>
      <c r="C73" t="inlineStr">
        <is>
          <t>Åtgärd i nyckelbiotop</t>
        </is>
      </c>
      <c r="D73" s="1" t="n">
        <v>43983</v>
      </c>
      <c r="E73" s="1" t="n">
        <v>46310</v>
      </c>
      <c r="F73" t="inlineStr">
        <is>
          <t>JÖNKÖPINGS LÄN</t>
        </is>
      </c>
      <c r="G73" t="inlineStr">
        <is>
          <t>JÖNKÖPING</t>
        </is>
      </c>
      <c r="I73" t="n">
        <v>1.3</v>
      </c>
      <c r="J73" t="n">
        <v>2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2</v>
      </c>
      <c r="T73" t="n">
        <v>5</v>
      </c>
      <c r="U73" t="n">
        <v>5</v>
      </c>
      <c r="V73" s="2" t="inlineStr">
        <is>
          <t>Knärot
Mattlummer</t>
        </is>
      </c>
      <c r="W73">
        <f>HYPERLINK("https://klasma.github.io/Logging_0680/artfynd/S 1403-2020 artfynd.xlsx", "S 1403-2020")</f>
        <v/>
      </c>
      <c r="X73">
        <f>HYPERLINK("https://klasma.github.io/Logging_0680/kartor/S 1403-2020 karta.png", "S 1403-2020")</f>
        <v/>
      </c>
      <c r="Y73">
        <f>HYPERLINK("https://klasma.github.io/Logging_0680/kartor_geotiff/S 1403-2020 georefererad karta.tif", "S 1403-2020")</f>
        <v/>
      </c>
      <c r="Z73">
        <f>HYPERLINK("https://klasma.github.io/Logging_0680/knärot/S 1403-2020 karta knärot.png", "S 1403-2020")</f>
        <v/>
      </c>
      <c r="AA73">
        <f>HYPERLINK("https://klasma.github.io/Logging_0680/klagomål/S 1403-2020 FSC-klagomål.docx", "S 1403-2020")</f>
        <v/>
      </c>
      <c r="AB73">
        <f>HYPERLINK("https://klasma.github.io/Logging_0680/klagomålsmail/S 1403-2020 FSC-klagomål mail.docx", "S 1403-2020")</f>
        <v/>
      </c>
      <c r="AC73">
        <f>HYPERLINK("https://klasma.github.io/Logging_0680/tillsyn/S 1403-2020 tillsynsbegäran.docx", "S 1403-2020")</f>
        <v/>
      </c>
      <c r="AD73">
        <f>HYPERLINK("https://klasma.github.io/Logging_0680/tillsynsmail/S 1403-2020 tillsynsbegäran mail.docx", "S 1403-2020")</f>
        <v/>
      </c>
    </row>
    <row r="74" ht="15" customHeight="1">
      <c r="A74" t="inlineStr">
        <is>
          <t>S 1085-2023</t>
        </is>
      </c>
      <c r="B74" t="inlineStr">
        <is>
          <t>samrådsanmälan</t>
        </is>
      </c>
      <c r="C74" t="inlineStr">
        <is>
          <t>Askåterföring</t>
        </is>
      </c>
      <c r="D74" s="1" t="n">
        <v>45013</v>
      </c>
      <c r="E74" s="1" t="n">
        <v>46310</v>
      </c>
      <c r="F74" t="inlineStr">
        <is>
          <t>JÖNKÖPINGS LÄN</t>
        </is>
      </c>
      <c r="G74" t="inlineStr">
        <is>
          <t>JÖNKÖPING</t>
        </is>
      </c>
      <c r="I74" t="n">
        <v>13.7</v>
      </c>
      <c r="J74" t="n">
        <v>2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2</v>
      </c>
      <c r="T74" t="n">
        <v>2</v>
      </c>
      <c r="U74" t="n">
        <v>2</v>
      </c>
      <c r="V74" s="2" t="inlineStr">
        <is>
          <t>Entita
Revlummer</t>
        </is>
      </c>
      <c r="W74">
        <f>HYPERLINK("https://klasma.github.io/Logging_0680/artfynd/S 1085-2023 artfynd.xlsx", "S 1085-2023")</f>
        <v/>
      </c>
      <c r="X74">
        <f>HYPERLINK("https://klasma.github.io/Logging_0680/kartor/S 1085-2023 karta.png", "S 1085-2023")</f>
        <v/>
      </c>
      <c r="Y74">
        <f>HYPERLINK("https://klasma.github.io/Logging_0680/kartor_geotiff/S 1085-2023 georefererad karta.tif", "S 1085-2023")</f>
        <v/>
      </c>
      <c r="AA74">
        <f>HYPERLINK("https://klasma.github.io/Logging_0680/klagomål/S 1085-2023 FSC-klagomål.docx", "S 1085-2023")</f>
        <v/>
      </c>
      <c r="AB74">
        <f>HYPERLINK("https://klasma.github.io/Logging_0680/klagomålsmail/S 1085-2023 FSC-klagomål mail.docx", "S 1085-2023")</f>
        <v/>
      </c>
      <c r="AC74">
        <f>HYPERLINK("https://klasma.github.io/Logging_0680/tillsyn/S 1085-2023 tillsynsbegäran.docx", "S 1085-2023")</f>
        <v/>
      </c>
      <c r="AD74">
        <f>HYPERLINK("https://klasma.github.io/Logging_0680/tillsynsmail/S 1085-2023 tillsynsbegäran mail.docx", "S 1085-2023")</f>
        <v/>
      </c>
      <c r="AE74">
        <f>HYPERLINK("https://klasma.github.io/Logging_0680/fåglar/S 1085-2023 prioriterade fågelarter.docx", "S 1085-2023")</f>
        <v/>
      </c>
    </row>
    <row r="75" ht="15" customHeight="1">
      <c r="A75" t="inlineStr">
        <is>
          <t>S 1632-2022</t>
        </is>
      </c>
      <c r="B75" t="inlineStr">
        <is>
          <t>samrådsanmälan</t>
        </is>
      </c>
      <c r="C75" t="inlineStr">
        <is>
          <t>Åtgärd i nyckelbiotop</t>
        </is>
      </c>
      <c r="D75" s="1" t="n">
        <v>44647</v>
      </c>
      <c r="E75" s="1" t="n">
        <v>46310</v>
      </c>
      <c r="F75" t="inlineStr">
        <is>
          <t>JÖNKÖPINGS LÄN</t>
        </is>
      </c>
      <c r="G75" t="inlineStr">
        <is>
          <t>JÖNKÖPING</t>
        </is>
      </c>
      <c r="I75" t="n">
        <v>1.3</v>
      </c>
      <c r="J75" t="n">
        <v>2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2</v>
      </c>
      <c r="T75" t="n">
        <v>5</v>
      </c>
      <c r="U75" t="n">
        <v>5</v>
      </c>
      <c r="V75" s="2" t="inlineStr">
        <is>
          <t>Knärot
Mattlummer</t>
        </is>
      </c>
      <c r="W75">
        <f>HYPERLINK("https://klasma.github.io/Logging_0680/artfynd/S 1632-2022 artfynd.xlsx", "S 1632-2022")</f>
        <v/>
      </c>
      <c r="X75">
        <f>HYPERLINK("https://klasma.github.io/Logging_0680/kartor/S 1632-2022 karta.png", "S 1632-2022")</f>
        <v/>
      </c>
      <c r="Y75">
        <f>HYPERLINK("https://klasma.github.io/Logging_0680/kartor_geotiff/S 1632-2022 georefererad karta.tif", "S 1632-2022")</f>
        <v/>
      </c>
      <c r="Z75">
        <f>HYPERLINK("https://klasma.github.io/Logging_0680/knärot/S 1632-2022 karta knärot.png", "S 1632-2022")</f>
        <v/>
      </c>
      <c r="AA75">
        <f>HYPERLINK("https://klasma.github.io/Logging_0680/klagomål/S 1632-2022 FSC-klagomål.docx", "S 1632-2022")</f>
        <v/>
      </c>
      <c r="AB75">
        <f>HYPERLINK("https://klasma.github.io/Logging_0680/klagomålsmail/S 1632-2022 FSC-klagomål mail.docx", "S 1632-2022")</f>
        <v/>
      </c>
      <c r="AC75">
        <f>HYPERLINK("https://klasma.github.io/Logging_0680/tillsyn/S 1632-2022 tillsynsbegäran.docx", "S 1632-2022")</f>
        <v/>
      </c>
      <c r="AD75">
        <f>HYPERLINK("https://klasma.github.io/Logging_0680/tillsynsmail/S 1632-2022 tillsynsbegäran mail.docx", "S 1632-2022")</f>
        <v/>
      </c>
    </row>
    <row r="76" ht="15" customHeight="1">
      <c r="A76" t="inlineStr">
        <is>
          <t>S 1134-2024</t>
        </is>
      </c>
      <c r="B76" t="inlineStr">
        <is>
          <t>samrådsanmälan</t>
        </is>
      </c>
      <c r="C76" t="inlineStr">
        <is>
          <t>Askåterföring</t>
        </is>
      </c>
      <c r="D76" s="1" t="n">
        <v>45393</v>
      </c>
      <c r="E76" s="1" t="n">
        <v>46310</v>
      </c>
      <c r="F76" t="inlineStr">
        <is>
          <t>JÖNKÖPINGS LÄN</t>
        </is>
      </c>
      <c r="G76" t="inlineStr">
        <is>
          <t>JÖNKÖPING</t>
        </is>
      </c>
      <c r="I76" t="n">
        <v>70.5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2</v>
      </c>
      <c r="R76" t="n">
        <v>1</v>
      </c>
      <c r="S76" t="n">
        <v>2</v>
      </c>
      <c r="T76" t="n">
        <v>2</v>
      </c>
      <c r="U76" t="n">
        <v>1</v>
      </c>
      <c r="V76" s="2" t="inlineStr">
        <is>
          <t>Ask
Svinrot</t>
        </is>
      </c>
      <c r="W76">
        <f>HYPERLINK("https://klasma.github.io/Logging_0680/artfynd/S 1134-2024 artfynd.xlsx", "S 1134-2024")</f>
        <v/>
      </c>
      <c r="X76">
        <f>HYPERLINK("https://klasma.github.io/Logging_0680/kartor/S 1134-2024 karta.png", "S 1134-2024")</f>
        <v/>
      </c>
      <c r="Y76">
        <f>HYPERLINK("https://klasma.github.io/Logging_0680/kartor_geotiff/S 1134-2024 georefererad karta.tif", "S 1134-2024")</f>
        <v/>
      </c>
      <c r="AA76">
        <f>HYPERLINK("https://klasma.github.io/Logging_0680/klagomål/S 1134-2024 FSC-klagomål.docx", "S 1134-2024")</f>
        <v/>
      </c>
      <c r="AB76">
        <f>HYPERLINK("https://klasma.github.io/Logging_0680/klagomålsmail/S 1134-2024 FSC-klagomål mail.docx", "S 1134-2024")</f>
        <v/>
      </c>
      <c r="AC76">
        <f>HYPERLINK("https://klasma.github.io/Logging_0680/tillsyn/S 1134-2024 tillsynsbegäran.docx", "S 1134-2024")</f>
        <v/>
      </c>
      <c r="AD76">
        <f>HYPERLINK("https://klasma.github.io/Logging_0680/tillsynsmail/S 1134-2024 tillsynsbegäran mail.docx", "S 1134-2024")</f>
        <v/>
      </c>
    </row>
    <row r="77" ht="15" customHeight="1">
      <c r="A77" t="inlineStr">
        <is>
          <t>S 1511-2025</t>
        </is>
      </c>
      <c r="B77" t="inlineStr">
        <is>
          <t>samrådsanmälan</t>
        </is>
      </c>
      <c r="C77" t="inlineStr">
        <is>
          <t>Annan skogsbruksåtgärd</t>
        </is>
      </c>
      <c r="D77" s="1" t="n">
        <v>45790</v>
      </c>
      <c r="E77" s="1" t="n">
        <v>46310</v>
      </c>
      <c r="F77" t="inlineStr">
        <is>
          <t>JÖNKÖPINGS LÄN</t>
        </is>
      </c>
      <c r="G77" t="inlineStr">
        <is>
          <t>JÖNKÖPING</t>
        </is>
      </c>
      <c r="I77" t="n">
        <v>1.5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2</v>
      </c>
      <c r="T77" t="n">
        <v>2</v>
      </c>
      <c r="U77" t="n">
        <v>0</v>
      </c>
      <c r="V77" s="2" t="inlineStr">
        <is>
          <t>Slåttergubbe
Nattviol</t>
        </is>
      </c>
      <c r="W77">
        <f>HYPERLINK("https://klasma.github.io/Logging_0680/artfynd/S 1511-2025 artfynd.xlsx", "S 1511-2025")</f>
        <v/>
      </c>
      <c r="X77">
        <f>HYPERLINK("https://klasma.github.io/Logging_0680/kartor/S 1511-2025 karta.png", "S 1511-2025")</f>
        <v/>
      </c>
      <c r="Y77">
        <f>HYPERLINK("https://klasma.github.io/Logging_0680/kartor_geotiff/S 1511-2025 georefererad karta.tif", "S 1511-2025")</f>
        <v/>
      </c>
      <c r="AA77">
        <f>HYPERLINK("https://klasma.github.io/Logging_0680/klagomål/S 1511-2025 FSC-klagomål.docx", "S 1511-2025")</f>
        <v/>
      </c>
      <c r="AB77">
        <f>HYPERLINK("https://klasma.github.io/Logging_0680/klagomålsmail/S 1511-2025 FSC-klagomål mail.docx", "S 1511-2025")</f>
        <v/>
      </c>
      <c r="AC77">
        <f>HYPERLINK("https://klasma.github.io/Logging_0680/tillsyn/S 1511-2025 tillsynsbegäran.docx", "S 1511-2025")</f>
        <v/>
      </c>
      <c r="AD77">
        <f>HYPERLINK("https://klasma.github.io/Logging_0680/tillsynsmail/S 1511-2025 tillsynsbegäran mail.docx", "S 1511-2025")</f>
        <v/>
      </c>
    </row>
    <row r="78" ht="15" customHeight="1">
      <c r="A78" t="inlineStr">
        <is>
          <t>A 8582-2022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44613</v>
      </c>
      <c r="E78" s="1" t="n">
        <v>46310</v>
      </c>
      <c r="F78" t="inlineStr">
        <is>
          <t>JÖNKÖPINGS LÄN</t>
        </is>
      </c>
      <c r="G78" t="inlineStr">
        <is>
          <t>JÖNKÖPING</t>
        </is>
      </c>
      <c r="I78" t="n">
        <v>1.5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s="2" t="inlineStr">
        <is>
          <t>Gullpudra</t>
        </is>
      </c>
      <c r="W78">
        <f>HYPERLINK("https://klasma.github.io/Logging_0680/artfynd/A 8582-2022 artfynd.xlsx", "A 8582-2022")</f>
        <v/>
      </c>
      <c r="X78">
        <f>HYPERLINK("https://klasma.github.io/Logging_0680/kartor/A 8582-2022 karta.png", "A 8582-2022")</f>
        <v/>
      </c>
      <c r="Y78">
        <f>HYPERLINK("https://klasma.github.io/Logging_0680/kartor_geotiff/A 8582-2022 georefererad karta.tif", "A 8582-2022")</f>
        <v/>
      </c>
      <c r="AA78">
        <f>HYPERLINK("https://klasma.github.io/Logging_0680/klagomål/A 8582-2022 FSC-klagomål.docx", "A 8582-2022")</f>
        <v/>
      </c>
      <c r="AB78">
        <f>HYPERLINK("https://klasma.github.io/Logging_0680/klagomålsmail/A 8582-2022 FSC-klagomål mail.docx", "A 8582-2022")</f>
        <v/>
      </c>
      <c r="AC78">
        <f>HYPERLINK("https://klasma.github.io/Logging_0680/tillsyn/A 8582-2022 tillsynsbegäran.docx", "A 8582-2022")</f>
        <v/>
      </c>
      <c r="AD78">
        <f>HYPERLINK("https://klasma.github.io/Logging_0680/tillsynsmail/A 8582-2022 tillsynsbegäran mail.docx", "A 8582-2022")</f>
        <v/>
      </c>
    </row>
    <row r="79" ht="15" customHeight="1">
      <c r="A79" t="inlineStr">
        <is>
          <t>A 21947-2022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44711</v>
      </c>
      <c r="E79" s="1" t="n">
        <v>46310</v>
      </c>
      <c r="F79" t="inlineStr">
        <is>
          <t>JÖNKÖPINGS LÄN</t>
        </is>
      </c>
      <c r="G79" t="inlineStr">
        <is>
          <t>JÖNKÖPING</t>
        </is>
      </c>
      <c r="I79" t="n">
        <v>0.4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1</v>
      </c>
      <c r="V79" s="2" t="inlineStr">
        <is>
          <t>Kandelabersvamp</t>
        </is>
      </c>
      <c r="W79">
        <f>HYPERLINK("https://klasma.github.io/Logging_0680/artfynd/A 21947-2022 artfynd.xlsx", "A 21947-2022")</f>
        <v/>
      </c>
      <c r="X79">
        <f>HYPERLINK("https://klasma.github.io/Logging_0680/kartor/A 21947-2022 karta.png", "A 21947-2022")</f>
        <v/>
      </c>
      <c r="Y79">
        <f>HYPERLINK("https://klasma.github.io/Logging_0680/kartor_geotiff/A 21947-2022 georefererad karta.tif", "A 21947-2022")</f>
        <v/>
      </c>
      <c r="AA79">
        <f>HYPERLINK("https://klasma.github.io/Logging_0680/klagomål/A 21947-2022 FSC-klagomål.docx", "A 21947-2022")</f>
        <v/>
      </c>
      <c r="AB79">
        <f>HYPERLINK("https://klasma.github.io/Logging_0680/klagomålsmail/A 21947-2022 FSC-klagomål mail.docx", "A 21947-2022")</f>
        <v/>
      </c>
      <c r="AC79">
        <f>HYPERLINK("https://klasma.github.io/Logging_0680/tillsyn/A 21947-2022 tillsynsbegäran.docx", "A 21947-2022")</f>
        <v/>
      </c>
      <c r="AD79">
        <f>HYPERLINK("https://klasma.github.io/Logging_0680/tillsynsmail/A 21947-2022 tillsynsbegäran mail.docx", "A 21947-2022")</f>
        <v/>
      </c>
    </row>
    <row r="80" ht="15" customHeight="1">
      <c r="A80" t="inlineStr">
        <is>
          <t>A 2498-2022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44579</v>
      </c>
      <c r="E80" s="1" t="n">
        <v>46310</v>
      </c>
      <c r="F80" t="inlineStr">
        <is>
          <t>JÖNKÖPINGS LÄN</t>
        </is>
      </c>
      <c r="G80" t="inlineStr">
        <is>
          <t>JÖNKÖPING</t>
        </is>
      </c>
      <c r="I80" t="n">
        <v>1.3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s="2" t="inlineStr">
        <is>
          <t>Svinrot</t>
        </is>
      </c>
      <c r="W80">
        <f>HYPERLINK("https://klasma.github.io/Logging_0680/artfynd/A 2498-2022 artfynd.xlsx", "A 2498-2022")</f>
        <v/>
      </c>
      <c r="X80">
        <f>HYPERLINK("https://klasma.github.io/Logging_0680/kartor/A 2498-2022 karta.png", "A 2498-2022")</f>
        <v/>
      </c>
      <c r="Y80">
        <f>HYPERLINK("https://klasma.github.io/Logging_0680/kartor_geotiff/A 2498-2022 georefererad karta.tif", "A 2498-2022")</f>
        <v/>
      </c>
      <c r="AA80">
        <f>HYPERLINK("https://klasma.github.io/Logging_0680/klagomål/A 2498-2022 FSC-klagomål.docx", "A 2498-2022")</f>
        <v/>
      </c>
      <c r="AB80">
        <f>HYPERLINK("https://klasma.github.io/Logging_0680/klagomålsmail/A 2498-2022 FSC-klagomål mail.docx", "A 2498-2022")</f>
        <v/>
      </c>
      <c r="AC80">
        <f>HYPERLINK("https://klasma.github.io/Logging_0680/tillsyn/A 2498-2022 tillsynsbegäran.docx", "A 2498-2022")</f>
        <v/>
      </c>
      <c r="AD80">
        <f>HYPERLINK("https://klasma.github.io/Logging_0680/tillsynsmail/A 2498-2022 tillsynsbegäran mail.docx", "A 2498-2022")</f>
        <v/>
      </c>
    </row>
    <row r="81" ht="15" customHeight="1">
      <c r="A81" t="inlineStr">
        <is>
          <t>A 48114-2023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45205</v>
      </c>
      <c r="E81" s="1" t="n">
        <v>46310</v>
      </c>
      <c r="F81" t="inlineStr">
        <is>
          <t>JÖNKÖPINGS LÄN</t>
        </is>
      </c>
      <c r="G81" t="inlineStr">
        <is>
          <t>JÖNKÖPING</t>
        </is>
      </c>
      <c r="I81" t="n">
        <v>9.300000000000001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s="2" t="inlineStr">
        <is>
          <t>Garnlav</t>
        </is>
      </c>
      <c r="W81">
        <f>HYPERLINK("https://klasma.github.io/Logging_0680/artfynd/A 48114-2023 artfynd.xlsx", "A 48114-2023")</f>
        <v/>
      </c>
      <c r="X81">
        <f>HYPERLINK("https://klasma.github.io/Logging_0680/kartor/A 48114-2023 karta.png", "A 48114-2023")</f>
        <v/>
      </c>
      <c r="Y81">
        <f>HYPERLINK("https://klasma.github.io/Logging_0680/kartor_geotiff/A 48114-2023 georefererad karta.tif", "A 48114-2023")</f>
        <v/>
      </c>
      <c r="AA81">
        <f>HYPERLINK("https://klasma.github.io/Logging_0680/klagomål/A 48114-2023 FSC-klagomål.docx", "A 48114-2023")</f>
        <v/>
      </c>
      <c r="AB81">
        <f>HYPERLINK("https://klasma.github.io/Logging_0680/klagomålsmail/A 48114-2023 FSC-klagomål mail.docx", "A 48114-2023")</f>
        <v/>
      </c>
      <c r="AC81">
        <f>HYPERLINK("https://klasma.github.io/Logging_0680/tillsyn/A 48114-2023 tillsynsbegäran.docx", "A 48114-2023")</f>
        <v/>
      </c>
      <c r="AD81">
        <f>HYPERLINK("https://klasma.github.io/Logging_0680/tillsynsmail/A 48114-2023 tillsynsbegäran mail.docx", "A 48114-2023")</f>
        <v/>
      </c>
    </row>
    <row r="82" ht="15" customHeight="1">
      <c r="A82" t="inlineStr">
        <is>
          <t>A 18770-2025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45764</v>
      </c>
      <c r="E82" s="1" t="n">
        <v>46310</v>
      </c>
      <c r="F82" t="inlineStr">
        <is>
          <t>JÖNKÖPINGS LÄN</t>
        </is>
      </c>
      <c r="G82" t="inlineStr">
        <is>
          <t>JÖNKÖPING</t>
        </is>
      </c>
      <c r="I82" t="n">
        <v>3.3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s="2" t="inlineStr">
        <is>
          <t>Gullpudra</t>
        </is>
      </c>
      <c r="W82">
        <f>HYPERLINK("https://klasma.github.io/Logging_0680/artfynd/A 18770-2025 artfynd.xlsx", "A 18770-2025")</f>
        <v/>
      </c>
      <c r="X82">
        <f>HYPERLINK("https://klasma.github.io/Logging_0680/kartor/A 18770-2025 karta.png", "A 18770-2025")</f>
        <v/>
      </c>
      <c r="Y82">
        <f>HYPERLINK("https://klasma.github.io/Logging_0680/kartor_geotiff/A 18770-2025 georefererad karta.tif", "A 18770-2025")</f>
        <v/>
      </c>
      <c r="AA82">
        <f>HYPERLINK("https://klasma.github.io/Logging_0680/klagomål/A 18770-2025 FSC-klagomål.docx", "A 18770-2025")</f>
        <v/>
      </c>
      <c r="AB82">
        <f>HYPERLINK("https://klasma.github.io/Logging_0680/klagomålsmail/A 18770-2025 FSC-klagomål mail.docx", "A 18770-2025")</f>
        <v/>
      </c>
      <c r="AC82">
        <f>HYPERLINK("https://klasma.github.io/Logging_0680/tillsyn/A 18770-2025 tillsynsbegäran.docx", "A 18770-2025")</f>
        <v/>
      </c>
      <c r="AD82">
        <f>HYPERLINK("https://klasma.github.io/Logging_0680/tillsynsmail/A 18770-2025 tillsynsbegäran mail.docx", "A 18770-2025")</f>
        <v/>
      </c>
    </row>
    <row r="83" ht="15" customHeight="1">
      <c r="A83" t="inlineStr">
        <is>
          <t>A 14221-2025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45740</v>
      </c>
      <c r="E83" s="1" t="n">
        <v>46310</v>
      </c>
      <c r="F83" t="inlineStr">
        <is>
          <t>JÖNKÖPINGS LÄN</t>
        </is>
      </c>
      <c r="G83" t="inlineStr">
        <is>
          <t>JÖNKÖPING</t>
        </is>
      </c>
      <c r="I83" t="n">
        <v>8.699999999999999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2</v>
      </c>
      <c r="U83" t="n">
        <v>1</v>
      </c>
      <c r="V83" s="2" t="inlineStr">
        <is>
          <t>Gaffelglim</t>
        </is>
      </c>
      <c r="W83">
        <f>HYPERLINK("https://klasma.github.io/Logging_0680/artfynd/A 14221-2025 artfynd.xlsx", "A 14221-2025")</f>
        <v/>
      </c>
      <c r="X83">
        <f>HYPERLINK("https://klasma.github.io/Logging_0680/kartor/A 14221-2025 karta.png", "A 14221-2025")</f>
        <v/>
      </c>
      <c r="Y83">
        <f>HYPERLINK("https://klasma.github.io/Logging_0680/kartor_geotiff/A 14221-2025 georefererad karta.tif", "A 14221-2025")</f>
        <v/>
      </c>
      <c r="AA83">
        <f>HYPERLINK("https://klasma.github.io/Logging_0680/klagomål/A 14221-2025 FSC-klagomål.docx", "A 14221-2025")</f>
        <v/>
      </c>
      <c r="AB83">
        <f>HYPERLINK("https://klasma.github.io/Logging_0680/klagomålsmail/A 14221-2025 FSC-klagomål mail.docx", "A 14221-2025")</f>
        <v/>
      </c>
      <c r="AC83">
        <f>HYPERLINK("https://klasma.github.io/Logging_0680/tillsyn/A 14221-2025 tillsynsbegäran.docx", "A 14221-2025")</f>
        <v/>
      </c>
      <c r="AD83">
        <f>HYPERLINK("https://klasma.github.io/Logging_0680/tillsynsmail/A 14221-2025 tillsynsbegäran mail.docx", "A 14221-2025")</f>
        <v/>
      </c>
    </row>
    <row r="84" ht="15" customHeight="1">
      <c r="A84" t="inlineStr">
        <is>
          <t>A 47492-2024</t>
        </is>
      </c>
      <c r="B84" t="inlineStr">
        <is>
          <t>avverkningsanmälan</t>
        </is>
      </c>
      <c r="C84" t="inlineStr">
        <is>
          <t>Avverkning för annat ändamål</t>
        </is>
      </c>
      <c r="D84" s="1" t="n">
        <v>45587</v>
      </c>
      <c r="E84" s="1" t="n">
        <v>46310</v>
      </c>
      <c r="F84" t="inlineStr">
        <is>
          <t>JÖNKÖPINGS LÄN</t>
        </is>
      </c>
      <c r="G84" t="inlineStr">
        <is>
          <t>JÖNKÖPING</t>
        </is>
      </c>
      <c r="I84" t="n">
        <v>4.7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2</v>
      </c>
      <c r="U84" t="n">
        <v>0</v>
      </c>
      <c r="V84" s="2" t="inlineStr">
        <is>
          <t>Ask</t>
        </is>
      </c>
      <c r="W84">
        <f>HYPERLINK("https://klasma.github.io/Logging_0680/artfynd/A 47492-2024 artfynd.xlsx", "A 47492-2024")</f>
        <v/>
      </c>
      <c r="X84">
        <f>HYPERLINK("https://klasma.github.io/Logging_0680/kartor/A 47492-2024 karta.png", "A 47492-2024")</f>
        <v/>
      </c>
      <c r="Y84">
        <f>HYPERLINK("https://klasma.github.io/Logging_0680/kartor_geotiff/A 47492-2024 georefererad karta.tif", "A 47492-2024")</f>
        <v/>
      </c>
      <c r="AA84">
        <f>HYPERLINK("https://klasma.github.io/Logging_0680/klagomål/A 47492-2024 FSC-klagomål.docx", "A 47492-2024")</f>
        <v/>
      </c>
      <c r="AB84">
        <f>HYPERLINK("https://klasma.github.io/Logging_0680/klagomålsmail/A 47492-2024 FSC-klagomål mail.docx", "A 47492-2024")</f>
        <v/>
      </c>
      <c r="AC84">
        <f>HYPERLINK("https://klasma.github.io/Logging_0680/tillsyn/A 47492-2024 tillsynsbegäran.docx", "A 47492-2024")</f>
        <v/>
      </c>
      <c r="AD84">
        <f>HYPERLINK("https://klasma.github.io/Logging_0680/tillsynsmail/A 47492-2024 tillsynsbegäran mail.docx", "A 47492-2024")</f>
        <v/>
      </c>
    </row>
    <row r="85" ht="15" customHeight="1">
      <c r="A85" t="inlineStr">
        <is>
          <t>A 28230-2024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45477</v>
      </c>
      <c r="E85" s="1" t="n">
        <v>46310</v>
      </c>
      <c r="F85" t="inlineStr">
        <is>
          <t>JÖNKÖPINGS LÄN</t>
        </is>
      </c>
      <c r="G85" t="inlineStr">
        <is>
          <t>JÖNKÖPING</t>
        </is>
      </c>
      <c r="I85" t="n">
        <v>6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s="2" t="inlineStr">
        <is>
          <t>Svinrot</t>
        </is>
      </c>
      <c r="W85">
        <f>HYPERLINK("https://klasma.github.io/Logging_0680/artfynd/A 28230-2024 artfynd.xlsx", "A 28230-2024")</f>
        <v/>
      </c>
      <c r="X85">
        <f>HYPERLINK("https://klasma.github.io/Logging_0680/kartor/A 28230-2024 karta.png", "A 28230-2024")</f>
        <v/>
      </c>
      <c r="Y85">
        <f>HYPERLINK("https://klasma.github.io/Logging_0680/kartor_geotiff/A 28230-2024 georefererad karta.tif", "A 28230-2024")</f>
        <v/>
      </c>
      <c r="AA85">
        <f>HYPERLINK("https://klasma.github.io/Logging_0680/klagomål/A 28230-2024 FSC-klagomål.docx", "A 28230-2024")</f>
        <v/>
      </c>
      <c r="AB85">
        <f>HYPERLINK("https://klasma.github.io/Logging_0680/klagomålsmail/A 28230-2024 FSC-klagomål mail.docx", "A 28230-2024")</f>
        <v/>
      </c>
      <c r="AC85">
        <f>HYPERLINK("https://klasma.github.io/Logging_0680/tillsyn/A 28230-2024 tillsynsbegäran.docx", "A 28230-2024")</f>
        <v/>
      </c>
      <c r="AD85">
        <f>HYPERLINK("https://klasma.github.io/Logging_0680/tillsynsmail/A 28230-2024 tillsynsbegäran mail.docx", "A 28230-2024")</f>
        <v/>
      </c>
    </row>
    <row r="86" ht="15" customHeight="1">
      <c r="A86" t="inlineStr">
        <is>
          <t>A 29056-2022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44750</v>
      </c>
      <c r="E86" s="1" t="n">
        <v>46310</v>
      </c>
      <c r="F86" t="inlineStr">
        <is>
          <t>JÖNKÖPINGS LÄN</t>
        </is>
      </c>
      <c r="G86" t="inlineStr">
        <is>
          <t>JÖNKÖPING</t>
        </is>
      </c>
      <c r="I86" t="n">
        <v>1.8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s="2" t="inlineStr">
        <is>
          <t>Toppvaxing</t>
        </is>
      </c>
      <c r="W86">
        <f>HYPERLINK("https://klasma.github.io/Logging_0680/artfynd/A 29056-2022 artfynd.xlsx", "A 29056-2022")</f>
        <v/>
      </c>
      <c r="X86">
        <f>HYPERLINK("https://klasma.github.io/Logging_0680/kartor/A 29056-2022 karta.png", "A 29056-2022")</f>
        <v/>
      </c>
      <c r="Y86">
        <f>HYPERLINK("https://klasma.github.io/Logging_0680/kartor_geotiff/A 29056-2022 georefererad karta.tif", "A 29056-2022")</f>
        <v/>
      </c>
      <c r="AA86">
        <f>HYPERLINK("https://klasma.github.io/Logging_0680/klagomål/A 29056-2022 FSC-klagomål.docx", "A 29056-2022")</f>
        <v/>
      </c>
      <c r="AB86">
        <f>HYPERLINK("https://klasma.github.io/Logging_0680/klagomålsmail/A 29056-2022 FSC-klagomål mail.docx", "A 29056-2022")</f>
        <v/>
      </c>
      <c r="AC86">
        <f>HYPERLINK("https://klasma.github.io/Logging_0680/tillsyn/A 29056-2022 tillsynsbegäran.docx", "A 29056-2022")</f>
        <v/>
      </c>
      <c r="AD86">
        <f>HYPERLINK("https://klasma.github.io/Logging_0680/tillsynsmail/A 29056-2022 tillsynsbegäran mail.docx", "A 29056-2022")</f>
        <v/>
      </c>
    </row>
    <row r="87" ht="15" customHeight="1">
      <c r="A87" t="inlineStr">
        <is>
          <t>A 42038-2023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45177</v>
      </c>
      <c r="E87" s="1" t="n">
        <v>46310</v>
      </c>
      <c r="F87" t="inlineStr">
        <is>
          <t>JÖNKÖPINGS LÄN</t>
        </is>
      </c>
      <c r="G87" t="inlineStr">
        <is>
          <t>JÖNKÖPING</t>
        </is>
      </c>
      <c r="I87" t="n">
        <v>1.1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2</v>
      </c>
      <c r="U87" t="n">
        <v>0</v>
      </c>
      <c r="V87" s="2" t="inlineStr">
        <is>
          <t>Ask</t>
        </is>
      </c>
      <c r="W87">
        <f>HYPERLINK("https://klasma.github.io/Logging_0680/artfynd/A 42038-2023 artfynd.xlsx", "A 42038-2023")</f>
        <v/>
      </c>
      <c r="X87">
        <f>HYPERLINK("https://klasma.github.io/Logging_0680/kartor/A 42038-2023 karta.png", "A 42038-2023")</f>
        <v/>
      </c>
      <c r="Y87">
        <f>HYPERLINK("https://klasma.github.io/Logging_0680/kartor_geotiff/A 42038-2023 georefererad karta.tif", "A 42038-2023")</f>
        <v/>
      </c>
      <c r="AA87">
        <f>HYPERLINK("https://klasma.github.io/Logging_0680/klagomål/A 42038-2023 FSC-klagomål.docx", "A 42038-2023")</f>
        <v/>
      </c>
      <c r="AB87">
        <f>HYPERLINK("https://klasma.github.io/Logging_0680/klagomålsmail/A 42038-2023 FSC-klagomål mail.docx", "A 42038-2023")</f>
        <v/>
      </c>
      <c r="AC87">
        <f>HYPERLINK("https://klasma.github.io/Logging_0680/tillsyn/A 42038-2023 tillsynsbegäran.docx", "A 42038-2023")</f>
        <v/>
      </c>
      <c r="AD87">
        <f>HYPERLINK("https://klasma.github.io/Logging_0680/tillsynsmail/A 42038-2023 tillsynsbegäran mail.docx", "A 42038-2023")</f>
        <v/>
      </c>
    </row>
    <row r="88" ht="15" customHeight="1">
      <c r="A88" t="inlineStr">
        <is>
          <t>A 33405-2025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45841</v>
      </c>
      <c r="E88" s="1" t="n">
        <v>46310</v>
      </c>
      <c r="F88" t="inlineStr">
        <is>
          <t>JÖNKÖPINGS LÄN</t>
        </is>
      </c>
      <c r="G88" t="inlineStr">
        <is>
          <t>JÖNKÖPING</t>
        </is>
      </c>
      <c r="I88" t="n">
        <v>3.9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  <c r="V88" s="2" t="inlineStr">
        <is>
          <t>Läkeögontröst</t>
        </is>
      </c>
      <c r="W88">
        <f>HYPERLINK("https://klasma.github.io/Logging_0680/artfynd/A 33405-2025 artfynd.xlsx", "A 33405-2025")</f>
        <v/>
      </c>
      <c r="X88">
        <f>HYPERLINK("https://klasma.github.io/Logging_0680/kartor/A 33405-2025 karta.png", "A 33405-2025")</f>
        <v/>
      </c>
      <c r="Y88">
        <f>HYPERLINK("https://klasma.github.io/Logging_0680/kartor_geotiff/A 33405-2025 georefererad karta.tif", "A 33405-2025")</f>
        <v/>
      </c>
      <c r="AA88">
        <f>HYPERLINK("https://klasma.github.io/Logging_0680/klagomål/A 33405-2025 FSC-klagomål.docx", "A 33405-2025")</f>
        <v/>
      </c>
      <c r="AB88">
        <f>HYPERLINK("https://klasma.github.io/Logging_0680/klagomålsmail/A 33405-2025 FSC-klagomål mail.docx", "A 33405-2025")</f>
        <v/>
      </c>
      <c r="AC88">
        <f>HYPERLINK("https://klasma.github.io/Logging_0680/tillsyn/A 33405-2025 tillsynsbegäran.docx", "A 33405-2025")</f>
        <v/>
      </c>
      <c r="AD88">
        <f>HYPERLINK("https://klasma.github.io/Logging_0680/tillsynsmail/A 33405-2025 tillsynsbegäran mail.docx", "A 33405-2025")</f>
        <v/>
      </c>
    </row>
    <row r="89" ht="15" customHeight="1">
      <c r="A89" t="inlineStr">
        <is>
          <t>A 33849-2025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45842</v>
      </c>
      <c r="E89" s="1" t="n">
        <v>46310</v>
      </c>
      <c r="F89" t="inlineStr">
        <is>
          <t>JÖNKÖPINGS LÄN</t>
        </is>
      </c>
      <c r="G89" t="inlineStr">
        <is>
          <t>JÖNKÖPING</t>
        </is>
      </c>
      <c r="I89" t="n">
        <v>1.7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4</v>
      </c>
      <c r="U89" t="n">
        <v>4</v>
      </c>
      <c r="V89" s="2" t="inlineStr">
        <is>
          <t>Jungfrulin</t>
        </is>
      </c>
      <c r="W89">
        <f>HYPERLINK("https://klasma.github.io/Logging_0680/artfynd/A 33849-2025 artfynd.xlsx", "A 33849-2025")</f>
        <v/>
      </c>
      <c r="X89">
        <f>HYPERLINK("https://klasma.github.io/Logging_0680/kartor/A 33849-2025 karta.png", "A 33849-2025")</f>
        <v/>
      </c>
      <c r="Y89">
        <f>HYPERLINK("https://klasma.github.io/Logging_0680/kartor_geotiff/A 33849-2025 georefererad karta.tif", "A 33849-2025")</f>
        <v/>
      </c>
      <c r="AA89">
        <f>HYPERLINK("https://klasma.github.io/Logging_0680/klagomål/A 33849-2025 FSC-klagomål.docx", "A 33849-2025")</f>
        <v/>
      </c>
      <c r="AB89">
        <f>HYPERLINK("https://klasma.github.io/Logging_0680/klagomålsmail/A 33849-2025 FSC-klagomål mail.docx", "A 33849-2025")</f>
        <v/>
      </c>
      <c r="AC89">
        <f>HYPERLINK("https://klasma.github.io/Logging_0680/tillsyn/A 33849-2025 tillsynsbegäran.docx", "A 33849-2025")</f>
        <v/>
      </c>
      <c r="AD89">
        <f>HYPERLINK("https://klasma.github.io/Logging_0680/tillsynsmail/A 33849-2025 tillsynsbegäran mail.docx", "A 33849-2025")</f>
        <v/>
      </c>
    </row>
    <row r="90" ht="15" customHeight="1">
      <c r="A90" t="inlineStr">
        <is>
          <t>A 20740-2024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45436</v>
      </c>
      <c r="E90" s="1" t="n">
        <v>46310</v>
      </c>
      <c r="F90" t="inlineStr">
        <is>
          <t>JÖNKÖPINGS LÄN</t>
        </is>
      </c>
      <c r="G90" t="inlineStr">
        <is>
          <t>JÖNKÖPING</t>
        </is>
      </c>
      <c r="I90" t="n">
        <v>1.3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s="2" t="inlineStr">
        <is>
          <t>Svartvit flugsnappare</t>
        </is>
      </c>
      <c r="W90">
        <f>HYPERLINK("https://klasma.github.io/Logging_0680/artfynd/A 20740-2024 artfynd.xlsx", "A 20740-2024")</f>
        <v/>
      </c>
      <c r="X90">
        <f>HYPERLINK("https://klasma.github.io/Logging_0680/kartor/A 20740-2024 karta.png", "A 20740-2024")</f>
        <v/>
      </c>
      <c r="Y90">
        <f>HYPERLINK("https://klasma.github.io/Logging_0680/kartor_geotiff/A 20740-2024 georefererad karta.tif", "A 20740-2024")</f>
        <v/>
      </c>
      <c r="AA90">
        <f>HYPERLINK("https://klasma.github.io/Logging_0680/klagomål/A 20740-2024 FSC-klagomål.docx", "A 20740-2024")</f>
        <v/>
      </c>
      <c r="AB90">
        <f>HYPERLINK("https://klasma.github.io/Logging_0680/klagomålsmail/A 20740-2024 FSC-klagomål mail.docx", "A 20740-2024")</f>
        <v/>
      </c>
      <c r="AC90">
        <f>HYPERLINK("https://klasma.github.io/Logging_0680/tillsyn/A 20740-2024 tillsynsbegäran.docx", "A 20740-2024")</f>
        <v/>
      </c>
      <c r="AD90">
        <f>HYPERLINK("https://klasma.github.io/Logging_0680/tillsynsmail/A 20740-2024 tillsynsbegäran mail.docx", "A 20740-2024")</f>
        <v/>
      </c>
    </row>
    <row r="91" ht="15" customHeight="1">
      <c r="A91" t="inlineStr">
        <is>
          <t>A 54325-2024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45616</v>
      </c>
      <c r="E91" s="1" t="n">
        <v>46310</v>
      </c>
      <c r="F91" t="inlineStr">
        <is>
          <t>JÖNKÖPINGS LÄN</t>
        </is>
      </c>
      <c r="G91" t="inlineStr">
        <is>
          <t>JÖNKÖPING</t>
        </is>
      </c>
      <c r="I91" t="n">
        <v>8.699999999999999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0</v>
      </c>
      <c r="V91" s="2" t="inlineStr">
        <is>
          <t>Talltita</t>
        </is>
      </c>
      <c r="W91">
        <f>HYPERLINK("https://klasma.github.io/Logging_0680/artfynd/A 54325-2024 artfynd.xlsx", "A 54325-2024")</f>
        <v/>
      </c>
      <c r="X91">
        <f>HYPERLINK("https://klasma.github.io/Logging_0680/kartor/A 54325-2024 karta.png", "A 54325-2024")</f>
        <v/>
      </c>
      <c r="Y91">
        <f>HYPERLINK("https://klasma.github.io/Logging_0680/kartor_geotiff/A 54325-2024 georefererad karta.tif", "A 54325-2024")</f>
        <v/>
      </c>
      <c r="AA91">
        <f>HYPERLINK("https://klasma.github.io/Logging_0680/klagomål/A 54325-2024 FSC-klagomål.docx", "A 54325-2024")</f>
        <v/>
      </c>
      <c r="AB91">
        <f>HYPERLINK("https://klasma.github.io/Logging_0680/klagomålsmail/A 54325-2024 FSC-klagomål mail.docx", "A 54325-2024")</f>
        <v/>
      </c>
      <c r="AC91">
        <f>HYPERLINK("https://klasma.github.io/Logging_0680/tillsyn/A 54325-2024 tillsynsbegäran.docx", "A 54325-2024")</f>
        <v/>
      </c>
      <c r="AD91">
        <f>HYPERLINK("https://klasma.github.io/Logging_0680/tillsynsmail/A 54325-2024 tillsynsbegäran mail.docx", "A 54325-2024")</f>
        <v/>
      </c>
      <c r="AE91">
        <f>HYPERLINK("https://klasma.github.io/Logging_0680/fåglar/A 54325-2024 prioriterade fågelarter.docx", "A 54325-2024")</f>
        <v/>
      </c>
    </row>
    <row r="92" ht="15" customHeight="1">
      <c r="A92" t="inlineStr">
        <is>
          <t>A 278-2024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45295</v>
      </c>
      <c r="E92" s="1" t="n">
        <v>46310</v>
      </c>
      <c r="F92" t="inlineStr">
        <is>
          <t>JÖNKÖPINGS LÄN</t>
        </is>
      </c>
      <c r="G92" t="inlineStr">
        <is>
          <t>JÖNKÖPING</t>
        </is>
      </c>
      <c r="H92" t="inlineStr">
        <is>
          <t>Sveaskog</t>
        </is>
      </c>
      <c r="I92" t="n">
        <v>1.1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s="2" t="inlineStr">
        <is>
          <t>Mattlummer</t>
        </is>
      </c>
      <c r="W92">
        <f>HYPERLINK("https://klasma.github.io/Logging_0680/artfynd/A 278-2024 artfynd.xlsx", "A 278-2024")</f>
        <v/>
      </c>
      <c r="X92">
        <f>HYPERLINK("https://klasma.github.io/Logging_0680/kartor/A 278-2024 karta.png", "A 278-2024")</f>
        <v/>
      </c>
      <c r="Y92">
        <f>HYPERLINK("https://klasma.github.io/Logging_0680/kartor_geotiff/A 278-2024 georefererad karta.tif", "A 278-2024")</f>
        <v/>
      </c>
      <c r="AA92">
        <f>HYPERLINK("https://klasma.github.io/Logging_0680/klagomål/A 278-2024 FSC-klagomål.docx", "A 278-2024")</f>
        <v/>
      </c>
      <c r="AB92">
        <f>HYPERLINK("https://klasma.github.io/Logging_0680/klagomålsmail/A 278-2024 FSC-klagomål mail.docx", "A 278-2024")</f>
        <v/>
      </c>
      <c r="AC92">
        <f>HYPERLINK("https://klasma.github.io/Logging_0680/tillsyn/A 278-2024 tillsynsbegäran.docx", "A 278-2024")</f>
        <v/>
      </c>
      <c r="AD92">
        <f>HYPERLINK("https://klasma.github.io/Logging_0680/tillsynsmail/A 278-2024 tillsynsbegäran mail.docx", "A 278-2024")</f>
        <v/>
      </c>
    </row>
    <row r="93" ht="15" customHeight="1">
      <c r="A93" t="inlineStr">
        <is>
          <t>A 45366-2022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44840</v>
      </c>
      <c r="E93" s="1" t="n">
        <v>46310</v>
      </c>
      <c r="F93" t="inlineStr">
        <is>
          <t>JÖNKÖPINGS LÄN</t>
        </is>
      </c>
      <c r="G93" t="inlineStr">
        <is>
          <t>JÖNKÖPING</t>
        </is>
      </c>
      <c r="I93" t="n">
        <v>3.2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s="2" t="inlineStr">
        <is>
          <t>Mörk husmossa</t>
        </is>
      </c>
      <c r="W93">
        <f>HYPERLINK("https://klasma.github.io/Logging_0680/artfynd/A 45366-2022 artfynd.xlsx", "A 45366-2022")</f>
        <v/>
      </c>
      <c r="X93">
        <f>HYPERLINK("https://klasma.github.io/Logging_0680/kartor/A 45366-2022 karta.png", "A 45366-2022")</f>
        <v/>
      </c>
      <c r="Y93">
        <f>HYPERLINK("https://klasma.github.io/Logging_0680/kartor_geotiff/A 45366-2022 georefererad karta.tif", "A 45366-2022")</f>
        <v/>
      </c>
      <c r="AA93">
        <f>HYPERLINK("https://klasma.github.io/Logging_0680/klagomål/A 45366-2022 FSC-klagomål.docx", "A 45366-2022")</f>
        <v/>
      </c>
      <c r="AB93">
        <f>HYPERLINK("https://klasma.github.io/Logging_0680/klagomålsmail/A 45366-2022 FSC-klagomål mail.docx", "A 45366-2022")</f>
        <v/>
      </c>
      <c r="AC93">
        <f>HYPERLINK("https://klasma.github.io/Logging_0680/tillsyn/A 45366-2022 tillsynsbegäran.docx", "A 45366-2022")</f>
        <v/>
      </c>
      <c r="AD93">
        <f>HYPERLINK("https://klasma.github.io/Logging_0680/tillsynsmail/A 45366-2022 tillsynsbegäran mail.docx", "A 45366-2022")</f>
        <v/>
      </c>
    </row>
    <row r="94" ht="15" customHeight="1">
      <c r="A94" t="inlineStr">
        <is>
          <t>A 10455-2025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45720</v>
      </c>
      <c r="E94" s="1" t="n">
        <v>46310</v>
      </c>
      <c r="F94" t="inlineStr">
        <is>
          <t>JÖNKÖPINGS LÄN</t>
        </is>
      </c>
      <c r="G94" t="inlineStr">
        <is>
          <t>JÖNKÖPING</t>
        </is>
      </c>
      <c r="I94" t="n">
        <v>3.4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s="2" t="inlineStr">
        <is>
          <t>Hasselmus</t>
        </is>
      </c>
      <c r="W94">
        <f>HYPERLINK("https://klasma.github.io/Logging_0680/artfynd/A 10455-2025 artfynd.xlsx", "A 10455-2025")</f>
        <v/>
      </c>
      <c r="X94">
        <f>HYPERLINK("https://klasma.github.io/Logging_0680/kartor/A 10455-2025 karta.png", "A 10455-2025")</f>
        <v/>
      </c>
      <c r="Y94">
        <f>HYPERLINK("https://klasma.github.io/Logging_0680/kartor_geotiff/A 10455-2025 georefererad karta.tif", "A 10455-2025")</f>
        <v/>
      </c>
      <c r="AA94">
        <f>HYPERLINK("https://klasma.github.io/Logging_0680/klagomål/A 10455-2025 FSC-klagomål.docx", "A 10455-2025")</f>
        <v/>
      </c>
      <c r="AB94">
        <f>HYPERLINK("https://klasma.github.io/Logging_0680/klagomålsmail/A 10455-2025 FSC-klagomål mail.docx", "A 10455-2025")</f>
        <v/>
      </c>
      <c r="AC94">
        <f>HYPERLINK("https://klasma.github.io/Logging_0680/tillsyn/A 10455-2025 tillsynsbegäran.docx", "A 10455-2025")</f>
        <v/>
      </c>
      <c r="AD94">
        <f>HYPERLINK("https://klasma.github.io/Logging_0680/tillsynsmail/A 10455-2025 tillsynsbegäran mail.docx", "A 10455-2025")</f>
        <v/>
      </c>
    </row>
    <row r="95" ht="15" customHeight="1">
      <c r="A95" t="inlineStr">
        <is>
          <t>A 34597-2025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45846</v>
      </c>
      <c r="E95" s="1" t="n">
        <v>46310</v>
      </c>
      <c r="F95" t="inlineStr">
        <is>
          <t>JÖNKÖPINGS LÄN</t>
        </is>
      </c>
      <c r="G95" t="inlineStr">
        <is>
          <t>JÖNKÖPING</t>
        </is>
      </c>
      <c r="H95" t="inlineStr">
        <is>
          <t>Kyrkan</t>
        </is>
      </c>
      <c r="I95" t="n">
        <v>7.3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s="2" t="inlineStr">
        <is>
          <t>Knärot</t>
        </is>
      </c>
      <c r="W95">
        <f>HYPERLINK("https://klasma.github.io/Logging_0680/artfynd/A 34597-2025 artfynd.xlsx", "A 34597-2025")</f>
        <v/>
      </c>
      <c r="X95">
        <f>HYPERLINK("https://klasma.github.io/Logging_0680/kartor/A 34597-2025 karta.png", "A 34597-2025")</f>
        <v/>
      </c>
      <c r="Y95">
        <f>HYPERLINK("https://klasma.github.io/Logging_0680/kartor_geotiff/A 34597-2025 georefererad karta.tif", "A 34597-2025")</f>
        <v/>
      </c>
      <c r="Z95">
        <f>HYPERLINK("https://klasma.github.io/Logging_0680/knärot/A 34597-2025 karta knärot.png", "A 34597-2025")</f>
        <v/>
      </c>
      <c r="AA95">
        <f>HYPERLINK("https://klasma.github.io/Logging_0680/klagomål/A 34597-2025 FSC-klagomål.docx", "A 34597-2025")</f>
        <v/>
      </c>
      <c r="AB95">
        <f>HYPERLINK("https://klasma.github.io/Logging_0680/klagomålsmail/A 34597-2025 FSC-klagomål mail.docx", "A 34597-2025")</f>
        <v/>
      </c>
      <c r="AC95">
        <f>HYPERLINK("https://klasma.github.io/Logging_0680/tillsyn/A 34597-2025 tillsynsbegäran.docx", "A 34597-2025")</f>
        <v/>
      </c>
      <c r="AD95">
        <f>HYPERLINK("https://klasma.github.io/Logging_0680/tillsynsmail/A 34597-2025 tillsynsbegäran mail.docx", "A 34597-2025")</f>
        <v/>
      </c>
    </row>
    <row r="96" ht="15" customHeight="1">
      <c r="A96" t="inlineStr">
        <is>
          <t>A 46816-2025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45926</v>
      </c>
      <c r="E96" s="1" t="n">
        <v>46310</v>
      </c>
      <c r="F96" t="inlineStr">
        <is>
          <t>JÖNKÖPINGS LÄN</t>
        </is>
      </c>
      <c r="G96" t="inlineStr">
        <is>
          <t>JÖNKÖPING</t>
        </is>
      </c>
      <c r="I96" t="n">
        <v>1.4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3</v>
      </c>
      <c r="U96" t="n">
        <v>0</v>
      </c>
      <c r="V96" s="2" t="inlineStr">
        <is>
          <t>Ask</t>
        </is>
      </c>
      <c r="W96">
        <f>HYPERLINK("https://klasma.github.io/Logging_0680/artfynd/A 46816-2025 artfynd.xlsx", "A 46816-2025")</f>
        <v/>
      </c>
      <c r="X96">
        <f>HYPERLINK("https://klasma.github.io/Logging_0680/kartor/A 46816-2025 karta.png", "A 46816-2025")</f>
        <v/>
      </c>
      <c r="Y96">
        <f>HYPERLINK("https://klasma.github.io/Logging_0680/kartor_geotiff/A 46816-2025 georefererad karta.tif", "A 46816-2025")</f>
        <v/>
      </c>
      <c r="AA96">
        <f>HYPERLINK("https://klasma.github.io/Logging_0680/klagomål/A 46816-2025 FSC-klagomål.docx", "A 46816-2025")</f>
        <v/>
      </c>
      <c r="AB96">
        <f>HYPERLINK("https://klasma.github.io/Logging_0680/klagomålsmail/A 46816-2025 FSC-klagomål mail.docx", "A 46816-2025")</f>
        <v/>
      </c>
      <c r="AC96">
        <f>HYPERLINK("https://klasma.github.io/Logging_0680/tillsyn/A 46816-2025 tillsynsbegäran.docx", "A 46816-2025")</f>
        <v/>
      </c>
      <c r="AD96">
        <f>HYPERLINK("https://klasma.github.io/Logging_0680/tillsynsmail/A 46816-2025 tillsynsbegäran mail.docx", "A 46816-2025")</f>
        <v/>
      </c>
    </row>
    <row r="97" ht="15" customHeight="1">
      <c r="A97" t="inlineStr">
        <is>
          <t>A 12518-2025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45730</v>
      </c>
      <c r="E97" s="1" t="n">
        <v>46310</v>
      </c>
      <c r="F97" t="inlineStr">
        <is>
          <t>JÖNKÖPINGS LÄN</t>
        </is>
      </c>
      <c r="G97" t="inlineStr">
        <is>
          <t>JÖNKÖPING</t>
        </is>
      </c>
      <c r="I97" t="n">
        <v>1.6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1</v>
      </c>
      <c r="T97" t="n">
        <v>5</v>
      </c>
      <c r="U97" t="n">
        <v>0</v>
      </c>
      <c r="V97" s="2" t="inlineStr">
        <is>
          <t>Ask</t>
        </is>
      </c>
      <c r="W97">
        <f>HYPERLINK("https://klasma.github.io/Logging_0680/artfynd/A 12518-2025 artfynd.xlsx", "A 12518-2025")</f>
        <v/>
      </c>
      <c r="X97">
        <f>HYPERLINK("https://klasma.github.io/Logging_0680/kartor/A 12518-2025 karta.png", "A 12518-2025")</f>
        <v/>
      </c>
      <c r="Y97">
        <f>HYPERLINK("https://klasma.github.io/Logging_0680/kartor_geotiff/A 12518-2025 georefererad karta.tif", "A 12518-2025")</f>
        <v/>
      </c>
      <c r="AA97">
        <f>HYPERLINK("https://klasma.github.io/Logging_0680/klagomål/A 12518-2025 FSC-klagomål.docx", "A 12518-2025")</f>
        <v/>
      </c>
      <c r="AB97">
        <f>HYPERLINK("https://klasma.github.io/Logging_0680/klagomålsmail/A 12518-2025 FSC-klagomål mail.docx", "A 12518-2025")</f>
        <v/>
      </c>
      <c r="AC97">
        <f>HYPERLINK("https://klasma.github.io/Logging_0680/tillsyn/A 12518-2025 tillsynsbegäran.docx", "A 12518-2025")</f>
        <v/>
      </c>
      <c r="AD97">
        <f>HYPERLINK("https://klasma.github.io/Logging_0680/tillsynsmail/A 12518-2025 tillsynsbegäran mail.docx", "A 12518-2025")</f>
        <v/>
      </c>
    </row>
    <row r="98" ht="15" customHeight="1">
      <c r="A98" t="inlineStr">
        <is>
          <t>A 62844-2023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45272</v>
      </c>
      <c r="E98" s="1" t="n">
        <v>46310</v>
      </c>
      <c r="F98" t="inlineStr">
        <is>
          <t>JÖNKÖPINGS LÄN</t>
        </is>
      </c>
      <c r="G98" t="inlineStr">
        <is>
          <t>JÖNKÖPING</t>
        </is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4</v>
      </c>
      <c r="U98" t="n">
        <v>0</v>
      </c>
      <c r="V98" s="2" t="inlineStr">
        <is>
          <t>Ask</t>
        </is>
      </c>
      <c r="W98">
        <f>HYPERLINK("https://klasma.github.io/Logging_0680/artfynd/A 62844-2023 artfynd.xlsx", "A 62844-2023")</f>
        <v/>
      </c>
      <c r="X98">
        <f>HYPERLINK("https://klasma.github.io/Logging_0680/kartor/A 62844-2023 karta.png", "A 62844-2023")</f>
        <v/>
      </c>
      <c r="Y98">
        <f>HYPERLINK("https://klasma.github.io/Logging_0680/kartor_geotiff/A 62844-2023 georefererad karta.tif", "A 62844-2023")</f>
        <v/>
      </c>
      <c r="AA98">
        <f>HYPERLINK("https://klasma.github.io/Logging_0680/klagomål/A 62844-2023 FSC-klagomål.docx", "A 62844-2023")</f>
        <v/>
      </c>
      <c r="AB98">
        <f>HYPERLINK("https://klasma.github.io/Logging_0680/klagomålsmail/A 62844-2023 FSC-klagomål mail.docx", "A 62844-2023")</f>
        <v/>
      </c>
      <c r="AC98">
        <f>HYPERLINK("https://klasma.github.io/Logging_0680/tillsyn/A 62844-2023 tillsynsbegäran.docx", "A 62844-2023")</f>
        <v/>
      </c>
      <c r="AD98">
        <f>HYPERLINK("https://klasma.github.io/Logging_0680/tillsynsmail/A 62844-2023 tillsynsbegäran mail.docx", "A 62844-2023")</f>
        <v/>
      </c>
    </row>
    <row r="99" ht="15" customHeight="1">
      <c r="A99" t="inlineStr">
        <is>
          <t>A 48371-2023</t>
        </is>
      </c>
      <c r="B99" t="inlineStr">
        <is>
          <t>avverkningsanmälan</t>
        </is>
      </c>
      <c r="C99" t="inlineStr">
        <is>
          <t>Avverkning för annat ändamål</t>
        </is>
      </c>
      <c r="D99" s="1" t="n">
        <v>45205</v>
      </c>
      <c r="E99" s="1" t="n">
        <v>46310</v>
      </c>
      <c r="F99" t="inlineStr">
        <is>
          <t>JÖNKÖPINGS LÄN</t>
        </is>
      </c>
      <c r="G99" t="inlineStr">
        <is>
          <t>JÖNKÖPING</t>
        </is>
      </c>
      <c r="I99" t="n">
        <v>4.9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0</v>
      </c>
      <c r="V99" s="2" t="inlineStr">
        <is>
          <t>Älg</t>
        </is>
      </c>
      <c r="W99">
        <f>HYPERLINK("https://klasma.github.io/Logging_0680/artfynd/A 48371-2023 artfynd.xlsx", "A 48371-2023")</f>
        <v/>
      </c>
      <c r="X99">
        <f>HYPERLINK("https://klasma.github.io/Logging_0680/kartor/A 48371-2023 karta.png", "A 48371-2023")</f>
        <v/>
      </c>
      <c r="Y99">
        <f>HYPERLINK("https://klasma.github.io/Logging_0680/kartor_geotiff/A 48371-2023 georefererad karta.tif", "A 48371-2023")</f>
        <v/>
      </c>
      <c r="AA99">
        <f>HYPERLINK("https://klasma.github.io/Logging_0680/klagomål/A 48371-2023 FSC-klagomål.docx", "A 48371-2023")</f>
        <v/>
      </c>
      <c r="AB99">
        <f>HYPERLINK("https://klasma.github.io/Logging_0680/klagomålsmail/A 48371-2023 FSC-klagomål mail.docx", "A 48371-2023")</f>
        <v/>
      </c>
      <c r="AC99">
        <f>HYPERLINK("https://klasma.github.io/Logging_0680/tillsyn/A 48371-2023 tillsynsbegäran.docx", "A 48371-2023")</f>
        <v/>
      </c>
      <c r="AD99">
        <f>HYPERLINK("https://klasma.github.io/Logging_0680/tillsynsmail/A 48371-2023 tillsynsbegäran mail.docx", "A 48371-2023")</f>
        <v/>
      </c>
    </row>
    <row r="100" ht="15" customHeight="1">
      <c r="A100" t="inlineStr">
        <is>
          <t>A 15516-2026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46106</v>
      </c>
      <c r="E100" s="1" t="n">
        <v>46310</v>
      </c>
      <c r="F100" t="inlineStr">
        <is>
          <t>JÖNKÖPINGS LÄN</t>
        </is>
      </c>
      <c r="G100" t="inlineStr">
        <is>
          <t>JÖNKÖPING</t>
        </is>
      </c>
      <c r="H100" t="inlineStr">
        <is>
          <t>Sveaskog</t>
        </is>
      </c>
      <c r="I100" t="n">
        <v>32.6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2</v>
      </c>
      <c r="U100" t="n">
        <v>0</v>
      </c>
      <c r="V100" s="2" t="inlineStr">
        <is>
          <t>Revlummer</t>
        </is>
      </c>
      <c r="W100">
        <f>HYPERLINK("https://klasma.github.io/Logging_0680/artfynd/A 15516-2026 artfynd.xlsx", "A 15516-2026")</f>
        <v/>
      </c>
      <c r="X100">
        <f>HYPERLINK("https://klasma.github.io/Logging_0680/kartor/A 15516-2026 karta.png", "A 15516-2026")</f>
        <v/>
      </c>
      <c r="Y100">
        <f>HYPERLINK("https://klasma.github.io/Logging_0680/kartor_geotiff/A 15516-2026 georefererad karta.tif", "A 15516-2026")</f>
        <v/>
      </c>
      <c r="AA100">
        <f>HYPERLINK("https://klasma.github.io/Logging_0680/klagomål/A 15516-2026 FSC-klagomål.docx", "A 15516-2026")</f>
        <v/>
      </c>
      <c r="AB100">
        <f>HYPERLINK("https://klasma.github.io/Logging_0680/klagomålsmail/A 15516-2026 FSC-klagomål mail.docx", "A 15516-2026")</f>
        <v/>
      </c>
      <c r="AC100">
        <f>HYPERLINK("https://klasma.github.io/Logging_0680/tillsyn/A 15516-2026 tillsynsbegäran.docx", "A 15516-2026")</f>
        <v/>
      </c>
      <c r="AD100">
        <f>HYPERLINK("https://klasma.github.io/Logging_0680/tillsynsmail/A 15516-2026 tillsynsbegäran mail.docx", "A 15516-2026")</f>
        <v/>
      </c>
    </row>
    <row r="101" ht="15" customHeight="1">
      <c r="A101" t="inlineStr">
        <is>
          <t>A 43624-2023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45184</v>
      </c>
      <c r="E101" s="1" t="n">
        <v>46310</v>
      </c>
      <c r="F101" t="inlineStr">
        <is>
          <t>JÖNKÖPINGS LÄN</t>
        </is>
      </c>
      <c r="G101" t="inlineStr">
        <is>
          <t>JÖNKÖPING</t>
        </is>
      </c>
      <c r="I101" t="n">
        <v>4.1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2</v>
      </c>
      <c r="U101" t="n">
        <v>0</v>
      </c>
      <c r="V101" s="2" t="inlineStr">
        <is>
          <t>Gullpudra</t>
        </is>
      </c>
      <c r="W101">
        <f>HYPERLINK("https://klasma.github.io/Logging_0680/artfynd/A 43624-2023 artfynd.xlsx", "A 43624-2023")</f>
        <v/>
      </c>
      <c r="X101">
        <f>HYPERLINK("https://klasma.github.io/Logging_0680/kartor/A 43624-2023 karta.png", "A 43624-2023")</f>
        <v/>
      </c>
      <c r="Y101">
        <f>HYPERLINK("https://klasma.github.io/Logging_0680/kartor_geotiff/A 43624-2023 georefererad karta.tif", "A 43624-2023")</f>
        <v/>
      </c>
      <c r="AA101">
        <f>HYPERLINK("https://klasma.github.io/Logging_0680/klagomål/A 43624-2023 FSC-klagomål.docx", "A 43624-2023")</f>
        <v/>
      </c>
      <c r="AB101">
        <f>HYPERLINK("https://klasma.github.io/Logging_0680/klagomålsmail/A 43624-2023 FSC-klagomål mail.docx", "A 43624-2023")</f>
        <v/>
      </c>
      <c r="AC101">
        <f>HYPERLINK("https://klasma.github.io/Logging_0680/tillsyn/A 43624-2023 tillsynsbegäran.docx", "A 43624-2023")</f>
        <v/>
      </c>
      <c r="AD101">
        <f>HYPERLINK("https://klasma.github.io/Logging_0680/tillsynsmail/A 43624-2023 tillsynsbegäran mail.docx", "A 43624-2023")</f>
        <v/>
      </c>
    </row>
    <row r="102" ht="15" customHeight="1">
      <c r="A102" t="inlineStr">
        <is>
          <t>A 63550-2025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46013</v>
      </c>
      <c r="E102" s="1" t="n">
        <v>46310</v>
      </c>
      <c r="F102" t="inlineStr">
        <is>
          <t>JÖNKÖPINGS LÄN</t>
        </is>
      </c>
      <c r="G102" t="inlineStr">
        <is>
          <t>JÖNKÖPING</t>
        </is>
      </c>
      <c r="I102" t="n">
        <v>2.7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s="2" t="inlineStr">
        <is>
          <t>Blåsippa</t>
        </is>
      </c>
      <c r="W102">
        <f>HYPERLINK("https://klasma.github.io/Logging_0680/artfynd/A 63550-2025 artfynd.xlsx", "A 63550-2025")</f>
        <v/>
      </c>
      <c r="X102">
        <f>HYPERLINK("https://klasma.github.io/Logging_0680/kartor/A 63550-2025 karta.png", "A 63550-2025")</f>
        <v/>
      </c>
      <c r="Y102">
        <f>HYPERLINK("https://klasma.github.io/Logging_0680/kartor_geotiff/A 63550-2025 georefererad karta.tif", "A 63550-2025")</f>
        <v/>
      </c>
      <c r="AA102">
        <f>HYPERLINK("https://klasma.github.io/Logging_0680/klagomål/A 63550-2025 FSC-klagomål.docx", "A 63550-2025")</f>
        <v/>
      </c>
      <c r="AB102">
        <f>HYPERLINK("https://klasma.github.io/Logging_0680/klagomålsmail/A 63550-2025 FSC-klagomål mail.docx", "A 63550-2025")</f>
        <v/>
      </c>
      <c r="AC102">
        <f>HYPERLINK("https://klasma.github.io/Logging_0680/tillsyn/A 63550-2025 tillsynsbegäran.docx", "A 63550-2025")</f>
        <v/>
      </c>
      <c r="AD102">
        <f>HYPERLINK("https://klasma.github.io/Logging_0680/tillsynsmail/A 63550-2025 tillsynsbegäran mail.docx", "A 63550-2025")</f>
        <v/>
      </c>
    </row>
    <row r="103" ht="15" customHeight="1">
      <c r="A103" t="inlineStr">
        <is>
          <t>A 6456-2024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45338</v>
      </c>
      <c r="E103" s="1" t="n">
        <v>46310</v>
      </c>
      <c r="F103" t="inlineStr">
        <is>
          <t>JÖNKÖPINGS LÄN</t>
        </is>
      </c>
      <c r="G103" t="inlineStr">
        <is>
          <t>JÖNKÖPING</t>
        </is>
      </c>
      <c r="H103" t="inlineStr">
        <is>
          <t>Kyrkan</t>
        </is>
      </c>
      <c r="I103" t="n">
        <v>2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s="2" t="inlineStr">
        <is>
          <t>Slåttergubbe</t>
        </is>
      </c>
      <c r="W103">
        <f>HYPERLINK("https://klasma.github.io/Logging_0680/artfynd/A 6456-2024 artfynd.xlsx", "A 6456-2024")</f>
        <v/>
      </c>
      <c r="X103">
        <f>HYPERLINK("https://klasma.github.io/Logging_0680/kartor/A 6456-2024 karta.png", "A 6456-2024")</f>
        <v/>
      </c>
      <c r="Y103">
        <f>HYPERLINK("https://klasma.github.io/Logging_0680/kartor_geotiff/A 6456-2024 georefererad karta.tif", "A 6456-2024")</f>
        <v/>
      </c>
      <c r="AA103">
        <f>HYPERLINK("https://klasma.github.io/Logging_0680/klagomål/A 6456-2024 FSC-klagomål.docx", "A 6456-2024")</f>
        <v/>
      </c>
      <c r="AB103">
        <f>HYPERLINK("https://klasma.github.io/Logging_0680/klagomålsmail/A 6456-2024 FSC-klagomål mail.docx", "A 6456-2024")</f>
        <v/>
      </c>
      <c r="AC103">
        <f>HYPERLINK("https://klasma.github.io/Logging_0680/tillsyn/A 6456-2024 tillsynsbegäran.docx", "A 6456-2024")</f>
        <v/>
      </c>
      <c r="AD103">
        <f>HYPERLINK("https://klasma.github.io/Logging_0680/tillsynsmail/A 6456-2024 tillsynsbegäran mail.docx", "A 6456-2024")</f>
        <v/>
      </c>
    </row>
    <row r="104" ht="15" customHeight="1">
      <c r="A104" t="inlineStr">
        <is>
          <t>A 4582-2026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46048</v>
      </c>
      <c r="E104" s="1" t="n">
        <v>46310</v>
      </c>
      <c r="F104" t="inlineStr">
        <is>
          <t>JÖNKÖPINGS LÄN</t>
        </is>
      </c>
      <c r="G104" t="inlineStr">
        <is>
          <t>JÖNKÖPING</t>
        </is>
      </c>
      <c r="I104" t="n">
        <v>0.5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s="2" t="inlineStr">
        <is>
          <t>Grovticka</t>
        </is>
      </c>
      <c r="W104">
        <f>HYPERLINK("https://klasma.github.io/Logging_0680/artfynd/A 4582-2026 artfynd.xlsx", "A 4582-2026")</f>
        <v/>
      </c>
      <c r="X104">
        <f>HYPERLINK("https://klasma.github.io/Logging_0680/kartor/A 4582-2026 karta.png", "A 4582-2026")</f>
        <v/>
      </c>
      <c r="Y104">
        <f>HYPERLINK("https://klasma.github.io/Logging_0680/kartor_geotiff/A 4582-2026 georefererad karta.tif", "A 4582-2026")</f>
        <v/>
      </c>
      <c r="AA104">
        <f>HYPERLINK("https://klasma.github.io/Logging_0680/klagomål/A 4582-2026 FSC-klagomål.docx", "A 4582-2026")</f>
        <v/>
      </c>
      <c r="AB104">
        <f>HYPERLINK("https://klasma.github.io/Logging_0680/klagomålsmail/A 4582-2026 FSC-klagomål mail.docx", "A 4582-2026")</f>
        <v/>
      </c>
      <c r="AC104">
        <f>HYPERLINK("https://klasma.github.io/Logging_0680/tillsyn/A 4582-2026 tillsynsbegäran.docx", "A 4582-2026")</f>
        <v/>
      </c>
      <c r="AD104">
        <f>HYPERLINK("https://klasma.github.io/Logging_0680/tillsynsmail/A 4582-2026 tillsynsbegäran mail.docx", "A 4582-2026")</f>
        <v/>
      </c>
    </row>
    <row r="105" ht="15" customHeight="1">
      <c r="A105" t="inlineStr">
        <is>
          <t>A 6168-2026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46055</v>
      </c>
      <c r="E105" s="1" t="n">
        <v>46310</v>
      </c>
      <c r="F105" t="inlineStr">
        <is>
          <t>JÖNKÖPINGS LÄN</t>
        </is>
      </c>
      <c r="G105" t="inlineStr">
        <is>
          <t>JÖNKÖPING</t>
        </is>
      </c>
      <c r="I105" t="n">
        <v>4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s="2" t="inlineStr">
        <is>
          <t>Stor aspticka</t>
        </is>
      </c>
      <c r="W105">
        <f>HYPERLINK("https://klasma.github.io/Logging_0680/artfynd/A 6168-2026 artfynd.xlsx", "A 6168-2026")</f>
        <v/>
      </c>
      <c r="X105">
        <f>HYPERLINK("https://klasma.github.io/Logging_0680/kartor/A 6168-2026 karta.png", "A 6168-2026")</f>
        <v/>
      </c>
      <c r="Y105">
        <f>HYPERLINK("https://klasma.github.io/Logging_0680/kartor_geotiff/A 6168-2026 georefererad karta.tif", "A 6168-2026")</f>
        <v/>
      </c>
      <c r="AA105">
        <f>HYPERLINK("https://klasma.github.io/Logging_0680/klagomål/A 6168-2026 FSC-klagomål.docx", "A 6168-2026")</f>
        <v/>
      </c>
      <c r="AB105">
        <f>HYPERLINK("https://klasma.github.io/Logging_0680/klagomålsmail/A 6168-2026 FSC-klagomål mail.docx", "A 6168-2026")</f>
        <v/>
      </c>
      <c r="AC105">
        <f>HYPERLINK("https://klasma.github.io/Logging_0680/tillsyn/A 6168-2026 tillsynsbegäran.docx", "A 6168-2026")</f>
        <v/>
      </c>
      <c r="AD105">
        <f>HYPERLINK("https://klasma.github.io/Logging_0680/tillsynsmail/A 6168-2026 tillsynsbegäran mail.docx", "A 6168-2026")</f>
        <v/>
      </c>
    </row>
    <row r="106" ht="15" customHeight="1">
      <c r="A106" t="inlineStr">
        <is>
          <t>A 7511-2026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46059</v>
      </c>
      <c r="E106" s="1" t="n">
        <v>46310</v>
      </c>
      <c r="F106" t="inlineStr">
        <is>
          <t>JÖNKÖPINGS LÄN</t>
        </is>
      </c>
      <c r="G106" t="inlineStr">
        <is>
          <t>JÖNKÖPING</t>
        </is>
      </c>
      <c r="I106" t="n">
        <v>2.8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0</v>
      </c>
      <c r="V106" s="2" t="inlineStr">
        <is>
          <t>Lunglav</t>
        </is>
      </c>
      <c r="W106">
        <f>HYPERLINK("https://klasma.github.io/Logging_0680/artfynd/A 7511-2026 artfynd.xlsx", "A 7511-2026")</f>
        <v/>
      </c>
      <c r="X106">
        <f>HYPERLINK("https://klasma.github.io/Logging_0680/kartor/A 7511-2026 karta.png", "A 7511-2026")</f>
        <v/>
      </c>
      <c r="Y106">
        <f>HYPERLINK("https://klasma.github.io/Logging_0680/kartor_geotiff/A 7511-2026 georefererad karta.tif", "A 7511-2026")</f>
        <v/>
      </c>
      <c r="AA106">
        <f>HYPERLINK("https://klasma.github.io/Logging_0680/klagomål/A 7511-2026 FSC-klagomål.docx", "A 7511-2026")</f>
        <v/>
      </c>
      <c r="AB106">
        <f>HYPERLINK("https://klasma.github.io/Logging_0680/klagomålsmail/A 7511-2026 FSC-klagomål mail.docx", "A 7511-2026")</f>
        <v/>
      </c>
      <c r="AC106">
        <f>HYPERLINK("https://klasma.github.io/Logging_0680/tillsyn/A 7511-2026 tillsynsbegäran.docx", "A 7511-2026")</f>
        <v/>
      </c>
      <c r="AD106">
        <f>HYPERLINK("https://klasma.github.io/Logging_0680/tillsynsmail/A 7511-2026 tillsynsbegäran mail.docx", "A 7511-2026")</f>
        <v/>
      </c>
    </row>
    <row r="107" ht="15" customHeight="1">
      <c r="A107" t="inlineStr">
        <is>
          <t>A 74117-2021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44557</v>
      </c>
      <c r="E107" s="1" t="n">
        <v>46310</v>
      </c>
      <c r="F107" t="inlineStr">
        <is>
          <t>JÖNKÖPINGS LÄN</t>
        </is>
      </c>
      <c r="G107" t="inlineStr">
        <is>
          <t>JÖNKÖPING</t>
        </is>
      </c>
      <c r="I107" t="n">
        <v>1.4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s="2" t="inlineStr">
        <is>
          <t>Nattskärra</t>
        </is>
      </c>
      <c r="W107">
        <f>HYPERLINK("https://klasma.github.io/Logging_0680/artfynd/A 74117-2021 artfynd.xlsx", "A 74117-2021")</f>
        <v/>
      </c>
      <c r="X107">
        <f>HYPERLINK("https://klasma.github.io/Logging_0680/kartor/A 74117-2021 karta.png", "A 74117-2021")</f>
        <v/>
      </c>
      <c r="Y107">
        <f>HYPERLINK("https://klasma.github.io/Logging_0680/kartor_geotiff/A 74117-2021 georefererad karta.tif", "A 74117-2021")</f>
        <v/>
      </c>
      <c r="AA107">
        <f>HYPERLINK("https://klasma.github.io/Logging_0680/klagomål/A 74117-2021 FSC-klagomål.docx", "A 74117-2021")</f>
        <v/>
      </c>
      <c r="AB107">
        <f>HYPERLINK("https://klasma.github.io/Logging_0680/klagomålsmail/A 74117-2021 FSC-klagomål mail.docx", "A 74117-2021")</f>
        <v/>
      </c>
      <c r="AC107">
        <f>HYPERLINK("https://klasma.github.io/Logging_0680/tillsyn/A 74117-2021 tillsynsbegäran.docx", "A 74117-2021")</f>
        <v/>
      </c>
      <c r="AD107">
        <f>HYPERLINK("https://klasma.github.io/Logging_0680/tillsynsmail/A 74117-2021 tillsynsbegäran mail.docx", "A 74117-2021")</f>
        <v/>
      </c>
      <c r="AE107">
        <f>HYPERLINK("https://klasma.github.io/Logging_0680/fåglar/A 74117-2021 prioriterade fågelarter.docx", "A 74117-2021")</f>
        <v/>
      </c>
    </row>
    <row r="108" ht="15" customHeight="1">
      <c r="A108" t="inlineStr">
        <is>
          <t>A 23234-2026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46162</v>
      </c>
      <c r="E108" s="1" t="n">
        <v>46310</v>
      </c>
      <c r="F108" t="inlineStr">
        <is>
          <t>JÖNKÖPINGS LÄN</t>
        </is>
      </c>
      <c r="G108" t="inlineStr">
        <is>
          <t>JÖNKÖPING</t>
        </is>
      </c>
      <c r="H108" t="inlineStr">
        <is>
          <t>Sveaskog</t>
        </is>
      </c>
      <c r="I108" t="n">
        <v>1.9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0</v>
      </c>
      <c r="V108" s="2" t="inlineStr">
        <is>
          <t>Klasefibbla</t>
        </is>
      </c>
      <c r="W108">
        <f>HYPERLINK("https://klasma.github.io/Logging_0680/artfynd/A 23234-2026 artfynd.xlsx", "A 23234-2026")</f>
        <v/>
      </c>
      <c r="X108">
        <f>HYPERLINK("https://klasma.github.io/Logging_0680/kartor/A 23234-2026 karta.png", "A 23234-2026")</f>
        <v/>
      </c>
      <c r="Y108">
        <f>HYPERLINK("https://klasma.github.io/Logging_0680/kartor_geotiff/A 23234-2026 georefererad karta.tif", "A 23234-2026")</f>
        <v/>
      </c>
      <c r="AA108">
        <f>HYPERLINK("https://klasma.github.io/Logging_0680/klagomål/A 23234-2026 FSC-klagomål.docx", "A 23234-2026")</f>
        <v/>
      </c>
      <c r="AB108">
        <f>HYPERLINK("https://klasma.github.io/Logging_0680/klagomålsmail/A 23234-2026 FSC-klagomål mail.docx", "A 23234-2026")</f>
        <v/>
      </c>
      <c r="AC108">
        <f>HYPERLINK("https://klasma.github.io/Logging_0680/tillsyn/A 23234-2026 tillsynsbegäran.docx", "A 23234-2026")</f>
        <v/>
      </c>
      <c r="AD108">
        <f>HYPERLINK("https://klasma.github.io/Logging_0680/tillsynsmail/A 23234-2026 tillsynsbegäran mail.docx", "A 23234-2026")</f>
        <v/>
      </c>
    </row>
    <row r="109" ht="15" customHeight="1">
      <c r="A109" t="inlineStr">
        <is>
          <t>A 23260-2026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46162</v>
      </c>
      <c r="E109" s="1" t="n">
        <v>46310</v>
      </c>
      <c r="F109" t="inlineStr">
        <is>
          <t>JÖNKÖPINGS LÄN</t>
        </is>
      </c>
      <c r="G109" t="inlineStr">
        <is>
          <t>JÖNKÖPING</t>
        </is>
      </c>
      <c r="H109" t="inlineStr">
        <is>
          <t>Sveaskog</t>
        </is>
      </c>
      <c r="I109" t="n">
        <v>3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s="2" t="inlineStr">
        <is>
          <t>Grönvit nattviol</t>
        </is>
      </c>
      <c r="W109">
        <f>HYPERLINK("https://klasma.github.io/Logging_0680/artfynd/A 23260-2026 artfynd.xlsx", "A 23260-2026")</f>
        <v/>
      </c>
      <c r="X109">
        <f>HYPERLINK("https://klasma.github.io/Logging_0680/kartor/A 23260-2026 karta.png", "A 23260-2026")</f>
        <v/>
      </c>
      <c r="Y109">
        <f>HYPERLINK("https://klasma.github.io/Logging_0680/kartor_geotiff/A 23260-2026 georefererad karta.tif", "A 23260-2026")</f>
        <v/>
      </c>
      <c r="AA109">
        <f>HYPERLINK("https://klasma.github.io/Logging_0680/klagomål/A 23260-2026 FSC-klagomål.docx", "A 23260-2026")</f>
        <v/>
      </c>
      <c r="AB109">
        <f>HYPERLINK("https://klasma.github.io/Logging_0680/klagomålsmail/A 23260-2026 FSC-klagomål mail.docx", "A 23260-2026")</f>
        <v/>
      </c>
      <c r="AC109">
        <f>HYPERLINK("https://klasma.github.io/Logging_0680/tillsyn/A 23260-2026 tillsynsbegäran.docx", "A 23260-2026")</f>
        <v/>
      </c>
      <c r="AD109">
        <f>HYPERLINK("https://klasma.github.io/Logging_0680/tillsynsmail/A 23260-2026 tillsynsbegäran mail.docx", "A 23260-2026")</f>
        <v/>
      </c>
    </row>
    <row r="110" ht="15" customHeight="1">
      <c r="A110" t="inlineStr">
        <is>
          <t>A 5898-2023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44963</v>
      </c>
      <c r="E110" s="1" t="n">
        <v>46310</v>
      </c>
      <c r="F110" t="inlineStr">
        <is>
          <t>JÖNKÖPINGS LÄN</t>
        </is>
      </c>
      <c r="G110" t="inlineStr">
        <is>
          <t>JÖNKÖPING</t>
        </is>
      </c>
      <c r="I110" t="n">
        <v>4.1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s="2" t="inlineStr">
        <is>
          <t>Utter</t>
        </is>
      </c>
      <c r="W110">
        <f>HYPERLINK("https://klasma.github.io/Logging_0680/artfynd/A 5898-2023 artfynd.xlsx", "A 5898-2023")</f>
        <v/>
      </c>
      <c r="X110">
        <f>HYPERLINK("https://klasma.github.io/Logging_0680/kartor/A 5898-2023 karta.png", "A 5898-2023")</f>
        <v/>
      </c>
      <c r="Y110">
        <f>HYPERLINK("https://klasma.github.io/Logging_0680/kartor_geotiff/A 5898-2023 georefererad karta.tif", "A 5898-2023")</f>
        <v/>
      </c>
      <c r="AA110">
        <f>HYPERLINK("https://klasma.github.io/Logging_0680/klagomål/A 5898-2023 FSC-klagomål.docx", "A 5898-2023")</f>
        <v/>
      </c>
      <c r="AB110">
        <f>HYPERLINK("https://klasma.github.io/Logging_0680/klagomålsmail/A 5898-2023 FSC-klagomål mail.docx", "A 5898-2023")</f>
        <v/>
      </c>
      <c r="AC110">
        <f>HYPERLINK("https://klasma.github.io/Logging_0680/tillsyn/A 5898-2023 tillsynsbegäran.docx", "A 5898-2023")</f>
        <v/>
      </c>
      <c r="AD110">
        <f>HYPERLINK("https://klasma.github.io/Logging_0680/tillsynsmail/A 5898-2023 tillsynsbegäran mail.docx", "A 5898-2023")</f>
        <v/>
      </c>
    </row>
    <row r="111" ht="15" customHeight="1">
      <c r="A111" t="inlineStr">
        <is>
          <t>A 16455-2025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45751</v>
      </c>
      <c r="E111" s="1" t="n">
        <v>46310</v>
      </c>
      <c r="F111" t="inlineStr">
        <is>
          <t>JÖNKÖPINGS LÄN</t>
        </is>
      </c>
      <c r="G111" t="inlineStr">
        <is>
          <t>JÖNKÖPING</t>
        </is>
      </c>
      <c r="H111" t="inlineStr">
        <is>
          <t>Sveaskog</t>
        </is>
      </c>
      <c r="I111" t="n">
        <v>0.7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s="2" t="inlineStr">
        <is>
          <t>Revlummer</t>
        </is>
      </c>
      <c r="W111">
        <f>HYPERLINK("https://klasma.github.io/Logging_0680/artfynd/A 16455-2025 artfynd.xlsx", "A 16455-2025")</f>
        <v/>
      </c>
      <c r="X111">
        <f>HYPERLINK("https://klasma.github.io/Logging_0680/kartor/A 16455-2025 karta.png", "A 16455-2025")</f>
        <v/>
      </c>
      <c r="Y111">
        <f>HYPERLINK("https://klasma.github.io/Logging_0680/kartor_geotiff/A 16455-2025 georefererad karta.tif", "A 16455-2025")</f>
        <v/>
      </c>
      <c r="AA111">
        <f>HYPERLINK("https://klasma.github.io/Logging_0680/klagomål/A 16455-2025 FSC-klagomål.docx", "A 16455-2025")</f>
        <v/>
      </c>
      <c r="AB111">
        <f>HYPERLINK("https://klasma.github.io/Logging_0680/klagomålsmail/A 16455-2025 FSC-klagomål mail.docx", "A 16455-2025")</f>
        <v/>
      </c>
      <c r="AC111">
        <f>HYPERLINK("https://klasma.github.io/Logging_0680/tillsyn/A 16455-2025 tillsynsbegäran.docx", "A 16455-2025")</f>
        <v/>
      </c>
      <c r="AD111">
        <f>HYPERLINK("https://klasma.github.io/Logging_0680/tillsynsmail/A 16455-2025 tillsynsbegäran mail.docx", "A 16455-2025")</f>
        <v/>
      </c>
    </row>
    <row r="112" ht="15" customHeight="1">
      <c r="A112" t="inlineStr">
        <is>
          <t>A 11260-2023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44992</v>
      </c>
      <c r="E112" s="1" t="n">
        <v>46310</v>
      </c>
      <c r="F112" t="inlineStr">
        <is>
          <t>JÖNKÖPINGS LÄN</t>
        </is>
      </c>
      <c r="G112" t="inlineStr">
        <is>
          <t>JÖNKÖPING</t>
        </is>
      </c>
      <c r="I112" t="n">
        <v>2.4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s="2" t="inlineStr">
        <is>
          <t>Knärot</t>
        </is>
      </c>
      <c r="W112">
        <f>HYPERLINK("https://klasma.github.io/Logging_0680/artfynd/A 11260-2023 artfynd.xlsx", "A 11260-2023")</f>
        <v/>
      </c>
      <c r="X112">
        <f>HYPERLINK("https://klasma.github.io/Logging_0680/kartor/A 11260-2023 karta.png", "A 11260-2023")</f>
        <v/>
      </c>
      <c r="Y112">
        <f>HYPERLINK("https://klasma.github.io/Logging_0680/kartor_geotiff/A 11260-2023 georefererad karta.tif", "A 11260-2023")</f>
        <v/>
      </c>
      <c r="Z112">
        <f>HYPERLINK("https://klasma.github.io/Logging_0680/knärot/A 11260-2023 karta knärot.png", "A 11260-2023")</f>
        <v/>
      </c>
      <c r="AA112">
        <f>HYPERLINK("https://klasma.github.io/Logging_0680/klagomål/A 11260-2023 FSC-klagomål.docx", "A 11260-2023")</f>
        <v/>
      </c>
      <c r="AB112">
        <f>HYPERLINK("https://klasma.github.io/Logging_0680/klagomålsmail/A 11260-2023 FSC-klagomål mail.docx", "A 11260-2023")</f>
        <v/>
      </c>
      <c r="AC112">
        <f>HYPERLINK("https://klasma.github.io/Logging_0680/tillsyn/A 11260-2023 tillsynsbegäran.docx", "A 11260-2023")</f>
        <v/>
      </c>
      <c r="AD112">
        <f>HYPERLINK("https://klasma.github.io/Logging_0680/tillsynsmail/A 11260-2023 tillsynsbegäran mail.docx", "A 11260-2023")</f>
        <v/>
      </c>
    </row>
    <row r="113" ht="15" customHeight="1">
      <c r="A113" t="inlineStr">
        <is>
          <t>A 29462-2026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46203</v>
      </c>
      <c r="E113" s="1" t="n">
        <v>46310</v>
      </c>
      <c r="F113" t="inlineStr">
        <is>
          <t>JÖNKÖPINGS LÄN</t>
        </is>
      </c>
      <c r="G113" t="inlineStr">
        <is>
          <t>JÖNKÖPING</t>
        </is>
      </c>
      <c r="I113" t="n">
        <v>1.4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1</v>
      </c>
      <c r="T113" t="n">
        <v>1</v>
      </c>
      <c r="U113" t="n">
        <v>0</v>
      </c>
      <c r="V113" s="2" t="inlineStr">
        <is>
          <t>Knärot</t>
        </is>
      </c>
      <c r="W113">
        <f>HYPERLINK("https://klasma.github.io/Logging_0680/artfynd/A 29462-2026 artfynd.xlsx", "A 29462-2026")</f>
        <v/>
      </c>
      <c r="X113">
        <f>HYPERLINK("https://klasma.github.io/Logging_0680/kartor/A 29462-2026 karta.png", "A 29462-2026")</f>
        <v/>
      </c>
      <c r="Y113">
        <f>HYPERLINK("https://klasma.github.io/Logging_0680/kartor_geotiff/A 29462-2026 georefererad karta.tif", "A 29462-2026")</f>
        <v/>
      </c>
      <c r="Z113">
        <f>HYPERLINK("https://klasma.github.io/Logging_0680/knärot/A 29462-2026 karta knärot.png", "A 29462-2026")</f>
        <v/>
      </c>
      <c r="AA113">
        <f>HYPERLINK("https://klasma.github.io/Logging_0680/klagomål/A 29462-2026 FSC-klagomål.docx", "A 29462-2026")</f>
        <v/>
      </c>
      <c r="AB113">
        <f>HYPERLINK("https://klasma.github.io/Logging_0680/klagomålsmail/A 29462-2026 FSC-klagomål mail.docx", "A 29462-2026")</f>
        <v/>
      </c>
      <c r="AC113">
        <f>HYPERLINK("https://klasma.github.io/Logging_0680/tillsyn/A 29462-2026 tillsynsbegäran.docx", "A 29462-2026")</f>
        <v/>
      </c>
      <c r="AD113">
        <f>HYPERLINK("https://klasma.github.io/Logging_0680/tillsynsmail/A 29462-2026 tillsynsbegäran mail.docx", "A 29462-2026")</f>
        <v/>
      </c>
    </row>
    <row r="114" ht="15" customHeight="1">
      <c r="A114" t="inlineStr">
        <is>
          <t>A 30868-2026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46212</v>
      </c>
      <c r="E114" s="1" t="n">
        <v>46310</v>
      </c>
      <c r="F114" t="inlineStr">
        <is>
          <t>JÖNKÖPINGS LÄN</t>
        </is>
      </c>
      <c r="G114" t="inlineStr">
        <is>
          <t>JÖNKÖPING</t>
        </is>
      </c>
      <c r="H114" t="inlineStr">
        <is>
          <t>Sveaskog</t>
        </is>
      </c>
      <c r="I114" t="n">
        <v>2.5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s="2" t="inlineStr">
        <is>
          <t>Grönvit nattviol</t>
        </is>
      </c>
      <c r="W114">
        <f>HYPERLINK("https://klasma.github.io/Logging_0680/artfynd/A 30868-2026 artfynd.xlsx", "A 30868-2026")</f>
        <v/>
      </c>
      <c r="X114">
        <f>HYPERLINK("https://klasma.github.io/Logging_0680/kartor/A 30868-2026 karta.png", "A 30868-2026")</f>
        <v/>
      </c>
      <c r="Y114">
        <f>HYPERLINK("https://klasma.github.io/Logging_0680/kartor_geotiff/A 30868-2026 georefererad karta.tif", "A 30868-2026")</f>
        <v/>
      </c>
      <c r="AA114">
        <f>HYPERLINK("https://klasma.github.io/Logging_0680/klagomål/A 30868-2026 FSC-klagomål.docx", "A 30868-2026")</f>
        <v/>
      </c>
      <c r="AB114">
        <f>HYPERLINK("https://klasma.github.io/Logging_0680/klagomålsmail/A 30868-2026 FSC-klagomål mail.docx", "A 30868-2026")</f>
        <v/>
      </c>
      <c r="AC114">
        <f>HYPERLINK("https://klasma.github.io/Logging_0680/tillsyn/A 30868-2026 tillsynsbegäran.docx", "A 30868-2026")</f>
        <v/>
      </c>
      <c r="AD114">
        <f>HYPERLINK("https://klasma.github.io/Logging_0680/tillsynsmail/A 30868-2026 tillsynsbegäran mail.docx", "A 30868-2026")</f>
        <v/>
      </c>
    </row>
    <row r="115" ht="15" customHeight="1">
      <c r="A115" t="inlineStr">
        <is>
          <t>A 30718-2026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46211</v>
      </c>
      <c r="E115" s="1" t="n">
        <v>46310</v>
      </c>
      <c r="F115" t="inlineStr">
        <is>
          <t>JÖNKÖPINGS LÄN</t>
        </is>
      </c>
      <c r="G115" t="inlineStr">
        <is>
          <t>JÖNKÖPING</t>
        </is>
      </c>
      <c r="H115" t="inlineStr">
        <is>
          <t>Sveaskog</t>
        </is>
      </c>
      <c r="I115" t="n">
        <v>11.4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s="2" t="inlineStr">
        <is>
          <t>Spindelblomster</t>
        </is>
      </c>
      <c r="W115">
        <f>HYPERLINK("https://klasma.github.io/Logging_0680/artfynd/A 30718-2026 artfynd.xlsx", "A 30718-2026")</f>
        <v/>
      </c>
      <c r="X115">
        <f>HYPERLINK("https://klasma.github.io/Logging_0680/kartor/A 30718-2026 karta.png", "A 30718-2026")</f>
        <v/>
      </c>
      <c r="Y115">
        <f>HYPERLINK("https://klasma.github.io/Logging_0680/kartor_geotiff/A 30718-2026 georefererad karta.tif", "A 30718-2026")</f>
        <v/>
      </c>
      <c r="AA115">
        <f>HYPERLINK("https://klasma.github.io/Logging_0680/klagomål/A 30718-2026 FSC-klagomål.docx", "A 30718-2026")</f>
        <v/>
      </c>
      <c r="AB115">
        <f>HYPERLINK("https://klasma.github.io/Logging_0680/klagomålsmail/A 30718-2026 FSC-klagomål mail.docx", "A 30718-2026")</f>
        <v/>
      </c>
      <c r="AC115">
        <f>HYPERLINK("https://klasma.github.io/Logging_0680/tillsyn/A 30718-2026 tillsynsbegäran.docx", "A 30718-2026")</f>
        <v/>
      </c>
      <c r="AD115">
        <f>HYPERLINK("https://klasma.github.io/Logging_0680/tillsynsmail/A 30718-2026 tillsynsbegäran mail.docx", "A 30718-2026")</f>
        <v/>
      </c>
    </row>
    <row r="116" ht="15" customHeight="1">
      <c r="A116" t="inlineStr">
        <is>
          <t>A 53601-2022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44879</v>
      </c>
      <c r="E116" s="1" t="n">
        <v>46310</v>
      </c>
      <c r="F116" t="inlineStr">
        <is>
          <t>JÖNKÖPINGS LÄN</t>
        </is>
      </c>
      <c r="G116" t="inlineStr">
        <is>
          <t>JÖNKÖPING</t>
        </is>
      </c>
      <c r="I116" t="n">
        <v>3.8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s="2" t="inlineStr">
        <is>
          <t>Knärot</t>
        </is>
      </c>
      <c r="W116">
        <f>HYPERLINK("https://klasma.github.io/Logging_0680/artfynd/A 53601-2022 artfynd.xlsx", "A 53601-2022")</f>
        <v/>
      </c>
      <c r="X116">
        <f>HYPERLINK("https://klasma.github.io/Logging_0680/kartor/A 53601-2022 karta.png", "A 53601-2022")</f>
        <v/>
      </c>
      <c r="Y116">
        <f>HYPERLINK("https://klasma.github.io/Logging_0680/kartor_geotiff/A 53601-2022 georefererad karta.tif", "A 53601-2022")</f>
        <v/>
      </c>
      <c r="Z116">
        <f>HYPERLINK("https://klasma.github.io/Logging_0680/knärot/A 53601-2022 karta knärot.png", "A 53601-2022")</f>
        <v/>
      </c>
      <c r="AA116">
        <f>HYPERLINK("https://klasma.github.io/Logging_0680/klagomål/A 53601-2022 FSC-klagomål.docx", "A 53601-2022")</f>
        <v/>
      </c>
      <c r="AB116">
        <f>HYPERLINK("https://klasma.github.io/Logging_0680/klagomålsmail/A 53601-2022 FSC-klagomål mail.docx", "A 53601-2022")</f>
        <v/>
      </c>
      <c r="AC116">
        <f>HYPERLINK("https://klasma.github.io/Logging_0680/tillsyn/A 53601-2022 tillsynsbegäran.docx", "A 53601-2022")</f>
        <v/>
      </c>
      <c r="AD116">
        <f>HYPERLINK("https://klasma.github.io/Logging_0680/tillsynsmail/A 53601-2022 tillsynsbegäran mail.docx", "A 53601-2022")</f>
        <v/>
      </c>
    </row>
    <row r="117" ht="15" customHeight="1">
      <c r="A117" t="inlineStr">
        <is>
          <t>A 38900-2026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46286</v>
      </c>
      <c r="E117" s="1" t="n">
        <v>46310</v>
      </c>
      <c r="F117" t="inlineStr">
        <is>
          <t>JÖNKÖPINGS LÄN</t>
        </is>
      </c>
      <c r="G117" t="inlineStr">
        <is>
          <t>JÖNKÖPING</t>
        </is>
      </c>
      <c r="H117" t="inlineStr">
        <is>
          <t>Sveaskog</t>
        </is>
      </c>
      <c r="I117" t="n">
        <v>3.1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0</v>
      </c>
      <c r="V117" s="2" t="inlineStr">
        <is>
          <t>Motaggsvamp</t>
        </is>
      </c>
      <c r="W117">
        <f>HYPERLINK("https://klasma.github.io/Logging_0680/artfynd/A 38900-2026 artfynd.xlsx", "A 38900-2026")</f>
        <v/>
      </c>
      <c r="X117">
        <f>HYPERLINK("https://klasma.github.io/Logging_0680/kartor/A 38900-2026 karta.png", "A 38900-2026")</f>
        <v/>
      </c>
      <c r="Y117">
        <f>HYPERLINK("https://klasma.github.io/Logging_0680/kartor_geotiff/A 38900-2026 georefererad karta.tif", "A 38900-2026")</f>
        <v/>
      </c>
      <c r="AA117">
        <f>HYPERLINK("https://klasma.github.io/Logging_0680/klagomål/A 38900-2026 FSC-klagomål.docx", "A 38900-2026")</f>
        <v/>
      </c>
      <c r="AB117">
        <f>HYPERLINK("https://klasma.github.io/Logging_0680/klagomålsmail/A 38900-2026 FSC-klagomål mail.docx", "A 38900-2026")</f>
        <v/>
      </c>
      <c r="AC117">
        <f>HYPERLINK("https://klasma.github.io/Logging_0680/tillsyn/A 38900-2026 tillsynsbegäran.docx", "A 38900-2026")</f>
        <v/>
      </c>
      <c r="AD117">
        <f>HYPERLINK("https://klasma.github.io/Logging_0680/tillsynsmail/A 38900-2026 tillsynsbegäran mail.docx", "A 38900-2026")</f>
        <v/>
      </c>
    </row>
    <row r="118" ht="15" customHeight="1">
      <c r="A118" t="inlineStr">
        <is>
          <t>A 37885-2026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46279</v>
      </c>
      <c r="E118" s="1" t="n">
        <v>46310</v>
      </c>
      <c r="F118" t="inlineStr">
        <is>
          <t>JÖNKÖPINGS LÄN</t>
        </is>
      </c>
      <c r="G118" t="inlineStr">
        <is>
          <t>JÖNKÖPING</t>
        </is>
      </c>
      <c r="H118" t="inlineStr">
        <is>
          <t>Sveaskog</t>
        </is>
      </c>
      <c r="I118" t="n">
        <v>0.9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0</v>
      </c>
      <c r="V118" s="2" t="inlineStr">
        <is>
          <t>Jungfrulin</t>
        </is>
      </c>
      <c r="W118">
        <f>HYPERLINK("https://klasma.github.io/Logging_0680/artfynd/A 37885-2026 artfynd.xlsx", "A 37885-2026")</f>
        <v/>
      </c>
      <c r="X118">
        <f>HYPERLINK("https://klasma.github.io/Logging_0680/kartor/A 37885-2026 karta.png", "A 37885-2026")</f>
        <v/>
      </c>
      <c r="Y118">
        <f>HYPERLINK("https://klasma.github.io/Logging_0680/kartor_geotiff/A 37885-2026 georefererad karta.tif", "A 37885-2026")</f>
        <v/>
      </c>
      <c r="AA118">
        <f>HYPERLINK("https://klasma.github.io/Logging_0680/klagomål/A 37885-2026 FSC-klagomål.docx", "A 37885-2026")</f>
        <v/>
      </c>
      <c r="AB118">
        <f>HYPERLINK("https://klasma.github.io/Logging_0680/klagomålsmail/A 37885-2026 FSC-klagomål mail.docx", "A 37885-2026")</f>
        <v/>
      </c>
      <c r="AC118">
        <f>HYPERLINK("https://klasma.github.io/Logging_0680/tillsyn/A 37885-2026 tillsynsbegäran.docx", "A 37885-2026")</f>
        <v/>
      </c>
      <c r="AD118">
        <f>HYPERLINK("https://klasma.github.io/Logging_0680/tillsynsmail/A 37885-2026 tillsynsbegäran mail.docx", "A 37885-2026")</f>
        <v/>
      </c>
    </row>
    <row r="119" ht="15" customHeight="1">
      <c r="A119" t="inlineStr">
        <is>
          <t>A 7092-2024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45343</v>
      </c>
      <c r="E119" s="1" t="n">
        <v>46310</v>
      </c>
      <c r="F119" t="inlineStr">
        <is>
          <t>JÖNKÖPINGS LÄN</t>
        </is>
      </c>
      <c r="G119" t="inlineStr">
        <is>
          <t>JÖNKÖPING</t>
        </is>
      </c>
      <c r="I119" t="n">
        <v>3.1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1</v>
      </c>
      <c r="T119" t="n">
        <v>1</v>
      </c>
      <c r="U119" t="n">
        <v>0</v>
      </c>
      <c r="V119" s="2" t="inlineStr">
        <is>
          <t>Ask</t>
        </is>
      </c>
      <c r="W119">
        <f>HYPERLINK("https://klasma.github.io/Logging_0680/artfynd/A 7092-2024 artfynd.xlsx", "A 7092-2024")</f>
        <v/>
      </c>
      <c r="X119">
        <f>HYPERLINK("https://klasma.github.io/Logging_0680/kartor/A 7092-2024 karta.png", "A 7092-2024")</f>
        <v/>
      </c>
      <c r="Y119">
        <f>HYPERLINK("https://klasma.github.io/Logging_0680/kartor_geotiff/A 7092-2024 georefererad karta.tif", "A 7092-2024")</f>
        <v/>
      </c>
      <c r="AA119">
        <f>HYPERLINK("https://klasma.github.io/Logging_0680/klagomål/A 7092-2024 FSC-klagomål.docx", "A 7092-2024")</f>
        <v/>
      </c>
      <c r="AB119">
        <f>HYPERLINK("https://klasma.github.io/Logging_0680/klagomålsmail/A 7092-2024 FSC-klagomål mail.docx", "A 7092-2024")</f>
        <v/>
      </c>
      <c r="AC119">
        <f>HYPERLINK("https://klasma.github.io/Logging_0680/tillsyn/A 7092-2024 tillsynsbegäran.docx", "A 7092-2024")</f>
        <v/>
      </c>
      <c r="AD119">
        <f>HYPERLINK("https://klasma.github.io/Logging_0680/tillsynsmail/A 7092-2024 tillsynsbegäran mail.docx", "A 7092-2024")</f>
        <v/>
      </c>
    </row>
    <row r="120" ht="15" customHeight="1">
      <c r="A120" t="inlineStr">
        <is>
          <t>A 58346-2022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44893</v>
      </c>
      <c r="E120" s="1" t="n">
        <v>46310</v>
      </c>
      <c r="F120" t="inlineStr">
        <is>
          <t>JÖNKÖPINGS LÄN</t>
        </is>
      </c>
      <c r="G120" t="inlineStr">
        <is>
          <t>JÖNKÖPING</t>
        </is>
      </c>
      <c r="H120" t="inlineStr">
        <is>
          <t>Övriga statliga verk och myndigheter</t>
        </is>
      </c>
      <c r="I120" t="n">
        <v>1.9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s="2" t="inlineStr">
        <is>
          <t>Gyllensopp</t>
        </is>
      </c>
      <c r="W120">
        <f>HYPERLINK("https://klasma.github.io/Logging_0680/artfynd/A 58346-2022 artfynd.xlsx", "A 58346-2022")</f>
        <v/>
      </c>
      <c r="X120">
        <f>HYPERLINK("https://klasma.github.io/Logging_0680/kartor/A 58346-2022 karta.png", "A 58346-2022")</f>
        <v/>
      </c>
      <c r="Y120">
        <f>HYPERLINK("https://klasma.github.io/Logging_0680/kartor_geotiff/A 58346-2022 georefererad karta.tif", "A 58346-2022")</f>
        <v/>
      </c>
      <c r="AA120">
        <f>HYPERLINK("https://klasma.github.io/Logging_0680/klagomål/A 58346-2022 FSC-klagomål.docx", "A 58346-2022")</f>
        <v/>
      </c>
      <c r="AB120">
        <f>HYPERLINK("https://klasma.github.io/Logging_0680/klagomålsmail/A 58346-2022 FSC-klagomål mail.docx", "A 58346-2022")</f>
        <v/>
      </c>
      <c r="AC120">
        <f>HYPERLINK("https://klasma.github.io/Logging_0680/tillsyn/A 58346-2022 tillsynsbegäran.docx", "A 58346-2022")</f>
        <v/>
      </c>
      <c r="AD120">
        <f>HYPERLINK("https://klasma.github.io/Logging_0680/tillsynsmail/A 58346-2022 tillsynsbegäran mail.docx", "A 58346-2022")</f>
        <v/>
      </c>
    </row>
    <row r="121" ht="15" customHeight="1">
      <c r="A121" t="inlineStr">
        <is>
          <t>A 40795-2024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45558</v>
      </c>
      <c r="E121" s="1" t="n">
        <v>46310</v>
      </c>
      <c r="F121" t="inlineStr">
        <is>
          <t>JÖNKÖPINGS LÄN</t>
        </is>
      </c>
      <c r="G121" t="inlineStr">
        <is>
          <t>JÖNKÖPING</t>
        </is>
      </c>
      <c r="H121" t="inlineStr">
        <is>
          <t>Sveaskog</t>
        </is>
      </c>
      <c r="I121" t="n">
        <v>2.8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0</v>
      </c>
      <c r="V121" s="2" t="inlineStr">
        <is>
          <t>Kattfotslav</t>
        </is>
      </c>
      <c r="W121">
        <f>HYPERLINK("https://klasma.github.io/Logging_0680/artfynd/A 40795-2024 artfynd.xlsx", "A 40795-2024")</f>
        <v/>
      </c>
      <c r="X121">
        <f>HYPERLINK("https://klasma.github.io/Logging_0680/kartor/A 40795-2024 karta.png", "A 40795-2024")</f>
        <v/>
      </c>
      <c r="Y121">
        <f>HYPERLINK("https://klasma.github.io/Logging_0680/kartor_geotiff/A 40795-2024 georefererad karta.tif", "A 40795-2024")</f>
        <v/>
      </c>
      <c r="AA121">
        <f>HYPERLINK("https://klasma.github.io/Logging_0680/klagomål/A 40795-2024 FSC-klagomål.docx", "A 40795-2024")</f>
        <v/>
      </c>
      <c r="AB121">
        <f>HYPERLINK("https://klasma.github.io/Logging_0680/klagomålsmail/A 40795-2024 FSC-klagomål mail.docx", "A 40795-2024")</f>
        <v/>
      </c>
      <c r="AC121">
        <f>HYPERLINK("https://klasma.github.io/Logging_0680/tillsyn/A 40795-2024 tillsynsbegäran.docx", "A 40795-2024")</f>
        <v/>
      </c>
      <c r="AD121">
        <f>HYPERLINK("https://klasma.github.io/Logging_0680/tillsynsmail/A 40795-2024 tillsynsbegäran mail.docx", "A 40795-2024")</f>
        <v/>
      </c>
    </row>
    <row r="122" ht="15" customHeight="1">
      <c r="A122" t="inlineStr">
        <is>
          <t>A 50190-2024</t>
        </is>
      </c>
      <c r="B122" t="inlineStr">
        <is>
          <t>avverkningsanmälan</t>
        </is>
      </c>
      <c r="C122" t="inlineStr">
        <is>
          <t>Avverkning för annat ändamål</t>
        </is>
      </c>
      <c r="D122" s="1" t="n">
        <v>45600</v>
      </c>
      <c r="E122" s="1" t="n">
        <v>46310</v>
      </c>
      <c r="F122" t="inlineStr">
        <is>
          <t>JÖNKÖPINGS LÄN</t>
        </is>
      </c>
      <c r="G122" t="inlineStr">
        <is>
          <t>JÖNKÖPING</t>
        </is>
      </c>
      <c r="I122" t="n">
        <v>0.4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s="2" t="inlineStr">
        <is>
          <t>Skogsalm</t>
        </is>
      </c>
      <c r="W122">
        <f>HYPERLINK("https://klasma.github.io/Logging_0680/artfynd/A 50190-2024 artfynd.xlsx", "A 50190-2024")</f>
        <v/>
      </c>
      <c r="X122">
        <f>HYPERLINK("https://klasma.github.io/Logging_0680/kartor/A 50190-2024 karta.png", "A 50190-2024")</f>
        <v/>
      </c>
      <c r="Y122">
        <f>HYPERLINK("https://klasma.github.io/Logging_0680/kartor_geotiff/A 50190-2024 georefererad karta.tif", "A 50190-2024")</f>
        <v/>
      </c>
      <c r="AA122">
        <f>HYPERLINK("https://klasma.github.io/Logging_0680/klagomål/A 50190-2024 FSC-klagomål.docx", "A 50190-2024")</f>
        <v/>
      </c>
      <c r="AB122">
        <f>HYPERLINK("https://klasma.github.io/Logging_0680/klagomålsmail/A 50190-2024 FSC-klagomål mail.docx", "A 50190-2024")</f>
        <v/>
      </c>
      <c r="AC122">
        <f>HYPERLINK("https://klasma.github.io/Logging_0680/tillsyn/A 50190-2024 tillsynsbegäran.docx", "A 50190-2024")</f>
        <v/>
      </c>
      <c r="AD122">
        <f>HYPERLINK("https://klasma.github.io/Logging_0680/tillsynsmail/A 50190-2024 tillsynsbegäran mail.docx", "A 50190-2024")</f>
        <v/>
      </c>
    </row>
    <row r="123" ht="15" customHeight="1">
      <c r="A123" t="inlineStr">
        <is>
          <t>A 40549-2026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46294</v>
      </c>
      <c r="E123" s="1" t="n">
        <v>46310</v>
      </c>
      <c r="F123" t="inlineStr">
        <is>
          <t>JÖNKÖPINGS LÄN</t>
        </is>
      </c>
      <c r="G123" t="inlineStr">
        <is>
          <t>JÖNKÖPING</t>
        </is>
      </c>
      <c r="I123" t="n">
        <v>4.5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n">
        <v>2</v>
      </c>
      <c r="U123" t="n">
        <v>0</v>
      </c>
      <c r="V123" s="2" t="inlineStr">
        <is>
          <t>Ask</t>
        </is>
      </c>
      <c r="W123">
        <f>HYPERLINK("https://klasma.github.io/Logging_0680/artfynd/A 40549-2026 artfynd.xlsx", "A 40549-2026")</f>
        <v/>
      </c>
      <c r="X123">
        <f>HYPERLINK("https://klasma.github.io/Logging_0680/kartor/A 40549-2026 karta.png", "A 40549-2026")</f>
        <v/>
      </c>
      <c r="Y123">
        <f>HYPERLINK("https://klasma.github.io/Logging_0680/kartor_geotiff/A 40549-2026 georefererad karta.tif", "A 40549-2026")</f>
        <v/>
      </c>
      <c r="AA123">
        <f>HYPERLINK("https://klasma.github.io/Logging_0680/klagomål/A 40549-2026 FSC-klagomål.docx", "A 40549-2026")</f>
        <v/>
      </c>
      <c r="AB123">
        <f>HYPERLINK("https://klasma.github.io/Logging_0680/klagomålsmail/A 40549-2026 FSC-klagomål mail.docx", "A 40549-2026")</f>
        <v/>
      </c>
      <c r="AC123">
        <f>HYPERLINK("https://klasma.github.io/Logging_0680/tillsyn/A 40549-2026 tillsynsbegäran.docx", "A 40549-2026")</f>
        <v/>
      </c>
      <c r="AD123">
        <f>HYPERLINK("https://klasma.github.io/Logging_0680/tillsynsmail/A 40549-2026 tillsynsbegäran mail.docx", "A 40549-2026")</f>
        <v/>
      </c>
    </row>
    <row r="124" ht="15" customHeight="1">
      <c r="A124" t="inlineStr">
        <is>
          <t>A 54424-2024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45617</v>
      </c>
      <c r="E124" s="1" t="n">
        <v>46310</v>
      </c>
      <c r="F124" t="inlineStr">
        <is>
          <t>JÖNKÖPINGS LÄN</t>
        </is>
      </c>
      <c r="G124" t="inlineStr">
        <is>
          <t>JÖNKÖPING</t>
        </is>
      </c>
      <c r="I124" t="n">
        <v>6.2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0</v>
      </c>
      <c r="V124" s="2" t="inlineStr">
        <is>
          <t>Motaggsvamp</t>
        </is>
      </c>
      <c r="W124">
        <f>HYPERLINK("https://klasma.github.io/Logging_0680/artfynd/A 54424-2024 artfynd.xlsx", "A 54424-2024")</f>
        <v/>
      </c>
      <c r="X124">
        <f>HYPERLINK("https://klasma.github.io/Logging_0680/kartor/A 54424-2024 karta.png", "A 54424-2024")</f>
        <v/>
      </c>
      <c r="Y124">
        <f>HYPERLINK("https://klasma.github.io/Logging_0680/kartor_geotiff/A 54424-2024 georefererad karta.tif", "A 54424-2024")</f>
        <v/>
      </c>
      <c r="AA124">
        <f>HYPERLINK("https://klasma.github.io/Logging_0680/klagomål/A 54424-2024 FSC-klagomål.docx", "A 54424-2024")</f>
        <v/>
      </c>
      <c r="AB124">
        <f>HYPERLINK("https://klasma.github.io/Logging_0680/klagomålsmail/A 54424-2024 FSC-klagomål mail.docx", "A 54424-2024")</f>
        <v/>
      </c>
      <c r="AC124">
        <f>HYPERLINK("https://klasma.github.io/Logging_0680/tillsyn/A 54424-2024 tillsynsbegäran.docx", "A 54424-2024")</f>
        <v/>
      </c>
      <c r="AD124">
        <f>HYPERLINK("https://klasma.github.io/Logging_0680/tillsynsmail/A 54424-2024 tillsynsbegäran mail.docx", "A 54424-2024")</f>
        <v/>
      </c>
    </row>
    <row r="125" ht="15" customHeight="1">
      <c r="A125" t="inlineStr">
        <is>
          <t>A 34046-2026</t>
        </is>
      </c>
      <c r="B125" t="inlineStr">
        <is>
          <t>avverkningsanmälan</t>
        </is>
      </c>
      <c r="C125" t="inlineStr">
        <is>
          <t>Avverkning för att bevara och utveckla /försöksver</t>
        </is>
      </c>
      <c r="D125" s="1" t="n">
        <v>46252</v>
      </c>
      <c r="E125" s="1" t="n">
        <v>46310</v>
      </c>
      <c r="F125" t="inlineStr">
        <is>
          <t>JÖNKÖPINGS LÄN</t>
        </is>
      </c>
      <c r="G125" t="inlineStr">
        <is>
          <t>JÖNKÖPING</t>
        </is>
      </c>
      <c r="I125" t="n">
        <v>2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s="2" t="inlineStr">
        <is>
          <t>Blåsippa</t>
        </is>
      </c>
      <c r="W125">
        <f>HYPERLINK("https://klasma.github.io/Logging_0680/artfynd/A 34046-2026 artfynd.xlsx", "A 34046-2026")</f>
        <v/>
      </c>
      <c r="X125">
        <f>HYPERLINK("https://klasma.github.io/Logging_0680/kartor/A 34046-2026 karta.png", "A 34046-2026")</f>
        <v/>
      </c>
      <c r="Y125">
        <f>HYPERLINK("https://klasma.github.io/Logging_0680/kartor_geotiff/A 34046-2026 georefererad karta.tif", "A 34046-2026")</f>
        <v/>
      </c>
      <c r="AA125">
        <f>HYPERLINK("https://klasma.github.io/Logging_0680/klagomål/A 34046-2026 FSC-klagomål.docx", "A 34046-2026")</f>
        <v/>
      </c>
      <c r="AB125">
        <f>HYPERLINK("https://klasma.github.io/Logging_0680/klagomålsmail/A 34046-2026 FSC-klagomål mail.docx", "A 34046-2026")</f>
        <v/>
      </c>
      <c r="AC125">
        <f>HYPERLINK("https://klasma.github.io/Logging_0680/tillsyn/A 34046-2026 tillsynsbegäran.docx", "A 34046-2026")</f>
        <v/>
      </c>
      <c r="AD125">
        <f>HYPERLINK("https://klasma.github.io/Logging_0680/tillsynsmail/A 34046-2026 tillsynsbegäran mail.docx", "A 34046-2026")</f>
        <v/>
      </c>
    </row>
    <row r="126" ht="15" customHeight="1">
      <c r="A126" t="inlineStr">
        <is>
          <t>A 47040-2023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45201</v>
      </c>
      <c r="E126" s="1" t="n">
        <v>46310</v>
      </c>
      <c r="F126" t="inlineStr">
        <is>
          <t>JÖNKÖPINGS LÄN</t>
        </is>
      </c>
      <c r="G126" t="inlineStr">
        <is>
          <t>JÖNKÖPING</t>
        </is>
      </c>
      <c r="I126" t="n">
        <v>2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</v>
      </c>
      <c r="U126" t="n">
        <v>1</v>
      </c>
      <c r="V126" s="2" t="inlineStr">
        <is>
          <t>Nordfladdermus</t>
        </is>
      </c>
      <c r="W126">
        <f>HYPERLINK("https://klasma.github.io/Logging_0680/artfynd/A 47040-2023 artfynd.xlsx", "A 47040-2023")</f>
        <v/>
      </c>
      <c r="X126">
        <f>HYPERLINK("https://klasma.github.io/Logging_0680/kartor/A 47040-2023 karta.png", "A 47040-2023")</f>
        <v/>
      </c>
      <c r="Y126">
        <f>HYPERLINK("https://klasma.github.io/Logging_0680/kartor_geotiff/A 47040-2023 georefererad karta.tif", "A 47040-2023")</f>
        <v/>
      </c>
      <c r="AA126">
        <f>HYPERLINK("https://klasma.github.io/Logging_0680/klagomål/A 47040-2023 FSC-klagomål.docx", "A 47040-2023")</f>
        <v/>
      </c>
      <c r="AB126">
        <f>HYPERLINK("https://klasma.github.io/Logging_0680/klagomålsmail/A 47040-2023 FSC-klagomål mail.docx", "A 47040-2023")</f>
        <v/>
      </c>
      <c r="AC126">
        <f>HYPERLINK("https://klasma.github.io/Logging_0680/tillsyn/A 47040-2023 tillsynsbegäran.docx", "A 47040-2023")</f>
        <v/>
      </c>
      <c r="AD126">
        <f>HYPERLINK("https://klasma.github.io/Logging_0680/tillsynsmail/A 47040-2023 tillsynsbegäran mail.docx", "A 47040-2023")</f>
        <v/>
      </c>
    </row>
    <row r="127" ht="15" customHeight="1">
      <c r="A127" t="inlineStr">
        <is>
          <t>A 41618-2026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46302</v>
      </c>
      <c r="E127" s="1" t="n">
        <v>46310</v>
      </c>
      <c r="F127" t="inlineStr">
        <is>
          <t>JÖNKÖPINGS LÄN</t>
        </is>
      </c>
      <c r="G127" t="inlineStr">
        <is>
          <t>JÖNKÖPING</t>
        </is>
      </c>
      <c r="I127" t="n">
        <v>1.5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1</v>
      </c>
      <c r="T127" t="n">
        <v>1</v>
      </c>
      <c r="U127" t="n">
        <v>0</v>
      </c>
      <c r="V127" s="2" t="inlineStr">
        <is>
          <t>Ask</t>
        </is>
      </c>
      <c r="W127">
        <f>HYPERLINK("https://klasma.github.io/Logging_0680/artfynd/A 41618-2026 artfynd.xlsx", "A 41618-2026")</f>
        <v/>
      </c>
      <c r="X127">
        <f>HYPERLINK("https://klasma.github.io/Logging_0680/kartor/A 41618-2026 karta.png", "A 41618-2026")</f>
        <v/>
      </c>
      <c r="Y127">
        <f>HYPERLINK("https://klasma.github.io/Logging_0680/kartor_geotiff/A 41618-2026 georefererad karta.tif", "A 41618-2026")</f>
        <v/>
      </c>
      <c r="AA127">
        <f>HYPERLINK("https://klasma.github.io/Logging_0680/klagomål/A 41618-2026 FSC-klagomål.docx", "A 41618-2026")</f>
        <v/>
      </c>
      <c r="AB127">
        <f>HYPERLINK("https://klasma.github.io/Logging_0680/klagomålsmail/A 41618-2026 FSC-klagomål mail.docx", "A 41618-2026")</f>
        <v/>
      </c>
      <c r="AC127">
        <f>HYPERLINK("https://klasma.github.io/Logging_0680/tillsyn/A 41618-2026 tillsynsbegäran.docx", "A 41618-2026")</f>
        <v/>
      </c>
      <c r="AD127">
        <f>HYPERLINK("https://klasma.github.io/Logging_0680/tillsynsmail/A 41618-2026 tillsynsbegäran mail.docx", "A 41618-2026")</f>
        <v/>
      </c>
    </row>
    <row r="128" ht="15" customHeight="1">
      <c r="A128" t="inlineStr">
        <is>
          <t>A 71504-2021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44540</v>
      </c>
      <c r="E128" s="1" t="n">
        <v>46310</v>
      </c>
      <c r="F128" t="inlineStr">
        <is>
          <t>JÖNKÖPINGS LÄN</t>
        </is>
      </c>
      <c r="G128" t="inlineStr">
        <is>
          <t>JÖNKÖPING</t>
        </is>
      </c>
      <c r="I128" t="n">
        <v>6.9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s="2" t="inlineStr">
        <is>
          <t>Igelkott</t>
        </is>
      </c>
      <c r="W128">
        <f>HYPERLINK("https://klasma.github.io/Logging_0680/artfynd/A 71504-2021 artfynd.xlsx", "A 71504-2021")</f>
        <v/>
      </c>
      <c r="X128">
        <f>HYPERLINK("https://klasma.github.io/Logging_0680/kartor/A 71504-2021 karta.png", "A 71504-2021")</f>
        <v/>
      </c>
      <c r="Y128">
        <f>HYPERLINK("https://klasma.github.io/Logging_0680/kartor_geotiff/A 71504-2021 georefererad karta.tif", "A 71504-2021")</f>
        <v/>
      </c>
      <c r="AA128">
        <f>HYPERLINK("https://klasma.github.io/Logging_0680/klagomål/A 71504-2021 FSC-klagomål.docx", "A 71504-2021")</f>
        <v/>
      </c>
      <c r="AB128">
        <f>HYPERLINK("https://klasma.github.io/Logging_0680/klagomålsmail/A 71504-2021 FSC-klagomål mail.docx", "A 71504-2021")</f>
        <v/>
      </c>
      <c r="AC128">
        <f>HYPERLINK("https://klasma.github.io/Logging_0680/tillsyn/A 71504-2021 tillsynsbegäran.docx", "A 71504-2021")</f>
        <v/>
      </c>
      <c r="AD128">
        <f>HYPERLINK("https://klasma.github.io/Logging_0680/tillsynsmail/A 71504-2021 tillsynsbegäran mail.docx", "A 71504-2021")</f>
        <v/>
      </c>
    </row>
    <row r="129" ht="15" customHeight="1">
      <c r="A129" t="inlineStr">
        <is>
          <t>S 273-2023</t>
        </is>
      </c>
      <c r="B129" t="inlineStr">
        <is>
          <t>samrådsanmälan</t>
        </is>
      </c>
      <c r="C129" t="inlineStr">
        <is>
          <t>Askåterföring</t>
        </is>
      </c>
      <c r="D129" s="1" t="n">
        <v>44955</v>
      </c>
      <c r="E129" s="1" t="n">
        <v>46310</v>
      </c>
      <c r="F129" t="inlineStr">
        <is>
          <t>JÖNKÖPINGS LÄN</t>
        </is>
      </c>
      <c r="G129" t="inlineStr">
        <is>
          <t>JÖNKÖPING</t>
        </is>
      </c>
      <c r="H129" t="inlineStr">
        <is>
          <t>Sveaskog</t>
        </is>
      </c>
      <c r="I129" t="n">
        <v>26.3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t="n">
        <v>1</v>
      </c>
      <c r="T129" t="n">
        <v>1</v>
      </c>
      <c r="U129" t="n">
        <v>0</v>
      </c>
      <c r="V129" s="2" t="inlineStr">
        <is>
          <t>Hållav</t>
        </is>
      </c>
      <c r="W129">
        <f>HYPERLINK("https://klasma.github.io/Logging_0680/artfynd/S 273-2023 artfynd.xlsx", "S 273-2023")</f>
        <v/>
      </c>
      <c r="X129">
        <f>HYPERLINK("https://klasma.github.io/Logging_0680/kartor/S 273-2023 karta.png", "S 273-2023")</f>
        <v/>
      </c>
      <c r="Y129">
        <f>HYPERLINK("https://klasma.github.io/Logging_0680/kartor_geotiff/S 273-2023 georefererad karta.tif", "S 273-2023")</f>
        <v/>
      </c>
      <c r="AA129">
        <f>HYPERLINK("https://klasma.github.io/Logging_0680/klagomål/S 273-2023 FSC-klagomål.docx", "S 273-2023")</f>
        <v/>
      </c>
      <c r="AB129">
        <f>HYPERLINK("https://klasma.github.io/Logging_0680/klagomålsmail/S 273-2023 FSC-klagomål mail.docx", "S 273-2023")</f>
        <v/>
      </c>
      <c r="AC129">
        <f>HYPERLINK("https://klasma.github.io/Logging_0680/tillsyn/S 273-2023 tillsynsbegäran.docx", "S 273-2023")</f>
        <v/>
      </c>
      <c r="AD129">
        <f>HYPERLINK("https://klasma.github.io/Logging_0680/tillsynsmail/S 273-2023 tillsynsbegäran mail.docx", "S 273-2023")</f>
        <v/>
      </c>
    </row>
    <row r="130" ht="15" customHeight="1">
      <c r="A130" t="inlineStr">
        <is>
          <t>S 1266-2023</t>
        </is>
      </c>
      <c r="B130" t="inlineStr">
        <is>
          <t>samrådsanmälan</t>
        </is>
      </c>
      <c r="C130" t="inlineStr">
        <is>
          <t>Askåterföring</t>
        </is>
      </c>
      <c r="D130" s="1" t="n">
        <v>45029</v>
      </c>
      <c r="E130" s="1" t="n">
        <v>46310</v>
      </c>
      <c r="F130" t="inlineStr">
        <is>
          <t>JÖNKÖPINGS LÄN</t>
        </is>
      </c>
      <c r="G130" t="inlineStr">
        <is>
          <t>JÖNKÖPING</t>
        </is>
      </c>
      <c r="I130" t="n">
        <v>16.7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0</v>
      </c>
      <c r="V130" s="2" t="inlineStr">
        <is>
          <t>Grönsångare</t>
        </is>
      </c>
      <c r="W130">
        <f>HYPERLINK("https://klasma.github.io/Logging_0680/artfynd/S 1266-2023 artfynd.xlsx", "S 1266-2023")</f>
        <v/>
      </c>
      <c r="X130">
        <f>HYPERLINK("https://klasma.github.io/Logging_0680/kartor/S 1266-2023 karta.png", "S 1266-2023")</f>
        <v/>
      </c>
      <c r="Y130">
        <f>HYPERLINK("https://klasma.github.io/Logging_0680/kartor_geotiff/S 1266-2023 georefererad karta.tif", "S 1266-2023")</f>
        <v/>
      </c>
      <c r="AA130">
        <f>HYPERLINK("https://klasma.github.io/Logging_0680/klagomål/S 1266-2023 FSC-klagomål.docx", "S 1266-2023")</f>
        <v/>
      </c>
      <c r="AB130">
        <f>HYPERLINK("https://klasma.github.io/Logging_0680/klagomålsmail/S 1266-2023 FSC-klagomål mail.docx", "S 1266-2023")</f>
        <v/>
      </c>
      <c r="AC130">
        <f>HYPERLINK("https://klasma.github.io/Logging_0680/tillsyn/S 1266-2023 tillsynsbegäran.docx", "S 1266-2023")</f>
        <v/>
      </c>
      <c r="AD130">
        <f>HYPERLINK("https://klasma.github.io/Logging_0680/tillsynsmail/S 1266-2023 tillsynsbegäran mail.docx", "S 1266-2023")</f>
        <v/>
      </c>
      <c r="AE130">
        <f>HYPERLINK("https://klasma.github.io/Logging_0680/fåglar/S 1266-2023 prioriterade fågelarter.docx", "S 1266-2023")</f>
        <v/>
      </c>
    </row>
    <row r="131" ht="15" customHeight="1">
      <c r="A131" t="inlineStr">
        <is>
          <t>S 2902-2022</t>
        </is>
      </c>
      <c r="B131" t="inlineStr">
        <is>
          <t>samrådsanmälan</t>
        </is>
      </c>
      <c r="C131" t="inlineStr">
        <is>
          <t>Askåterföring</t>
        </is>
      </c>
      <c r="D131" s="1" t="n">
        <v>44711</v>
      </c>
      <c r="E131" s="1" t="n">
        <v>46310</v>
      </c>
      <c r="F131" t="inlineStr">
        <is>
          <t>JÖNKÖPINGS LÄN</t>
        </is>
      </c>
      <c r="G131" t="inlineStr">
        <is>
          <t>JÖNKÖPING</t>
        </is>
      </c>
      <c r="I131" t="n">
        <v>38.4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1</v>
      </c>
      <c r="T131" t="n">
        <v>1</v>
      </c>
      <c r="U131" t="n">
        <v>0</v>
      </c>
      <c r="V131" s="2" t="inlineStr">
        <is>
          <t>Garnlav</t>
        </is>
      </c>
      <c r="W131">
        <f>HYPERLINK("https://klasma.github.io/Logging_0680/artfynd/S 2902-2022 artfynd.xlsx", "S 2902-2022")</f>
        <v/>
      </c>
      <c r="X131">
        <f>HYPERLINK("https://klasma.github.io/Logging_0680/kartor/S 2902-2022 karta.png", "S 2902-2022")</f>
        <v/>
      </c>
      <c r="Y131">
        <f>HYPERLINK("https://klasma.github.io/Logging_0680/kartor_geotiff/S 2902-2022 georefererad karta.tif", "S 2902-2022")</f>
        <v/>
      </c>
      <c r="AA131">
        <f>HYPERLINK("https://klasma.github.io/Logging_0680/klagomål/S 2902-2022 FSC-klagomål.docx", "S 2902-2022")</f>
        <v/>
      </c>
      <c r="AB131">
        <f>HYPERLINK("https://klasma.github.io/Logging_0680/klagomålsmail/S 2902-2022 FSC-klagomål mail.docx", "S 2902-2022")</f>
        <v/>
      </c>
      <c r="AC131">
        <f>HYPERLINK("https://klasma.github.io/Logging_0680/tillsyn/S 2902-2022 tillsynsbegäran.docx", "S 2902-2022")</f>
        <v/>
      </c>
      <c r="AD131">
        <f>HYPERLINK("https://klasma.github.io/Logging_0680/tillsynsmail/S 2902-2022 tillsynsbegäran mail.docx", "S 2902-2022")</f>
        <v/>
      </c>
    </row>
    <row r="132" ht="15" customHeight="1">
      <c r="A132" t="inlineStr">
        <is>
          <t>S 1317-2022</t>
        </is>
      </c>
      <c r="B132" t="inlineStr">
        <is>
          <t>samrådsanmälan</t>
        </is>
      </c>
      <c r="C132" t="inlineStr">
        <is>
          <t>Åtgärd i nyckelbiotop</t>
        </is>
      </c>
      <c r="D132" s="1" t="n">
        <v>44628</v>
      </c>
      <c r="E132" s="1" t="n">
        <v>46310</v>
      </c>
      <c r="F132" t="inlineStr">
        <is>
          <t>JÖNKÖPINGS LÄN</t>
        </is>
      </c>
      <c r="G132" t="inlineStr">
        <is>
          <t>JÖNKÖPING</t>
        </is>
      </c>
      <c r="I132" t="n">
        <v>0.8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1</v>
      </c>
      <c r="T132" t="n">
        <v>4</v>
      </c>
      <c r="U132" t="n">
        <v>0</v>
      </c>
      <c r="V132" s="2" t="inlineStr">
        <is>
          <t>Ask</t>
        </is>
      </c>
      <c r="W132">
        <f>HYPERLINK("https://klasma.github.io/Logging_0680/artfynd/S 1317-2022 artfynd.xlsx", "S 1317-2022")</f>
        <v/>
      </c>
      <c r="X132">
        <f>HYPERLINK("https://klasma.github.io/Logging_0680/kartor/S 1317-2022 karta.png", "S 1317-2022")</f>
        <v/>
      </c>
      <c r="Y132">
        <f>HYPERLINK("https://klasma.github.io/Logging_0680/kartor_geotiff/S 1317-2022 georefererad karta.tif", "S 1317-2022")</f>
        <v/>
      </c>
      <c r="AA132">
        <f>HYPERLINK("https://klasma.github.io/Logging_0680/klagomål/S 1317-2022 FSC-klagomål.docx", "S 1317-2022")</f>
        <v/>
      </c>
      <c r="AB132">
        <f>HYPERLINK("https://klasma.github.io/Logging_0680/klagomålsmail/S 1317-2022 FSC-klagomål mail.docx", "S 1317-2022")</f>
        <v/>
      </c>
      <c r="AC132">
        <f>HYPERLINK("https://klasma.github.io/Logging_0680/tillsyn/S 1317-2022 tillsynsbegäran.docx", "S 1317-2022")</f>
        <v/>
      </c>
      <c r="AD132">
        <f>HYPERLINK("https://klasma.github.io/Logging_0680/tillsynsmail/S 1317-2022 tillsynsbegäran mail.docx", "S 1317-2022")</f>
        <v/>
      </c>
    </row>
    <row r="133" ht="15" customHeight="1">
      <c r="A133" t="inlineStr">
        <is>
          <t>S 575-2025</t>
        </is>
      </c>
      <c r="B133" t="inlineStr">
        <is>
          <t>samrådsanmälan</t>
        </is>
      </c>
      <c r="C133" t="inlineStr">
        <is>
          <t>Askåterföring</t>
        </is>
      </c>
      <c r="D133" s="1" t="n">
        <v>45712</v>
      </c>
      <c r="E133" s="1" t="n">
        <v>46310</v>
      </c>
      <c r="F133" t="inlineStr">
        <is>
          <t>JÖNKÖPINGS LÄN</t>
        </is>
      </c>
      <c r="G133" t="inlineStr">
        <is>
          <t>JÖNKÖPING</t>
        </is>
      </c>
      <c r="I133" t="n">
        <v>14.1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s="2" t="inlineStr">
        <is>
          <t>Gullpudra</t>
        </is>
      </c>
      <c r="W133">
        <f>HYPERLINK("https://klasma.github.io/Logging_0680/artfynd/S 575-2025 artfynd.xlsx", "S 575-2025")</f>
        <v/>
      </c>
      <c r="X133">
        <f>HYPERLINK("https://klasma.github.io/Logging_0680/kartor/S 575-2025 karta.png", "S 575-2025")</f>
        <v/>
      </c>
      <c r="Y133">
        <f>HYPERLINK("https://klasma.github.io/Logging_0680/kartor_geotiff/S 575-2025 georefererad karta.tif", "S 575-2025")</f>
        <v/>
      </c>
      <c r="AA133">
        <f>HYPERLINK("https://klasma.github.io/Logging_0680/klagomål/S 575-2025 FSC-klagomål.docx", "S 575-2025")</f>
        <v/>
      </c>
      <c r="AB133">
        <f>HYPERLINK("https://klasma.github.io/Logging_0680/klagomålsmail/S 575-2025 FSC-klagomål mail.docx", "S 575-2025")</f>
        <v/>
      </c>
      <c r="AC133">
        <f>HYPERLINK("https://klasma.github.io/Logging_0680/tillsyn/S 575-2025 tillsynsbegäran.docx", "S 575-2025")</f>
        <v/>
      </c>
      <c r="AD133">
        <f>HYPERLINK("https://klasma.github.io/Logging_0680/tillsynsmail/S 575-2025 tillsynsbegäran mail.docx", "S 575-2025")</f>
        <v/>
      </c>
    </row>
    <row r="134" ht="15" customHeight="1">
      <c r="A134" t="inlineStr">
        <is>
          <t>S 571-2025</t>
        </is>
      </c>
      <c r="B134" t="inlineStr">
        <is>
          <t>samrådsanmälan</t>
        </is>
      </c>
      <c r="C134" t="inlineStr">
        <is>
          <t>Askåterföring</t>
        </is>
      </c>
      <c r="D134" s="1" t="n">
        <v>45712</v>
      </c>
      <c r="E134" s="1" t="n">
        <v>46310</v>
      </c>
      <c r="F134" t="inlineStr">
        <is>
          <t>JÖNKÖPINGS LÄN</t>
        </is>
      </c>
      <c r="G134" t="inlineStr">
        <is>
          <t>JÖNKÖPING</t>
        </is>
      </c>
      <c r="I134" t="n">
        <v>34.2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s="2" t="inlineStr">
        <is>
          <t>Tjäder</t>
        </is>
      </c>
      <c r="W134">
        <f>HYPERLINK("https://klasma.github.io/Logging_0680/artfynd/S 571-2025 artfynd.xlsx", "S 571-2025")</f>
        <v/>
      </c>
      <c r="X134">
        <f>HYPERLINK("https://klasma.github.io/Logging_0680/kartor/S 571-2025 karta.png", "S 571-2025")</f>
        <v/>
      </c>
      <c r="Y134">
        <f>HYPERLINK("https://klasma.github.io/Logging_0680/kartor_geotiff/S 571-2025 georefererad karta.tif", "S 571-2025")</f>
        <v/>
      </c>
      <c r="AA134">
        <f>HYPERLINK("https://klasma.github.io/Logging_0680/klagomål/S 571-2025 FSC-klagomål.docx", "S 571-2025")</f>
        <v/>
      </c>
      <c r="AB134">
        <f>HYPERLINK("https://klasma.github.io/Logging_0680/klagomålsmail/S 571-2025 FSC-klagomål mail.docx", "S 571-2025")</f>
        <v/>
      </c>
      <c r="AC134">
        <f>HYPERLINK("https://klasma.github.io/Logging_0680/tillsyn/S 571-2025 tillsynsbegäran.docx", "S 571-2025")</f>
        <v/>
      </c>
      <c r="AD134">
        <f>HYPERLINK("https://klasma.github.io/Logging_0680/tillsynsmail/S 571-2025 tillsynsbegäran mail.docx", "S 571-2025")</f>
        <v/>
      </c>
      <c r="AE134">
        <f>HYPERLINK("https://klasma.github.io/Logging_0680/fåglar/S 571-2025 prioriterade fågelarter.docx", "S 571-2025")</f>
        <v/>
      </c>
    </row>
    <row r="135" ht="15" customHeight="1">
      <c r="A135" t="inlineStr">
        <is>
          <t>S 2136-2025</t>
        </is>
      </c>
      <c r="B135" t="inlineStr">
        <is>
          <t>samrådsanmälan</t>
        </is>
      </c>
      <c r="C135" t="inlineStr">
        <is>
          <t>Askåterföring</t>
        </is>
      </c>
      <c r="D135" s="1" t="n">
        <v>45846</v>
      </c>
      <c r="E135" s="1" t="n">
        <v>46310</v>
      </c>
      <c r="F135" t="inlineStr">
        <is>
          <t>JÖNKÖPINGS LÄN</t>
        </is>
      </c>
      <c r="G135" t="inlineStr">
        <is>
          <t>JÖNKÖPING</t>
        </is>
      </c>
      <c r="H135" t="inlineStr">
        <is>
          <t>Sveaskog</t>
        </is>
      </c>
      <c r="I135" t="n">
        <v>60.1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s="2" t="inlineStr">
        <is>
          <t>Nattskärra</t>
        </is>
      </c>
      <c r="W135">
        <f>HYPERLINK("https://klasma.github.io/Logging_0680/artfynd/S 2136-2025 artfynd.xlsx", "S 2136-2025")</f>
        <v/>
      </c>
      <c r="X135">
        <f>HYPERLINK("https://klasma.github.io/Logging_0680/kartor/S 2136-2025 karta.png", "S 2136-2025")</f>
        <v/>
      </c>
      <c r="Y135">
        <f>HYPERLINK("https://klasma.github.io/Logging_0680/kartor_geotiff/S 2136-2025 georefererad karta.tif", "S 2136-2025")</f>
        <v/>
      </c>
      <c r="AA135">
        <f>HYPERLINK("https://klasma.github.io/Logging_0680/klagomål/S 2136-2025 FSC-klagomål.docx", "S 2136-2025")</f>
        <v/>
      </c>
      <c r="AB135">
        <f>HYPERLINK("https://klasma.github.io/Logging_0680/klagomålsmail/S 2136-2025 FSC-klagomål mail.docx", "S 2136-2025")</f>
        <v/>
      </c>
      <c r="AC135">
        <f>HYPERLINK("https://klasma.github.io/Logging_0680/tillsyn/S 2136-2025 tillsynsbegäran.docx", "S 2136-2025")</f>
        <v/>
      </c>
      <c r="AD135">
        <f>HYPERLINK("https://klasma.github.io/Logging_0680/tillsynsmail/S 2136-2025 tillsynsbegäran mail.docx", "S 2136-2025")</f>
        <v/>
      </c>
      <c r="AE135">
        <f>HYPERLINK("https://klasma.github.io/Logging_0680/fåglar/S 2136-2025 prioriterade fågelarter.docx", "S 2136-2025")</f>
        <v/>
      </c>
    </row>
    <row r="136" ht="15" customHeight="1">
      <c r="A136" t="inlineStr">
        <is>
          <t>A 58072-2021</t>
        </is>
      </c>
      <c r="B136" t="inlineStr">
        <is>
          <t>avverkningsanmälan</t>
        </is>
      </c>
      <c r="C136" t="inlineStr">
        <is>
          <t>Avverkning för annat ändamål</t>
        </is>
      </c>
      <c r="D136" s="1" t="n">
        <v>44487</v>
      </c>
      <c r="E136" s="1" t="n">
        <v>46310</v>
      </c>
      <c r="F136" t="inlineStr">
        <is>
          <t>JÖNKÖPINGS LÄN</t>
        </is>
      </c>
      <c r="G136" t="inlineStr">
        <is>
          <t>JÖNKÖPING</t>
        </is>
      </c>
      <c r="I136" t="n">
        <v>0.5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28907-2022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44749</v>
      </c>
      <c r="E137" s="1" t="n">
        <v>46310</v>
      </c>
      <c r="F137" t="inlineStr">
        <is>
          <t>JÖNKÖPINGS LÄN</t>
        </is>
      </c>
      <c r="G137" t="inlineStr">
        <is>
          <t>JÖNKÖPING</t>
        </is>
      </c>
      <c r="I137" t="n">
        <v>0.7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60720-2021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44496</v>
      </c>
      <c r="E138" s="1" t="n">
        <v>46310</v>
      </c>
      <c r="F138" t="inlineStr">
        <is>
          <t>JÖNKÖPINGS LÄN</t>
        </is>
      </c>
      <c r="G138" t="inlineStr">
        <is>
          <t>JÖNKÖPING</t>
        </is>
      </c>
      <c r="I138" t="n">
        <v>2.1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2067-2022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44575</v>
      </c>
      <c r="E139" s="1" t="n">
        <v>46310</v>
      </c>
      <c r="F139" t="inlineStr">
        <is>
          <t>JÖNKÖPINGS LÄN</t>
        </is>
      </c>
      <c r="G139" t="inlineStr">
        <is>
          <t>JÖNKÖPING</t>
        </is>
      </c>
      <c r="I139" t="n">
        <v>1.4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15602-2022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44662</v>
      </c>
      <c r="E140" s="1" t="n">
        <v>46310</v>
      </c>
      <c r="F140" t="inlineStr">
        <is>
          <t>JÖNKÖPINGS LÄN</t>
        </is>
      </c>
      <c r="G140" t="inlineStr">
        <is>
          <t>JÖNKÖPING</t>
        </is>
      </c>
      <c r="I140" t="n">
        <v>1.6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28910-2022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44749</v>
      </c>
      <c r="E141" s="1" t="n">
        <v>46310</v>
      </c>
      <c r="F141" t="inlineStr">
        <is>
          <t>JÖNKÖPINGS LÄN</t>
        </is>
      </c>
      <c r="G141" t="inlineStr">
        <is>
          <t>JÖNKÖPING</t>
        </is>
      </c>
      <c r="I141" t="n">
        <v>0.8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34405-2022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44792</v>
      </c>
      <c r="E142" s="1" t="n">
        <v>46310</v>
      </c>
      <c r="F142" t="inlineStr">
        <is>
          <t>JÖNKÖPINGS LÄN</t>
        </is>
      </c>
      <c r="G142" t="inlineStr">
        <is>
          <t>JÖNKÖPING</t>
        </is>
      </c>
      <c r="I142" t="n">
        <v>0.5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58079-2021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44487</v>
      </c>
      <c r="E143" s="1" t="n">
        <v>46310</v>
      </c>
      <c r="F143" t="inlineStr">
        <is>
          <t>JÖNKÖPINGS LÄN</t>
        </is>
      </c>
      <c r="G143" t="inlineStr">
        <is>
          <t>JÖNKÖPING</t>
        </is>
      </c>
      <c r="I143" t="n">
        <v>0.4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58006-2021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44487</v>
      </c>
      <c r="E144" s="1" t="n">
        <v>46310</v>
      </c>
      <c r="F144" t="inlineStr">
        <is>
          <t>JÖNKÖPINGS LÄN</t>
        </is>
      </c>
      <c r="G144" t="inlineStr">
        <is>
          <t>JÖNKÖPING</t>
        </is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28758-2022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44749</v>
      </c>
      <c r="E145" s="1" t="n">
        <v>46310</v>
      </c>
      <c r="F145" t="inlineStr">
        <is>
          <t>JÖNKÖPINGS LÄN</t>
        </is>
      </c>
      <c r="G145" t="inlineStr">
        <is>
          <t>JÖNKÖPING</t>
        </is>
      </c>
      <c r="I145" t="n">
        <v>0.6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54219-2022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44881</v>
      </c>
      <c r="E146" s="1" t="n">
        <v>46310</v>
      </c>
      <c r="F146" t="inlineStr">
        <is>
          <t>JÖNKÖPINGS LÄN</t>
        </is>
      </c>
      <c r="G146" t="inlineStr">
        <is>
          <t>JÖNKÖPING</t>
        </is>
      </c>
      <c r="I146" t="n">
        <v>1.2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16103-2022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44665</v>
      </c>
      <c r="E147" s="1" t="n">
        <v>46310</v>
      </c>
      <c r="F147" t="inlineStr">
        <is>
          <t>JÖNKÖPINGS LÄN</t>
        </is>
      </c>
      <c r="G147" t="inlineStr">
        <is>
          <t>JÖNKÖPING</t>
        </is>
      </c>
      <c r="I147" t="n">
        <v>0.7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34411-2022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44792</v>
      </c>
      <c r="E148" s="1" t="n">
        <v>46310</v>
      </c>
      <c r="F148" t="inlineStr">
        <is>
          <t>JÖNKÖPINGS LÄN</t>
        </is>
      </c>
      <c r="G148" t="inlineStr">
        <is>
          <t>JÖNKÖPING</t>
        </is>
      </c>
      <c r="I148" t="n">
        <v>0.4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57933-2021</t>
        </is>
      </c>
      <c r="B149" t="inlineStr">
        <is>
          <t>avverkningsanmälan</t>
        </is>
      </c>
      <c r="C149" t="inlineStr">
        <is>
          <t>Avverkning för annat ändamål</t>
        </is>
      </c>
      <c r="D149" s="1" t="n">
        <v>44487</v>
      </c>
      <c r="E149" s="1" t="n">
        <v>46310</v>
      </c>
      <c r="F149" t="inlineStr">
        <is>
          <t>JÖNKÖPINGS LÄN</t>
        </is>
      </c>
      <c r="G149" t="inlineStr">
        <is>
          <t>JÖNKÖPING</t>
        </is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57934-2021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44487</v>
      </c>
      <c r="E150" s="1" t="n">
        <v>46310</v>
      </c>
      <c r="F150" t="inlineStr">
        <is>
          <t>JÖNKÖPINGS LÄN</t>
        </is>
      </c>
      <c r="G150" t="inlineStr">
        <is>
          <t>JÖNKÖPING</t>
        </is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47226-2022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44852</v>
      </c>
      <c r="E151" s="1" t="n">
        <v>46310</v>
      </c>
      <c r="F151" t="inlineStr">
        <is>
          <t>JÖNKÖPINGS LÄN</t>
        </is>
      </c>
      <c r="G151" t="inlineStr">
        <is>
          <t>JÖNKÖPING</t>
        </is>
      </c>
      <c r="H151" t="inlineStr">
        <is>
          <t>Kyrkan</t>
        </is>
      </c>
      <c r="I151" t="n">
        <v>1.9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61250-2021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44498</v>
      </c>
      <c r="E152" s="1" t="n">
        <v>46310</v>
      </c>
      <c r="F152" t="inlineStr">
        <is>
          <t>JÖNKÖPINGS LÄN</t>
        </is>
      </c>
      <c r="G152" t="inlineStr">
        <is>
          <t>JÖNKÖPING</t>
        </is>
      </c>
      <c r="I152" t="n">
        <v>0.9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70965-2021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44538</v>
      </c>
      <c r="E153" s="1" t="n">
        <v>46310</v>
      </c>
      <c r="F153" t="inlineStr">
        <is>
          <t>JÖNKÖPINGS LÄN</t>
        </is>
      </c>
      <c r="G153" t="inlineStr">
        <is>
          <t>JÖNKÖPING</t>
        </is>
      </c>
      <c r="I153" t="n">
        <v>0.7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54217-2022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44881</v>
      </c>
      <c r="E154" s="1" t="n">
        <v>46310</v>
      </c>
      <c r="F154" t="inlineStr">
        <is>
          <t>JÖNKÖPINGS LÄN</t>
        </is>
      </c>
      <c r="G154" t="inlineStr">
        <is>
          <t>JÖNKÖPING</t>
        </is>
      </c>
      <c r="I154" t="n">
        <v>0.5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16705-2022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44673</v>
      </c>
      <c r="E155" s="1" t="n">
        <v>46310</v>
      </c>
      <c r="F155" t="inlineStr">
        <is>
          <t>JÖNKÖPINGS LÄN</t>
        </is>
      </c>
      <c r="G155" t="inlineStr">
        <is>
          <t>JÖNKÖPING</t>
        </is>
      </c>
      <c r="I155" t="n">
        <v>4.6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29599-2022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44754</v>
      </c>
      <c r="E156" s="1" t="n">
        <v>46310</v>
      </c>
      <c r="F156" t="inlineStr">
        <is>
          <t>JÖNKÖPINGS LÄN</t>
        </is>
      </c>
      <c r="G156" t="inlineStr">
        <is>
          <t>JÖNKÖPING</t>
        </is>
      </c>
      <c r="H156" t="inlineStr">
        <is>
          <t>Sveaskog</t>
        </is>
      </c>
      <c r="I156" t="n">
        <v>0.7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47822-2022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44855</v>
      </c>
      <c r="E157" s="1" t="n">
        <v>46310</v>
      </c>
      <c r="F157" t="inlineStr">
        <is>
          <t>JÖNKÖPINGS LÄN</t>
        </is>
      </c>
      <c r="G157" t="inlineStr">
        <is>
          <t>JÖNKÖPING</t>
        </is>
      </c>
      <c r="I157" t="n">
        <v>1.1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64610-2021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44511</v>
      </c>
      <c r="E158" s="1" t="n">
        <v>46310</v>
      </c>
      <c r="F158" t="inlineStr">
        <is>
          <t>JÖNKÖPINGS LÄN</t>
        </is>
      </c>
      <c r="G158" t="inlineStr">
        <is>
          <t>JÖNKÖPING</t>
        </is>
      </c>
      <c r="I158" t="n">
        <v>1.5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45340-2022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44840</v>
      </c>
      <c r="E159" s="1" t="n">
        <v>46310</v>
      </c>
      <c r="F159" t="inlineStr">
        <is>
          <t>JÖNKÖPINGS LÄN</t>
        </is>
      </c>
      <c r="G159" t="inlineStr">
        <is>
          <t>JÖNKÖPING</t>
        </is>
      </c>
      <c r="I159" t="n">
        <v>0.6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70546-2021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44537</v>
      </c>
      <c r="E160" s="1" t="n">
        <v>46310</v>
      </c>
      <c r="F160" t="inlineStr">
        <is>
          <t>JÖNKÖPINGS LÄN</t>
        </is>
      </c>
      <c r="G160" t="inlineStr">
        <is>
          <t>JÖNKÖPING</t>
        </is>
      </c>
      <c r="I160" t="n">
        <v>0.5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2065-2022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44575</v>
      </c>
      <c r="E161" s="1" t="n">
        <v>46310</v>
      </c>
      <c r="F161" t="inlineStr">
        <is>
          <t>JÖNKÖPINGS LÄN</t>
        </is>
      </c>
      <c r="G161" t="inlineStr">
        <is>
          <t>JÖNKÖPING</t>
        </is>
      </c>
      <c r="I161" t="n">
        <v>3.1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21897-2022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44711</v>
      </c>
      <c r="E162" s="1" t="n">
        <v>46310</v>
      </c>
      <c r="F162" t="inlineStr">
        <is>
          <t>JÖNKÖPINGS LÄN</t>
        </is>
      </c>
      <c r="G162" t="inlineStr">
        <is>
          <t>JÖNKÖPING</t>
        </is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15368-2022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44659</v>
      </c>
      <c r="E163" s="1" t="n">
        <v>46310</v>
      </c>
      <c r="F163" t="inlineStr">
        <is>
          <t>JÖNKÖPINGS LÄN</t>
        </is>
      </c>
      <c r="G163" t="inlineStr">
        <is>
          <t>JÖNKÖPING</t>
        </is>
      </c>
      <c r="H163" t="inlineStr">
        <is>
          <t>Sveaskog</t>
        </is>
      </c>
      <c r="I163" t="n">
        <v>0.9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15383-2022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44659</v>
      </c>
      <c r="E164" s="1" t="n">
        <v>46310</v>
      </c>
      <c r="F164" t="inlineStr">
        <is>
          <t>JÖNKÖPINGS LÄN</t>
        </is>
      </c>
      <c r="G164" t="inlineStr">
        <is>
          <t>JÖNKÖPING</t>
        </is>
      </c>
      <c r="H164" t="inlineStr">
        <is>
          <t>Sveaskog</t>
        </is>
      </c>
      <c r="I164" t="n">
        <v>1.3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2323-2022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44578</v>
      </c>
      <c r="E165" s="1" t="n">
        <v>46310</v>
      </c>
      <c r="F165" t="inlineStr">
        <is>
          <t>JÖNKÖPINGS LÄN</t>
        </is>
      </c>
      <c r="G165" t="inlineStr">
        <is>
          <t>JÖNKÖPING</t>
        </is>
      </c>
      <c r="I165" t="n">
        <v>0.5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2394-2022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44579</v>
      </c>
      <c r="E166" s="1" t="n">
        <v>46310</v>
      </c>
      <c r="F166" t="inlineStr">
        <is>
          <t>JÖNKÖPINGS LÄN</t>
        </is>
      </c>
      <c r="G166" t="inlineStr">
        <is>
          <t>JÖNKÖPING</t>
        </is>
      </c>
      <c r="I166" t="n">
        <v>0.7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74120-2021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44557</v>
      </c>
      <c r="E167" s="1" t="n">
        <v>46310</v>
      </c>
      <c r="F167" t="inlineStr">
        <is>
          <t>JÖNKÖPINGS LÄN</t>
        </is>
      </c>
      <c r="G167" t="inlineStr">
        <is>
          <t>JÖNKÖPING</t>
        </is>
      </c>
      <c r="I167" t="n">
        <v>10.8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9248-2022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44616</v>
      </c>
      <c r="E168" s="1" t="n">
        <v>46310</v>
      </c>
      <c r="F168" t="inlineStr">
        <is>
          <t>JÖNKÖPINGS LÄN</t>
        </is>
      </c>
      <c r="G168" t="inlineStr">
        <is>
          <t>JÖNKÖPING</t>
        </is>
      </c>
      <c r="I168" t="n">
        <v>0.5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1877-2022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44575</v>
      </c>
      <c r="E169" s="1" t="n">
        <v>46310</v>
      </c>
      <c r="F169" t="inlineStr">
        <is>
          <t>JÖNKÖPINGS LÄN</t>
        </is>
      </c>
      <c r="G169" t="inlineStr">
        <is>
          <t>JÖNKÖPING</t>
        </is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2068-2022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44575</v>
      </c>
      <c r="E170" s="1" t="n">
        <v>46310</v>
      </c>
      <c r="F170" t="inlineStr">
        <is>
          <t>JÖNKÖPINGS LÄN</t>
        </is>
      </c>
      <c r="G170" t="inlineStr">
        <is>
          <t>JÖNKÖPING</t>
        </is>
      </c>
      <c r="I170" t="n">
        <v>0.5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39718-2022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44819</v>
      </c>
      <c r="E171" s="1" t="n">
        <v>46310</v>
      </c>
      <c r="F171" t="inlineStr">
        <is>
          <t>JÖNKÖPINGS LÄN</t>
        </is>
      </c>
      <c r="G171" t="inlineStr">
        <is>
          <t>JÖNKÖPING</t>
        </is>
      </c>
      <c r="I171" t="n">
        <v>1.5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39719-2022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44819</v>
      </c>
      <c r="E172" s="1" t="n">
        <v>46310</v>
      </c>
      <c r="F172" t="inlineStr">
        <is>
          <t>JÖNKÖPINGS LÄN</t>
        </is>
      </c>
      <c r="G172" t="inlineStr">
        <is>
          <t>JÖNKÖPING</t>
        </is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45957-2022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44846</v>
      </c>
      <c r="E173" s="1" t="n">
        <v>46310</v>
      </c>
      <c r="F173" t="inlineStr">
        <is>
          <t>JÖNKÖPINGS LÄN</t>
        </is>
      </c>
      <c r="G173" t="inlineStr">
        <is>
          <t>JÖNKÖPING</t>
        </is>
      </c>
      <c r="I173" t="n">
        <v>0.5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67306-2021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44523</v>
      </c>
      <c r="E174" s="1" t="n">
        <v>46310</v>
      </c>
      <c r="F174" t="inlineStr">
        <is>
          <t>JÖNKÖPINGS LÄN</t>
        </is>
      </c>
      <c r="G174" t="inlineStr">
        <is>
          <t>JÖNKÖPING</t>
        </is>
      </c>
      <c r="I174" t="n">
        <v>2.2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7176-2022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44605</v>
      </c>
      <c r="E175" s="1" t="n">
        <v>46310</v>
      </c>
      <c r="F175" t="inlineStr">
        <is>
          <t>JÖNKÖPINGS LÄN</t>
        </is>
      </c>
      <c r="G175" t="inlineStr">
        <is>
          <t>JÖNKÖPING</t>
        </is>
      </c>
      <c r="I175" t="n">
        <v>3.1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21923-2022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44711</v>
      </c>
      <c r="E176" s="1" t="n">
        <v>46310</v>
      </c>
      <c r="F176" t="inlineStr">
        <is>
          <t>JÖNKÖPINGS LÄN</t>
        </is>
      </c>
      <c r="G176" t="inlineStr">
        <is>
          <t>JÖNKÖPING</t>
        </is>
      </c>
      <c r="I176" t="n">
        <v>0.6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44780-2022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44841</v>
      </c>
      <c r="E177" s="1" t="n">
        <v>46310</v>
      </c>
      <c r="F177" t="inlineStr">
        <is>
          <t>JÖNKÖPINGS LÄN</t>
        </is>
      </c>
      <c r="G177" t="inlineStr">
        <is>
          <t>JÖNKÖPING</t>
        </is>
      </c>
      <c r="I177" t="n">
        <v>5.6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34408-2022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44792</v>
      </c>
      <c r="E178" s="1" t="n">
        <v>46310</v>
      </c>
      <c r="F178" t="inlineStr">
        <is>
          <t>JÖNKÖPINGS LÄN</t>
        </is>
      </c>
      <c r="G178" t="inlineStr">
        <is>
          <t>JÖNKÖPING</t>
        </is>
      </c>
      <c r="I178" t="n">
        <v>0.5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42242-2022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44830</v>
      </c>
      <c r="E179" s="1" t="n">
        <v>46310</v>
      </c>
      <c r="F179" t="inlineStr">
        <is>
          <t>JÖNKÖPINGS LÄN</t>
        </is>
      </c>
      <c r="G179" t="inlineStr">
        <is>
          <t>JÖNKÖPING</t>
        </is>
      </c>
      <c r="I179" t="n">
        <v>1.1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33259-2022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44787</v>
      </c>
      <c r="E180" s="1" t="n">
        <v>46310</v>
      </c>
      <c r="F180" t="inlineStr">
        <is>
          <t>JÖNKÖPINGS LÄN</t>
        </is>
      </c>
      <c r="G180" t="inlineStr">
        <is>
          <t>JÖNKÖPING</t>
        </is>
      </c>
      <c r="I180" t="n">
        <v>0.6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8829-2022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44614</v>
      </c>
      <c r="E181" s="1" t="n">
        <v>46310</v>
      </c>
      <c r="F181" t="inlineStr">
        <is>
          <t>JÖNKÖPINGS LÄN</t>
        </is>
      </c>
      <c r="G181" t="inlineStr">
        <is>
          <t>JÖNKÖPING</t>
        </is>
      </c>
      <c r="H181" t="inlineStr">
        <is>
          <t>Kyrkan</t>
        </is>
      </c>
      <c r="I181" t="n">
        <v>2.7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40919-2022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44825</v>
      </c>
      <c r="E182" s="1" t="n">
        <v>46310</v>
      </c>
      <c r="F182" t="inlineStr">
        <is>
          <t>JÖNKÖPINGS LÄN</t>
        </is>
      </c>
      <c r="G182" t="inlineStr">
        <is>
          <t>JÖNKÖPING</t>
        </is>
      </c>
      <c r="H182" t="inlineStr">
        <is>
          <t>Sveaskog</t>
        </is>
      </c>
      <c r="I182" t="n">
        <v>2.8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3314-2022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44585</v>
      </c>
      <c r="E183" s="1" t="n">
        <v>46310</v>
      </c>
      <c r="F183" t="inlineStr">
        <is>
          <t>JÖNKÖPINGS LÄN</t>
        </is>
      </c>
      <c r="G183" t="inlineStr">
        <is>
          <t>JÖNKÖPING</t>
        </is>
      </c>
      <c r="I183" t="n">
        <v>0.5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21944-2022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44711</v>
      </c>
      <c r="E184" s="1" t="n">
        <v>46310</v>
      </c>
      <c r="F184" t="inlineStr">
        <is>
          <t>JÖNKÖPINGS LÄN</t>
        </is>
      </c>
      <c r="G184" t="inlineStr">
        <is>
          <t>JÖNKÖPING</t>
        </is>
      </c>
      <c r="I184" t="n">
        <v>0.3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23783-2024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45455</v>
      </c>
      <c r="E185" s="1" t="n">
        <v>46310</v>
      </c>
      <c r="F185" t="inlineStr">
        <is>
          <t>JÖNKÖPINGS LÄN</t>
        </is>
      </c>
      <c r="G185" t="inlineStr">
        <is>
          <t>JÖNKÖPING</t>
        </is>
      </c>
      <c r="H185" t="inlineStr">
        <is>
          <t>Sveaskog</t>
        </is>
      </c>
      <c r="I185" t="n">
        <v>0.6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56131-2022</t>
        </is>
      </c>
      <c r="B186" t="inlineStr">
        <is>
          <t>avverkningsanmälan</t>
        </is>
      </c>
      <c r="C186" t="inlineStr">
        <is>
          <t>Avverkning för annat ändamål</t>
        </is>
      </c>
      <c r="D186" s="1" t="n">
        <v>44889</v>
      </c>
      <c r="E186" s="1" t="n">
        <v>46310</v>
      </c>
      <c r="F186" t="inlineStr">
        <is>
          <t>JÖNKÖPINGS LÄN</t>
        </is>
      </c>
      <c r="G186" t="inlineStr">
        <is>
          <t>JÖNKÖPING</t>
        </is>
      </c>
      <c r="I186" t="n">
        <v>1.5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48308-2022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44853</v>
      </c>
      <c r="E187" s="1" t="n">
        <v>46310</v>
      </c>
      <c r="F187" t="inlineStr">
        <is>
          <t>JÖNKÖPINGS LÄN</t>
        </is>
      </c>
      <c r="G187" t="inlineStr">
        <is>
          <t>JÖNKÖPING</t>
        </is>
      </c>
      <c r="I187" t="n">
        <v>5.5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5147-2022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44593</v>
      </c>
      <c r="E188" s="1" t="n">
        <v>46310</v>
      </c>
      <c r="F188" t="inlineStr">
        <is>
          <t>JÖNKÖPINGS LÄN</t>
        </is>
      </c>
      <c r="G188" t="inlineStr">
        <is>
          <t>JÖNKÖPING</t>
        </is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43782-2024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45570</v>
      </c>
      <c r="E189" s="1" t="n">
        <v>46310</v>
      </c>
      <c r="F189" t="inlineStr">
        <is>
          <t>JÖNKÖPINGS LÄN</t>
        </is>
      </c>
      <c r="G189" t="inlineStr">
        <is>
          <t>JÖNKÖPING</t>
        </is>
      </c>
      <c r="I189" t="n">
        <v>2.7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15407-2024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45401</v>
      </c>
      <c r="E190" s="1" t="n">
        <v>46310</v>
      </c>
      <c r="F190" t="inlineStr">
        <is>
          <t>JÖNKÖPINGS LÄN</t>
        </is>
      </c>
      <c r="G190" t="inlineStr">
        <is>
          <t>JÖNKÖPING</t>
        </is>
      </c>
      <c r="I190" t="n">
        <v>1.1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10563-2023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44988</v>
      </c>
      <c r="E191" s="1" t="n">
        <v>46310</v>
      </c>
      <c r="F191" t="inlineStr">
        <is>
          <t>JÖNKÖPINGS LÄN</t>
        </is>
      </c>
      <c r="G191" t="inlineStr">
        <is>
          <t>JÖNKÖPING</t>
        </is>
      </c>
      <c r="I191" t="n">
        <v>1.7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27012-2024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45471</v>
      </c>
      <c r="E192" s="1" t="n">
        <v>46310</v>
      </c>
      <c r="F192" t="inlineStr">
        <is>
          <t>JÖNKÖPINGS LÄN</t>
        </is>
      </c>
      <c r="G192" t="inlineStr">
        <is>
          <t>JÖNKÖPING</t>
        </is>
      </c>
      <c r="I192" t="n">
        <v>1.2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46738-2023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45198</v>
      </c>
      <c r="E193" s="1" t="n">
        <v>46310</v>
      </c>
      <c r="F193" t="inlineStr">
        <is>
          <t>JÖNKÖPINGS LÄN</t>
        </is>
      </c>
      <c r="G193" t="inlineStr">
        <is>
          <t>JÖNKÖPING</t>
        </is>
      </c>
      <c r="I193" t="n">
        <v>0.9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25065-2022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44729</v>
      </c>
      <c r="E194" s="1" t="n">
        <v>46310</v>
      </c>
      <c r="F194" t="inlineStr">
        <is>
          <t>JÖNKÖPINGS LÄN</t>
        </is>
      </c>
      <c r="G194" t="inlineStr">
        <is>
          <t>JÖNKÖPING</t>
        </is>
      </c>
      <c r="I194" t="n">
        <v>1.1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36861-2022</t>
        </is>
      </c>
      <c r="B195" t="inlineStr">
        <is>
          <t>avverkningsanmälan</t>
        </is>
      </c>
      <c r="C195" t="inlineStr">
        <is>
          <t>Avverkning för att bevara och utveckla /försöksver</t>
        </is>
      </c>
      <c r="D195" s="1" t="n">
        <v>44805</v>
      </c>
      <c r="E195" s="1" t="n">
        <v>46310</v>
      </c>
      <c r="F195" t="inlineStr">
        <is>
          <t>JÖNKÖPINGS LÄN</t>
        </is>
      </c>
      <c r="G195" t="inlineStr">
        <is>
          <t>JÖNKÖPING</t>
        </is>
      </c>
      <c r="H195" t="inlineStr">
        <is>
          <t>Sveaskog</t>
        </is>
      </c>
      <c r="I195" t="n">
        <v>1.1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37851-2022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44811</v>
      </c>
      <c r="E196" s="1" t="n">
        <v>46310</v>
      </c>
      <c r="F196" t="inlineStr">
        <is>
          <t>JÖNKÖPINGS LÄN</t>
        </is>
      </c>
      <c r="G196" t="inlineStr">
        <is>
          <t>JÖNKÖPING</t>
        </is>
      </c>
      <c r="I196" t="n">
        <v>1.1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14225-2025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45740</v>
      </c>
      <c r="E197" s="1" t="n">
        <v>46310</v>
      </c>
      <c r="F197" t="inlineStr">
        <is>
          <t>JÖNKÖPINGS LÄN</t>
        </is>
      </c>
      <c r="G197" t="inlineStr">
        <is>
          <t>JÖNKÖPING</t>
        </is>
      </c>
      <c r="I197" t="n">
        <v>7.3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10074-2024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45364</v>
      </c>
      <c r="E198" s="1" t="n">
        <v>46310</v>
      </c>
      <c r="F198" t="inlineStr">
        <is>
          <t>JÖNKÖPINGS LÄN</t>
        </is>
      </c>
      <c r="G198" t="inlineStr">
        <is>
          <t>JÖNKÖPING</t>
        </is>
      </c>
      <c r="I198" t="n">
        <v>4.4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13144-2025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45735</v>
      </c>
      <c r="E199" s="1" t="n">
        <v>46310</v>
      </c>
      <c r="F199" t="inlineStr">
        <is>
          <t>JÖNKÖPINGS LÄN</t>
        </is>
      </c>
      <c r="G199" t="inlineStr">
        <is>
          <t>JÖNKÖPING</t>
        </is>
      </c>
      <c r="I199" t="n">
        <v>1.5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12933-2025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45734</v>
      </c>
      <c r="E200" s="1" t="n">
        <v>46310</v>
      </c>
      <c r="F200" t="inlineStr">
        <is>
          <t>JÖNKÖPINGS LÄN</t>
        </is>
      </c>
      <c r="G200" t="inlineStr">
        <is>
          <t>JÖNKÖPING</t>
        </is>
      </c>
      <c r="I200" t="n">
        <v>1.6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44003-2023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45188</v>
      </c>
      <c r="E201" s="1" t="n">
        <v>46310</v>
      </c>
      <c r="F201" t="inlineStr">
        <is>
          <t>JÖNKÖPINGS LÄN</t>
        </is>
      </c>
      <c r="G201" t="inlineStr">
        <is>
          <t>JÖNKÖPING</t>
        </is>
      </c>
      <c r="I201" t="n">
        <v>3.4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58645-2021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44488</v>
      </c>
      <c r="E202" s="1" t="n">
        <v>46310</v>
      </c>
      <c r="F202" t="inlineStr">
        <is>
          <t>JÖNKÖPINGS LÄN</t>
        </is>
      </c>
      <c r="G202" t="inlineStr">
        <is>
          <t>JÖNKÖPING</t>
        </is>
      </c>
      <c r="I202" t="n">
        <v>5.7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8809-2024</t>
        </is>
      </c>
      <c r="B203" t="inlineStr">
        <is>
          <t>avverkningsanmälan</t>
        </is>
      </c>
      <c r="C203" t="inlineStr">
        <is>
          <t>Avverkning för annat ändamål</t>
        </is>
      </c>
      <c r="D203" s="1" t="n">
        <v>45356</v>
      </c>
      <c r="E203" s="1" t="n">
        <v>46310</v>
      </c>
      <c r="F203" t="inlineStr">
        <is>
          <t>JÖNKÖPINGS LÄN</t>
        </is>
      </c>
      <c r="G203" t="inlineStr">
        <is>
          <t>JÖNKÖPING</t>
        </is>
      </c>
      <c r="H203" t="inlineStr">
        <is>
          <t>Sveaskog</t>
        </is>
      </c>
      <c r="I203" t="n">
        <v>0.8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11255-2023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44992</v>
      </c>
      <c r="E204" s="1" t="n">
        <v>46310</v>
      </c>
      <c r="F204" t="inlineStr">
        <is>
          <t>JÖNKÖPINGS LÄN</t>
        </is>
      </c>
      <c r="G204" t="inlineStr">
        <is>
          <t>JÖNKÖPING</t>
        </is>
      </c>
      <c r="I204" t="n">
        <v>1.8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47314-2022</t>
        </is>
      </c>
      <c r="B205" t="inlineStr">
        <is>
          <t>avverkningsanmälan</t>
        </is>
      </c>
      <c r="C205" t="inlineStr">
        <is>
          <t>Avverkning för annat ändamål</t>
        </is>
      </c>
      <c r="D205" s="1" t="n">
        <v>44853</v>
      </c>
      <c r="E205" s="1" t="n">
        <v>46310</v>
      </c>
      <c r="F205" t="inlineStr">
        <is>
          <t>JÖNKÖPINGS LÄN</t>
        </is>
      </c>
      <c r="G205" t="inlineStr">
        <is>
          <t>JÖNKÖPING</t>
        </is>
      </c>
      <c r="H205" t="inlineStr">
        <is>
          <t>Kyrkan</t>
        </is>
      </c>
      <c r="I205" t="n">
        <v>1.7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61253-2021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44498</v>
      </c>
      <c r="E206" s="1" t="n">
        <v>46310</v>
      </c>
      <c r="F206" t="inlineStr">
        <is>
          <t>JÖNKÖPINGS LÄN</t>
        </is>
      </c>
      <c r="G206" t="inlineStr">
        <is>
          <t>JÖNKÖPING</t>
        </is>
      </c>
      <c r="I206" t="n">
        <v>2.2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26279-2025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45805</v>
      </c>
      <c r="E207" s="1" t="n">
        <v>46310</v>
      </c>
      <c r="F207" t="inlineStr">
        <is>
          <t>JÖNKÖPINGS LÄN</t>
        </is>
      </c>
      <c r="G207" t="inlineStr">
        <is>
          <t>JÖNKÖPING</t>
        </is>
      </c>
      <c r="I207" t="n">
        <v>0.5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42634-2023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45181</v>
      </c>
      <c r="E208" s="1" t="n">
        <v>46310</v>
      </c>
      <c r="F208" t="inlineStr">
        <is>
          <t>JÖNKÖPINGS LÄN</t>
        </is>
      </c>
      <c r="G208" t="inlineStr">
        <is>
          <t>JÖNKÖPING</t>
        </is>
      </c>
      <c r="I208" t="n">
        <v>0.7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20388-2024</t>
        </is>
      </c>
      <c r="B209" t="inlineStr">
        <is>
          <t>avverkningsanmälan</t>
        </is>
      </c>
      <c r="C209" t="inlineStr">
        <is>
          <t>Avverkning för annat ändamål</t>
        </is>
      </c>
      <c r="D209" s="1" t="n">
        <v>45435</v>
      </c>
      <c r="E209" s="1" t="n">
        <v>46310</v>
      </c>
      <c r="F209" t="inlineStr">
        <is>
          <t>JÖNKÖPINGS LÄN</t>
        </is>
      </c>
      <c r="G209" t="inlineStr">
        <is>
          <t>JÖNKÖPING</t>
        </is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26358-2025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45806</v>
      </c>
      <c r="E210" s="1" t="n">
        <v>46310</v>
      </c>
      <c r="F210" t="inlineStr">
        <is>
          <t>JÖNKÖPINGS LÄN</t>
        </is>
      </c>
      <c r="G210" t="inlineStr">
        <is>
          <t>JÖNKÖPING</t>
        </is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54451-2022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44882</v>
      </c>
      <c r="E211" s="1" t="n">
        <v>46310</v>
      </c>
      <c r="F211" t="inlineStr">
        <is>
          <t>JÖNKÖPINGS LÄN</t>
        </is>
      </c>
      <c r="G211" t="inlineStr">
        <is>
          <t>JÖNKÖPING</t>
        </is>
      </c>
      <c r="I211" t="n">
        <v>1.2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49836-2024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45597</v>
      </c>
      <c r="E212" s="1" t="n">
        <v>46310</v>
      </c>
      <c r="F212" t="inlineStr">
        <is>
          <t>JÖNKÖPINGS LÄN</t>
        </is>
      </c>
      <c r="G212" t="inlineStr">
        <is>
          <t>JÖNKÖPING</t>
        </is>
      </c>
      <c r="I212" t="n">
        <v>1.5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69558-2021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44532</v>
      </c>
      <c r="E213" s="1" t="n">
        <v>46310</v>
      </c>
      <c r="F213" t="inlineStr">
        <is>
          <t>JÖNKÖPINGS LÄN</t>
        </is>
      </c>
      <c r="G213" t="inlineStr">
        <is>
          <t>JÖNKÖPING</t>
        </is>
      </c>
      <c r="I213" t="n">
        <v>0.5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38962-2025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45887</v>
      </c>
      <c r="E214" s="1" t="n">
        <v>46310</v>
      </c>
      <c r="F214" t="inlineStr">
        <is>
          <t>JÖNKÖPINGS LÄN</t>
        </is>
      </c>
      <c r="G214" t="inlineStr">
        <is>
          <t>JÖNKÖPING</t>
        </is>
      </c>
      <c r="I214" t="n">
        <v>0.7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62892-2023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45272</v>
      </c>
      <c r="E215" s="1" t="n">
        <v>46310</v>
      </c>
      <c r="F215" t="inlineStr">
        <is>
          <t>JÖNKÖPINGS LÄN</t>
        </is>
      </c>
      <c r="G215" t="inlineStr">
        <is>
          <t>JÖNKÖPING</t>
        </is>
      </c>
      <c r="I215" t="n">
        <v>7.7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31383-2023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45114</v>
      </c>
      <c r="E216" s="1" t="n">
        <v>46310</v>
      </c>
      <c r="F216" t="inlineStr">
        <is>
          <t>JÖNKÖPINGS LÄN</t>
        </is>
      </c>
      <c r="G216" t="inlineStr">
        <is>
          <t>JÖNKÖPING</t>
        </is>
      </c>
      <c r="I216" t="n">
        <v>4.5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18771-2025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45764</v>
      </c>
      <c r="E217" s="1" t="n">
        <v>46310</v>
      </c>
      <c r="F217" t="inlineStr">
        <is>
          <t>JÖNKÖPINGS LÄN</t>
        </is>
      </c>
      <c r="G217" t="inlineStr">
        <is>
          <t>JÖNKÖPING</t>
        </is>
      </c>
      <c r="I217" t="n">
        <v>1.7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21935-2022</t>
        </is>
      </c>
      <c r="B218" t="inlineStr">
        <is>
          <t>avverkningsanmälan</t>
        </is>
      </c>
      <c r="C218" t="inlineStr">
        <is>
          <t>Avverkning för att bevara och utveckla /försöksver</t>
        </is>
      </c>
      <c r="D218" s="1" t="n">
        <v>44711</v>
      </c>
      <c r="E218" s="1" t="n">
        <v>46310</v>
      </c>
      <c r="F218" t="inlineStr">
        <is>
          <t>JÖNKÖPINGS LÄN</t>
        </is>
      </c>
      <c r="G218" t="inlineStr">
        <is>
          <t>JÖNKÖPING</t>
        </is>
      </c>
      <c r="I218" t="n">
        <v>1.7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54431-2024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45617</v>
      </c>
      <c r="E219" s="1" t="n">
        <v>46310</v>
      </c>
      <c r="F219" t="inlineStr">
        <is>
          <t>JÖNKÖPINGS LÄN</t>
        </is>
      </c>
      <c r="G219" t="inlineStr">
        <is>
          <t>JÖNKÖPING</t>
        </is>
      </c>
      <c r="I219" t="n">
        <v>5.8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60557-2024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45643</v>
      </c>
      <c r="E220" s="1" t="n">
        <v>46310</v>
      </c>
      <c r="F220" t="inlineStr">
        <is>
          <t>JÖNKÖPINGS LÄN</t>
        </is>
      </c>
      <c r="G220" t="inlineStr">
        <is>
          <t>JÖNKÖPING</t>
        </is>
      </c>
      <c r="I220" t="n">
        <v>2.1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26397-2024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45469</v>
      </c>
      <c r="E221" s="1" t="n">
        <v>46310</v>
      </c>
      <c r="F221" t="inlineStr">
        <is>
          <t>JÖNKÖPINGS LÄN</t>
        </is>
      </c>
      <c r="G221" t="inlineStr">
        <is>
          <t>JÖNKÖPING</t>
        </is>
      </c>
      <c r="I221" t="n">
        <v>2.2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6428-2023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44965</v>
      </c>
      <c r="E222" s="1" t="n">
        <v>46310</v>
      </c>
      <c r="F222" t="inlineStr">
        <is>
          <t>JÖNKÖPINGS LÄN</t>
        </is>
      </c>
      <c r="G222" t="inlineStr">
        <is>
          <t>JÖNKÖPING</t>
        </is>
      </c>
      <c r="I222" t="n">
        <v>3.6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42053-2024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45561</v>
      </c>
      <c r="E223" s="1" t="n">
        <v>46310</v>
      </c>
      <c r="F223" t="inlineStr">
        <is>
          <t>JÖNKÖPINGS LÄN</t>
        </is>
      </c>
      <c r="G223" t="inlineStr">
        <is>
          <t>JÖNKÖPING</t>
        </is>
      </c>
      <c r="I223" t="n">
        <v>2.2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14372-2023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45012</v>
      </c>
      <c r="E224" s="1" t="n">
        <v>46310</v>
      </c>
      <c r="F224" t="inlineStr">
        <is>
          <t>JÖNKÖPINGS LÄN</t>
        </is>
      </c>
      <c r="G224" t="inlineStr">
        <is>
          <t>JÖNKÖPING</t>
        </is>
      </c>
      <c r="I224" t="n">
        <v>4.8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16072-2025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45749</v>
      </c>
      <c r="E225" s="1" t="n">
        <v>46310</v>
      </c>
      <c r="F225" t="inlineStr">
        <is>
          <t>JÖNKÖPINGS LÄN</t>
        </is>
      </c>
      <c r="G225" t="inlineStr">
        <is>
          <t>JÖNKÖPING</t>
        </is>
      </c>
      <c r="I225" t="n">
        <v>2.4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28556-2025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45819</v>
      </c>
      <c r="E226" s="1" t="n">
        <v>46310</v>
      </c>
      <c r="F226" t="inlineStr">
        <is>
          <t>JÖNKÖPINGS LÄN</t>
        </is>
      </c>
      <c r="G226" t="inlineStr">
        <is>
          <t>JÖNKÖPING</t>
        </is>
      </c>
      <c r="I226" t="n">
        <v>2.7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38901-2025</t>
        </is>
      </c>
      <c r="B227" t="inlineStr">
        <is>
          <t>avverkningsanmälan</t>
        </is>
      </c>
      <c r="C227" t="inlineStr">
        <is>
          <t>Avverkning för annat ändamål</t>
        </is>
      </c>
      <c r="D227" s="1" t="n">
        <v>45887</v>
      </c>
      <c r="E227" s="1" t="n">
        <v>46310</v>
      </c>
      <c r="F227" t="inlineStr">
        <is>
          <t>JÖNKÖPINGS LÄN</t>
        </is>
      </c>
      <c r="G227" t="inlineStr">
        <is>
          <t>JÖNKÖPING</t>
        </is>
      </c>
      <c r="I227" t="n">
        <v>4.1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15567-2025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45747</v>
      </c>
      <c r="E228" s="1" t="n">
        <v>46310</v>
      </c>
      <c r="F228" t="inlineStr">
        <is>
          <t>JÖNKÖPINGS LÄN</t>
        </is>
      </c>
      <c r="G228" t="inlineStr">
        <is>
          <t>JÖNKÖPING</t>
        </is>
      </c>
      <c r="I228" t="n">
        <v>0.9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15766-2024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45404</v>
      </c>
      <c r="E229" s="1" t="n">
        <v>46310</v>
      </c>
      <c r="F229" t="inlineStr">
        <is>
          <t>JÖNKÖPINGS LÄN</t>
        </is>
      </c>
      <c r="G229" t="inlineStr">
        <is>
          <t>JÖNKÖPING</t>
        </is>
      </c>
      <c r="I229" t="n">
        <v>0.5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6077-2025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45697</v>
      </c>
      <c r="E230" s="1" t="n">
        <v>46310</v>
      </c>
      <c r="F230" t="inlineStr">
        <is>
          <t>JÖNKÖPINGS LÄN</t>
        </is>
      </c>
      <c r="G230" t="inlineStr">
        <is>
          <t>JÖNKÖPING</t>
        </is>
      </c>
      <c r="I230" t="n">
        <v>1.9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40291-2023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45169</v>
      </c>
      <c r="E231" s="1" t="n">
        <v>46310</v>
      </c>
      <c r="F231" t="inlineStr">
        <is>
          <t>JÖNKÖPINGS LÄN</t>
        </is>
      </c>
      <c r="G231" t="inlineStr">
        <is>
          <t>JÖNKÖPING</t>
        </is>
      </c>
      <c r="I231" t="n">
        <v>1.8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19388-2023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45048</v>
      </c>
      <c r="E232" s="1" t="n">
        <v>46310</v>
      </c>
      <c r="F232" t="inlineStr">
        <is>
          <t>JÖNKÖPINGS LÄN</t>
        </is>
      </c>
      <c r="G232" t="inlineStr">
        <is>
          <t>JÖNKÖPING</t>
        </is>
      </c>
      <c r="I232" t="n">
        <v>1.5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51643-2024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45605</v>
      </c>
      <c r="E233" s="1" t="n">
        <v>46310</v>
      </c>
      <c r="F233" t="inlineStr">
        <is>
          <t>JÖNKÖPINGS LÄN</t>
        </is>
      </c>
      <c r="G233" t="inlineStr">
        <is>
          <t>JÖNKÖPING</t>
        </is>
      </c>
      <c r="I233" t="n">
        <v>0.5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36346-2023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45152</v>
      </c>
      <c r="E234" s="1" t="n">
        <v>46310</v>
      </c>
      <c r="F234" t="inlineStr">
        <is>
          <t>JÖNKÖPINGS LÄN</t>
        </is>
      </c>
      <c r="G234" t="inlineStr">
        <is>
          <t>JÖNKÖPING</t>
        </is>
      </c>
      <c r="I234" t="n">
        <v>2.7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13691-2022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44648</v>
      </c>
      <c r="E235" s="1" t="n">
        <v>46310</v>
      </c>
      <c r="F235" t="inlineStr">
        <is>
          <t>JÖNKÖPINGS LÄN</t>
        </is>
      </c>
      <c r="G235" t="inlineStr">
        <is>
          <t>JÖNKÖPING</t>
        </is>
      </c>
      <c r="I235" t="n">
        <v>1.6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30217-2025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45826</v>
      </c>
      <c r="E236" s="1" t="n">
        <v>46310</v>
      </c>
      <c r="F236" t="inlineStr">
        <is>
          <t>JÖNKÖPINGS LÄN</t>
        </is>
      </c>
      <c r="G236" t="inlineStr">
        <is>
          <t>JÖNKÖPING</t>
        </is>
      </c>
      <c r="I236" t="n">
        <v>11.9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4503-2022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44589</v>
      </c>
      <c r="E237" s="1" t="n">
        <v>46310</v>
      </c>
      <c r="F237" t="inlineStr">
        <is>
          <t>JÖNKÖPINGS LÄN</t>
        </is>
      </c>
      <c r="G237" t="inlineStr">
        <is>
          <t>JÖNKÖPING</t>
        </is>
      </c>
      <c r="I237" t="n">
        <v>1.1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35109-2023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45145</v>
      </c>
      <c r="E238" s="1" t="n">
        <v>46310</v>
      </c>
      <c r="F238" t="inlineStr">
        <is>
          <t>JÖNKÖPINGS LÄN</t>
        </is>
      </c>
      <c r="G238" t="inlineStr">
        <is>
          <t>JÖNKÖPING</t>
        </is>
      </c>
      <c r="I238" t="n">
        <v>0.5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30489-2023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45111</v>
      </c>
      <c r="E239" s="1" t="n">
        <v>46310</v>
      </c>
      <c r="F239" t="inlineStr">
        <is>
          <t>JÖNKÖPINGS LÄN</t>
        </is>
      </c>
      <c r="G239" t="inlineStr">
        <is>
          <t>JÖNKÖPING</t>
        </is>
      </c>
      <c r="I239" t="n">
        <v>7.5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11052-2022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44628</v>
      </c>
      <c r="E240" s="1" t="n">
        <v>46310</v>
      </c>
      <c r="F240" t="inlineStr">
        <is>
          <t>JÖNKÖPINGS LÄN</t>
        </is>
      </c>
      <c r="G240" t="inlineStr">
        <is>
          <t>JÖNKÖPING</t>
        </is>
      </c>
      <c r="I240" t="n">
        <v>0.8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1856-2024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45307</v>
      </c>
      <c r="E241" s="1" t="n">
        <v>46310</v>
      </c>
      <c r="F241" t="inlineStr">
        <is>
          <t>JÖNKÖPINGS LÄN</t>
        </is>
      </c>
      <c r="G241" t="inlineStr">
        <is>
          <t>JÖNKÖPING</t>
        </is>
      </c>
      <c r="I241" t="n">
        <v>0.6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17363-2025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45756</v>
      </c>
      <c r="E242" s="1" t="n">
        <v>46310</v>
      </c>
      <c r="F242" t="inlineStr">
        <is>
          <t>JÖNKÖPINGS LÄN</t>
        </is>
      </c>
      <c r="G242" t="inlineStr">
        <is>
          <t>JÖNKÖPING</t>
        </is>
      </c>
      <c r="I242" t="n">
        <v>0.9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14397-2023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45012</v>
      </c>
      <c r="E243" s="1" t="n">
        <v>46310</v>
      </c>
      <c r="F243" t="inlineStr">
        <is>
          <t>JÖNKÖPINGS LÄN</t>
        </is>
      </c>
      <c r="G243" t="inlineStr">
        <is>
          <t>JÖNKÖPING</t>
        </is>
      </c>
      <c r="I243" t="n">
        <v>4.5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26441-2023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45092</v>
      </c>
      <c r="E244" s="1" t="n">
        <v>46310</v>
      </c>
      <c r="F244" t="inlineStr">
        <is>
          <t>JÖNKÖPINGS LÄN</t>
        </is>
      </c>
      <c r="G244" t="inlineStr">
        <is>
          <t>JÖNKÖPING</t>
        </is>
      </c>
      <c r="I244" t="n">
        <v>1.4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39957-2025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45892</v>
      </c>
      <c r="E245" s="1" t="n">
        <v>46310</v>
      </c>
      <c r="F245" t="inlineStr">
        <is>
          <t>JÖNKÖPINGS LÄN</t>
        </is>
      </c>
      <c r="G245" t="inlineStr">
        <is>
          <t>JÖNKÖPING</t>
        </is>
      </c>
      <c r="I245" t="n">
        <v>2.6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39953-2025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45892</v>
      </c>
      <c r="E246" s="1" t="n">
        <v>46310</v>
      </c>
      <c r="F246" t="inlineStr">
        <is>
          <t>JÖNKÖPINGS LÄN</t>
        </is>
      </c>
      <c r="G246" t="inlineStr">
        <is>
          <t>JÖNKÖPING</t>
        </is>
      </c>
      <c r="I246" t="n">
        <v>5.7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39954-2025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45892</v>
      </c>
      <c r="E247" s="1" t="n">
        <v>46310</v>
      </c>
      <c r="F247" t="inlineStr">
        <is>
          <t>JÖNKÖPINGS LÄN</t>
        </is>
      </c>
      <c r="G247" t="inlineStr">
        <is>
          <t>JÖNKÖPING</t>
        </is>
      </c>
      <c r="I247" t="n">
        <v>1.5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33846-2025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45842</v>
      </c>
      <c r="E248" s="1" t="n">
        <v>46310</v>
      </c>
      <c r="F248" t="inlineStr">
        <is>
          <t>JÖNKÖPINGS LÄN</t>
        </is>
      </c>
      <c r="G248" t="inlineStr">
        <is>
          <t>JÖNKÖPING</t>
        </is>
      </c>
      <c r="I248" t="n">
        <v>0.4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11284-2025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45726</v>
      </c>
      <c r="E249" s="1" t="n">
        <v>46310</v>
      </c>
      <c r="F249" t="inlineStr">
        <is>
          <t>JÖNKÖPINGS LÄN</t>
        </is>
      </c>
      <c r="G249" t="inlineStr">
        <is>
          <t>JÖNKÖPING</t>
        </is>
      </c>
      <c r="H249" t="inlineStr">
        <is>
          <t>Övriga Aktiebolag</t>
        </is>
      </c>
      <c r="I249" t="n">
        <v>0.5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24329-2025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45797</v>
      </c>
      <c r="E250" s="1" t="n">
        <v>46310</v>
      </c>
      <c r="F250" t="inlineStr">
        <is>
          <t>JÖNKÖPINGS LÄN</t>
        </is>
      </c>
      <c r="G250" t="inlineStr">
        <is>
          <t>JÖNKÖPING</t>
        </is>
      </c>
      <c r="I250" t="n">
        <v>2.6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40248-2025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45895</v>
      </c>
      <c r="E251" s="1" t="n">
        <v>46310</v>
      </c>
      <c r="F251" t="inlineStr">
        <is>
          <t>JÖNKÖPINGS LÄN</t>
        </is>
      </c>
      <c r="G251" t="inlineStr">
        <is>
          <t>JÖNKÖPING</t>
        </is>
      </c>
      <c r="I251" t="n">
        <v>2.7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47401-2024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45587</v>
      </c>
      <c r="E252" s="1" t="n">
        <v>46310</v>
      </c>
      <c r="F252" t="inlineStr">
        <is>
          <t>JÖNKÖPINGS LÄN</t>
        </is>
      </c>
      <c r="G252" t="inlineStr">
        <is>
          <t>JÖNKÖPING</t>
        </is>
      </c>
      <c r="I252" t="n">
        <v>5.6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15884-2024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45405</v>
      </c>
      <c r="E253" s="1" t="n">
        <v>46310</v>
      </c>
      <c r="F253" t="inlineStr">
        <is>
          <t>JÖNKÖPINGS LÄN</t>
        </is>
      </c>
      <c r="G253" t="inlineStr">
        <is>
          <t>JÖNKÖPING</t>
        </is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15886-2024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45405</v>
      </c>
      <c r="E254" s="1" t="n">
        <v>46310</v>
      </c>
      <c r="F254" t="inlineStr">
        <is>
          <t>JÖNKÖPINGS LÄN</t>
        </is>
      </c>
      <c r="G254" t="inlineStr">
        <is>
          <t>JÖNKÖPING</t>
        </is>
      </c>
      <c r="I254" t="n">
        <v>1.5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55260-2024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45621</v>
      </c>
      <c r="E255" s="1" t="n">
        <v>46310</v>
      </c>
      <c r="F255" t="inlineStr">
        <is>
          <t>JÖNKÖPINGS LÄN</t>
        </is>
      </c>
      <c r="G255" t="inlineStr">
        <is>
          <t>JÖNKÖPING</t>
        </is>
      </c>
      <c r="I255" t="n">
        <v>0.9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2454-2023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44943</v>
      </c>
      <c r="E256" s="1" t="n">
        <v>46310</v>
      </c>
      <c r="F256" t="inlineStr">
        <is>
          <t>JÖNKÖPINGS LÄN</t>
        </is>
      </c>
      <c r="G256" t="inlineStr">
        <is>
          <t>JÖNKÖPING</t>
        </is>
      </c>
      <c r="I256" t="n">
        <v>0.5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12092-2023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44998</v>
      </c>
      <c r="E257" s="1" t="n">
        <v>46310</v>
      </c>
      <c r="F257" t="inlineStr">
        <is>
          <t>JÖNKÖPINGS LÄN</t>
        </is>
      </c>
      <c r="G257" t="inlineStr">
        <is>
          <t>JÖNKÖPING</t>
        </is>
      </c>
      <c r="I257" t="n">
        <v>2.2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34600-2025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45846</v>
      </c>
      <c r="E258" s="1" t="n">
        <v>46310</v>
      </c>
      <c r="F258" t="inlineStr">
        <is>
          <t>JÖNKÖPINGS LÄN</t>
        </is>
      </c>
      <c r="G258" t="inlineStr">
        <is>
          <t>JÖNKÖPING</t>
        </is>
      </c>
      <c r="H258" t="inlineStr">
        <is>
          <t>Kyrkan</t>
        </is>
      </c>
      <c r="I258" t="n">
        <v>4.4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55168-2024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45621</v>
      </c>
      <c r="E259" s="1" t="n">
        <v>46310</v>
      </c>
      <c r="F259" t="inlineStr">
        <is>
          <t>JÖNKÖPINGS LÄN</t>
        </is>
      </c>
      <c r="G259" t="inlineStr">
        <is>
          <t>JÖNKÖPING</t>
        </is>
      </c>
      <c r="I259" t="n">
        <v>0.8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55171-2024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45621</v>
      </c>
      <c r="E260" s="1" t="n">
        <v>46310</v>
      </c>
      <c r="F260" t="inlineStr">
        <is>
          <t>JÖNKÖPINGS LÄN</t>
        </is>
      </c>
      <c r="G260" t="inlineStr">
        <is>
          <t>JÖNKÖPING</t>
        </is>
      </c>
      <c r="I260" t="n">
        <v>1.9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34605-2025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45846</v>
      </c>
      <c r="E261" s="1" t="n">
        <v>46310</v>
      </c>
      <c r="F261" t="inlineStr">
        <is>
          <t>JÖNKÖPINGS LÄN</t>
        </is>
      </c>
      <c r="G261" t="inlineStr">
        <is>
          <t>JÖNKÖPING</t>
        </is>
      </c>
      <c r="H261" t="inlineStr">
        <is>
          <t>Kyrkan</t>
        </is>
      </c>
      <c r="I261" t="n">
        <v>1.8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281-2024</t>
        </is>
      </c>
      <c r="B262" t="inlineStr">
        <is>
          <t>avverkningsanmälan</t>
        </is>
      </c>
      <c r="C262" t="inlineStr">
        <is>
          <t>Avverkning för att bevara och utveckla /försöksver</t>
        </is>
      </c>
      <c r="D262" s="1" t="n">
        <v>45295</v>
      </c>
      <c r="E262" s="1" t="n">
        <v>46310</v>
      </c>
      <c r="F262" t="inlineStr">
        <is>
          <t>JÖNKÖPINGS LÄN</t>
        </is>
      </c>
      <c r="G262" t="inlineStr">
        <is>
          <t>JÖNKÖPING</t>
        </is>
      </c>
      <c r="H262" t="inlineStr">
        <is>
          <t>Sveaskog</t>
        </is>
      </c>
      <c r="I262" t="n">
        <v>1.2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14078-2024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45392</v>
      </c>
      <c r="E263" s="1" t="n">
        <v>46310</v>
      </c>
      <c r="F263" t="inlineStr">
        <is>
          <t>JÖNKÖPINGS LÄN</t>
        </is>
      </c>
      <c r="G263" t="inlineStr">
        <is>
          <t>JÖNKÖPING</t>
        </is>
      </c>
      <c r="I263" t="n">
        <v>0.6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45406-2023</t>
        </is>
      </c>
      <c r="B264" t="inlineStr">
        <is>
          <t>avverkningsanmälan</t>
        </is>
      </c>
      <c r="C264" t="inlineStr">
        <is>
          <t>Avverkning för annat ändamål</t>
        </is>
      </c>
      <c r="D264" s="1" t="n">
        <v>45194</v>
      </c>
      <c r="E264" s="1" t="n">
        <v>46310</v>
      </c>
      <c r="F264" t="inlineStr">
        <is>
          <t>JÖNKÖPINGS LÄN</t>
        </is>
      </c>
      <c r="G264" t="inlineStr">
        <is>
          <t>JÖNKÖPING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41116-2025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45898</v>
      </c>
      <c r="E265" s="1" t="n">
        <v>46310</v>
      </c>
      <c r="F265" t="inlineStr">
        <is>
          <t>JÖNKÖPINGS LÄN</t>
        </is>
      </c>
      <c r="G265" t="inlineStr">
        <is>
          <t>JÖNKÖPING</t>
        </is>
      </c>
      <c r="I265" t="n">
        <v>0.3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16500-2025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45751</v>
      </c>
      <c r="E266" s="1" t="n">
        <v>46310</v>
      </c>
      <c r="F266" t="inlineStr">
        <is>
          <t>JÖNKÖPINGS LÄN</t>
        </is>
      </c>
      <c r="G266" t="inlineStr">
        <is>
          <t>JÖNKÖPING</t>
        </is>
      </c>
      <c r="H266" t="inlineStr">
        <is>
          <t>Sveaskog</t>
        </is>
      </c>
      <c r="I266" t="n">
        <v>3.5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41827-2025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45902</v>
      </c>
      <c r="E267" s="1" t="n">
        <v>46310</v>
      </c>
      <c r="F267" t="inlineStr">
        <is>
          <t>JÖNKÖPINGS LÄN</t>
        </is>
      </c>
      <c r="G267" t="inlineStr">
        <is>
          <t>JÖNKÖPING</t>
        </is>
      </c>
      <c r="I267" t="n">
        <v>2.9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24146-2024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45456</v>
      </c>
      <c r="E268" s="1" t="n">
        <v>46310</v>
      </c>
      <c r="F268" t="inlineStr">
        <is>
          <t>JÖNKÖPINGS LÄN</t>
        </is>
      </c>
      <c r="G268" t="inlineStr">
        <is>
          <t>JÖNKÖPING</t>
        </is>
      </c>
      <c r="I268" t="n">
        <v>2.8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42358-2025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45905</v>
      </c>
      <c r="E269" s="1" t="n">
        <v>46310</v>
      </c>
      <c r="F269" t="inlineStr">
        <is>
          <t>JÖNKÖPINGS LÄN</t>
        </is>
      </c>
      <c r="G269" t="inlineStr">
        <is>
          <t>JÖNKÖPING</t>
        </is>
      </c>
      <c r="I269" t="n">
        <v>0.8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57509-2024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45630</v>
      </c>
      <c r="E270" s="1" t="n">
        <v>46310</v>
      </c>
      <c r="F270" t="inlineStr">
        <is>
          <t>JÖNKÖPINGS LÄN</t>
        </is>
      </c>
      <c r="G270" t="inlineStr">
        <is>
          <t>JÖNKÖPING</t>
        </is>
      </c>
      <c r="H270" t="inlineStr">
        <is>
          <t>Sveaskog</t>
        </is>
      </c>
      <c r="I270" t="n">
        <v>1.4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7033-2025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45701</v>
      </c>
      <c r="E271" s="1" t="n">
        <v>46310</v>
      </c>
      <c r="F271" t="inlineStr">
        <is>
          <t>JÖNKÖPINGS LÄN</t>
        </is>
      </c>
      <c r="G271" t="inlineStr">
        <is>
          <t>JÖNKÖPING</t>
        </is>
      </c>
      <c r="I271" t="n">
        <v>2.3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61127-2024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45645</v>
      </c>
      <c r="E272" s="1" t="n">
        <v>46310</v>
      </c>
      <c r="F272" t="inlineStr">
        <is>
          <t>JÖNKÖPINGS LÄN</t>
        </is>
      </c>
      <c r="G272" t="inlineStr">
        <is>
          <t>JÖNKÖPING</t>
        </is>
      </c>
      <c r="I272" t="n">
        <v>3.9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42922-2025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45908</v>
      </c>
      <c r="E273" s="1" t="n">
        <v>46310</v>
      </c>
      <c r="F273" t="inlineStr">
        <is>
          <t>JÖNKÖPINGS LÄN</t>
        </is>
      </c>
      <c r="G273" t="inlineStr">
        <is>
          <t>JÖNKÖPING</t>
        </is>
      </c>
      <c r="I273" t="n">
        <v>0.7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42924-2025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45908</v>
      </c>
      <c r="E274" s="1" t="n">
        <v>46310</v>
      </c>
      <c r="F274" t="inlineStr">
        <is>
          <t>JÖNKÖPINGS LÄN</t>
        </is>
      </c>
      <c r="G274" t="inlineStr">
        <is>
          <t>JÖNKÖPING</t>
        </is>
      </c>
      <c r="I274" t="n">
        <v>2.1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22541-2025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45788</v>
      </c>
      <c r="E275" s="1" t="n">
        <v>46310</v>
      </c>
      <c r="F275" t="inlineStr">
        <is>
          <t>JÖNKÖPINGS LÄN</t>
        </is>
      </c>
      <c r="G275" t="inlineStr">
        <is>
          <t>JÖNKÖPING</t>
        </is>
      </c>
      <c r="I275" t="n">
        <v>1.8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42923-2025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45908</v>
      </c>
      <c r="E276" s="1" t="n">
        <v>46310</v>
      </c>
      <c r="F276" t="inlineStr">
        <is>
          <t>JÖNKÖPINGS LÄN</t>
        </is>
      </c>
      <c r="G276" t="inlineStr">
        <is>
          <t>JÖNKÖPING</t>
        </is>
      </c>
      <c r="I276" t="n">
        <v>0.8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42925-2025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45908</v>
      </c>
      <c r="E277" s="1" t="n">
        <v>46310</v>
      </c>
      <c r="F277" t="inlineStr">
        <is>
          <t>JÖNKÖPINGS LÄN</t>
        </is>
      </c>
      <c r="G277" t="inlineStr">
        <is>
          <t>JÖNKÖPING</t>
        </is>
      </c>
      <c r="I277" t="n">
        <v>1.4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18604-2025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45763</v>
      </c>
      <c r="E278" s="1" t="n">
        <v>46310</v>
      </c>
      <c r="F278" t="inlineStr">
        <is>
          <t>JÖNKÖPINGS LÄN</t>
        </is>
      </c>
      <c r="G278" t="inlineStr">
        <is>
          <t>JÖNKÖPING</t>
        </is>
      </c>
      <c r="I278" t="n">
        <v>1.5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2461-2023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44943</v>
      </c>
      <c r="E279" s="1" t="n">
        <v>46310</v>
      </c>
      <c r="F279" t="inlineStr">
        <is>
          <t>JÖNKÖPINGS LÄN</t>
        </is>
      </c>
      <c r="G279" t="inlineStr">
        <is>
          <t>JÖNKÖPING</t>
        </is>
      </c>
      <c r="I279" t="n">
        <v>2.9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2464-2023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44943</v>
      </c>
      <c r="E280" s="1" t="n">
        <v>46310</v>
      </c>
      <c r="F280" t="inlineStr">
        <is>
          <t>JÖNKÖPINGS LÄN</t>
        </is>
      </c>
      <c r="G280" t="inlineStr">
        <is>
          <t>JÖNKÖPING</t>
        </is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35820-2025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45861</v>
      </c>
      <c r="E281" s="1" t="n">
        <v>46310</v>
      </c>
      <c r="F281" t="inlineStr">
        <is>
          <t>JÖNKÖPINGS LÄN</t>
        </is>
      </c>
      <c r="G281" t="inlineStr">
        <is>
          <t>JÖNKÖPING</t>
        </is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47427-2024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45587</v>
      </c>
      <c r="E282" s="1" t="n">
        <v>46310</v>
      </c>
      <c r="F282" t="inlineStr">
        <is>
          <t>JÖNKÖPINGS LÄN</t>
        </is>
      </c>
      <c r="G282" t="inlineStr">
        <is>
          <t>JÖNKÖPING</t>
        </is>
      </c>
      <c r="I282" t="n">
        <v>1.8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17381-2025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45757</v>
      </c>
      <c r="E283" s="1" t="n">
        <v>46310</v>
      </c>
      <c r="F283" t="inlineStr">
        <is>
          <t>JÖNKÖPINGS LÄN</t>
        </is>
      </c>
      <c r="G283" t="inlineStr">
        <is>
          <t>JÖNKÖPING</t>
        </is>
      </c>
      <c r="I283" t="n">
        <v>1.2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5641-2025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45693</v>
      </c>
      <c r="E284" s="1" t="n">
        <v>46310</v>
      </c>
      <c r="F284" t="inlineStr">
        <is>
          <t>JÖNKÖPINGS LÄN</t>
        </is>
      </c>
      <c r="G284" t="inlineStr">
        <is>
          <t>JÖNKÖPING</t>
        </is>
      </c>
      <c r="I284" t="n">
        <v>1.4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1752-2023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44938</v>
      </c>
      <c r="E285" s="1" t="n">
        <v>46310</v>
      </c>
      <c r="F285" t="inlineStr">
        <is>
          <t>JÖNKÖPINGS LÄN</t>
        </is>
      </c>
      <c r="G285" t="inlineStr">
        <is>
          <t>JÖNKÖPING</t>
        </is>
      </c>
      <c r="H285" t="inlineStr">
        <is>
          <t>Kyrkan</t>
        </is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60284-2024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45642</v>
      </c>
      <c r="E286" s="1" t="n">
        <v>46310</v>
      </c>
      <c r="F286" t="inlineStr">
        <is>
          <t>JÖNKÖPINGS LÄN</t>
        </is>
      </c>
      <c r="G286" t="inlineStr">
        <is>
          <t>JÖNKÖPING</t>
        </is>
      </c>
      <c r="I286" t="n">
        <v>1.7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2513-2023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44943</v>
      </c>
      <c r="E287" s="1" t="n">
        <v>46310</v>
      </c>
      <c r="F287" t="inlineStr">
        <is>
          <t>JÖNKÖPINGS LÄN</t>
        </is>
      </c>
      <c r="G287" t="inlineStr">
        <is>
          <t>JÖNKÖPING</t>
        </is>
      </c>
      <c r="I287" t="n">
        <v>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22542-2025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45788</v>
      </c>
      <c r="E288" s="1" t="n">
        <v>46310</v>
      </c>
      <c r="F288" t="inlineStr">
        <is>
          <t>JÖNKÖPINGS LÄN</t>
        </is>
      </c>
      <c r="G288" t="inlineStr">
        <is>
          <t>JÖNKÖPING</t>
        </is>
      </c>
      <c r="I288" t="n">
        <v>2.1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36618-2025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45870</v>
      </c>
      <c r="E289" s="1" t="n">
        <v>46310</v>
      </c>
      <c r="F289" t="inlineStr">
        <is>
          <t>JÖNKÖPINGS LÄN</t>
        </is>
      </c>
      <c r="G289" t="inlineStr">
        <is>
          <t>JÖNKÖPING</t>
        </is>
      </c>
      <c r="H289" t="inlineStr">
        <is>
          <t>Sveaskog</t>
        </is>
      </c>
      <c r="I289" t="n">
        <v>0.7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13061-2025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45734</v>
      </c>
      <c r="E290" s="1" t="n">
        <v>46310</v>
      </c>
      <c r="F290" t="inlineStr">
        <is>
          <t>JÖNKÖPINGS LÄN</t>
        </is>
      </c>
      <c r="G290" t="inlineStr">
        <is>
          <t>JÖNKÖPING</t>
        </is>
      </c>
      <c r="I290" t="n">
        <v>0.7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59370-2023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45253</v>
      </c>
      <c r="E291" s="1" t="n">
        <v>46310</v>
      </c>
      <c r="F291" t="inlineStr">
        <is>
          <t>JÖNKÖPINGS LÄN</t>
        </is>
      </c>
      <c r="G291" t="inlineStr">
        <is>
          <t>JÖNKÖPING</t>
        </is>
      </c>
      <c r="I291" t="n">
        <v>1.2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37149-2025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45875</v>
      </c>
      <c r="E292" s="1" t="n">
        <v>46310</v>
      </c>
      <c r="F292" t="inlineStr">
        <is>
          <t>JÖNKÖPINGS LÄN</t>
        </is>
      </c>
      <c r="G292" t="inlineStr">
        <is>
          <t>JÖNKÖPING</t>
        </is>
      </c>
      <c r="H292" t="inlineStr">
        <is>
          <t>Kommuner</t>
        </is>
      </c>
      <c r="I292" t="n">
        <v>2.1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12938-2025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45734</v>
      </c>
      <c r="E293" s="1" t="n">
        <v>46310</v>
      </c>
      <c r="F293" t="inlineStr">
        <is>
          <t>JÖNKÖPINGS LÄN</t>
        </is>
      </c>
      <c r="G293" t="inlineStr">
        <is>
          <t>JÖNKÖPING</t>
        </is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44696-2023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45184</v>
      </c>
      <c r="E294" s="1" t="n">
        <v>46310</v>
      </c>
      <c r="F294" t="inlineStr">
        <is>
          <t>JÖNKÖPINGS LÄN</t>
        </is>
      </c>
      <c r="G294" t="inlineStr">
        <is>
          <t>JÖNKÖPING</t>
        </is>
      </c>
      <c r="I294" t="n">
        <v>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42073-2025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45902</v>
      </c>
      <c r="E295" s="1" t="n">
        <v>46310</v>
      </c>
      <c r="F295" t="inlineStr">
        <is>
          <t>JÖNKÖPINGS LÄN</t>
        </is>
      </c>
      <c r="G295" t="inlineStr">
        <is>
          <t>JÖNKÖPING</t>
        </is>
      </c>
      <c r="I295" t="n">
        <v>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37617-2025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45880</v>
      </c>
      <c r="E296" s="1" t="n">
        <v>46310</v>
      </c>
      <c r="F296" t="inlineStr">
        <is>
          <t>JÖNKÖPINGS LÄN</t>
        </is>
      </c>
      <c r="G296" t="inlineStr">
        <is>
          <t>JÖNKÖPING</t>
        </is>
      </c>
      <c r="I296" t="n">
        <v>3.1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44775-2025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45917</v>
      </c>
      <c r="E297" s="1" t="n">
        <v>46310</v>
      </c>
      <c r="F297" t="inlineStr">
        <is>
          <t>JÖNKÖPINGS LÄN</t>
        </is>
      </c>
      <c r="G297" t="inlineStr">
        <is>
          <t>JÖNKÖPING</t>
        </is>
      </c>
      <c r="I297" t="n">
        <v>1.7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38403-2025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45883</v>
      </c>
      <c r="E298" s="1" t="n">
        <v>46310</v>
      </c>
      <c r="F298" t="inlineStr">
        <is>
          <t>JÖNKÖPINGS LÄN</t>
        </is>
      </c>
      <c r="G298" t="inlineStr">
        <is>
          <t>JÖNKÖPING</t>
        </is>
      </c>
      <c r="I298" t="n">
        <v>7.4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38407-2025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45883</v>
      </c>
      <c r="E299" s="1" t="n">
        <v>46310</v>
      </c>
      <c r="F299" t="inlineStr">
        <is>
          <t>JÖNKÖPINGS LÄN</t>
        </is>
      </c>
      <c r="G299" t="inlineStr">
        <is>
          <t>JÖNKÖPING</t>
        </is>
      </c>
      <c r="I299" t="n">
        <v>8.6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38415-2025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45883</v>
      </c>
      <c r="E300" s="1" t="n">
        <v>46310</v>
      </c>
      <c r="F300" t="inlineStr">
        <is>
          <t>JÖNKÖPINGS LÄN</t>
        </is>
      </c>
      <c r="G300" t="inlineStr">
        <is>
          <t>JÖNKÖPING</t>
        </is>
      </c>
      <c r="I300" t="n">
        <v>3.9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38414-2025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45883</v>
      </c>
      <c r="E301" s="1" t="n">
        <v>46310</v>
      </c>
      <c r="F301" t="inlineStr">
        <is>
          <t>JÖNKÖPINGS LÄN</t>
        </is>
      </c>
      <c r="G301" t="inlineStr">
        <is>
          <t>JÖNKÖPING</t>
        </is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46374-2025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45925</v>
      </c>
      <c r="E302" s="1" t="n">
        <v>46310</v>
      </c>
      <c r="F302" t="inlineStr">
        <is>
          <t>JÖNKÖPINGS LÄN</t>
        </is>
      </c>
      <c r="G302" t="inlineStr">
        <is>
          <t>JÖNKÖPING</t>
        </is>
      </c>
      <c r="I302" t="n">
        <v>2.6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31518-2023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45116</v>
      </c>
      <c r="E303" s="1" t="n">
        <v>46310</v>
      </c>
      <c r="F303" t="inlineStr">
        <is>
          <t>JÖNKÖPINGS LÄN</t>
        </is>
      </c>
      <c r="G303" t="inlineStr">
        <is>
          <t>JÖNKÖPING</t>
        </is>
      </c>
      <c r="I303" t="n">
        <v>4.7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18606-2023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45043</v>
      </c>
      <c r="E304" s="1" t="n">
        <v>46310</v>
      </c>
      <c r="F304" t="inlineStr">
        <is>
          <t>JÖNKÖPINGS LÄN</t>
        </is>
      </c>
      <c r="G304" t="inlineStr">
        <is>
          <t>JÖNKÖPING</t>
        </is>
      </c>
      <c r="I304" t="n">
        <v>2.2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38225-2024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45545</v>
      </c>
      <c r="E305" s="1" t="n">
        <v>46310</v>
      </c>
      <c r="F305" t="inlineStr">
        <is>
          <t>JÖNKÖPINGS LÄN</t>
        </is>
      </c>
      <c r="G305" t="inlineStr">
        <is>
          <t>JÖNKÖPING</t>
        </is>
      </c>
      <c r="I305" t="n">
        <v>1.1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3381-2023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44949</v>
      </c>
      <c r="E306" s="1" t="n">
        <v>46310</v>
      </c>
      <c r="F306" t="inlineStr">
        <is>
          <t>JÖNKÖPINGS LÄN</t>
        </is>
      </c>
      <c r="G306" t="inlineStr">
        <is>
          <t>JÖNKÖPING</t>
        </is>
      </c>
      <c r="I306" t="n">
        <v>14.5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14112-2024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45392</v>
      </c>
      <c r="E307" s="1" t="n">
        <v>46310</v>
      </c>
      <c r="F307" t="inlineStr">
        <is>
          <t>JÖNKÖPINGS LÄN</t>
        </is>
      </c>
      <c r="G307" t="inlineStr">
        <is>
          <t>JÖNKÖPING</t>
        </is>
      </c>
      <c r="I307" t="n">
        <v>0.6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15605-2022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44662</v>
      </c>
      <c r="E308" s="1" t="n">
        <v>46310</v>
      </c>
      <c r="F308" t="inlineStr">
        <is>
          <t>JÖNKÖPINGS LÄN</t>
        </is>
      </c>
      <c r="G308" t="inlineStr">
        <is>
          <t>JÖNKÖPING</t>
        </is>
      </c>
      <c r="I308" t="n">
        <v>3.7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59195-2022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44904</v>
      </c>
      <c r="E309" s="1" t="n">
        <v>46310</v>
      </c>
      <c r="F309" t="inlineStr">
        <is>
          <t>JÖNKÖPINGS LÄN</t>
        </is>
      </c>
      <c r="G309" t="inlineStr">
        <is>
          <t>JÖNKÖPING</t>
        </is>
      </c>
      <c r="I309" t="n">
        <v>0.9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62909-2023</t>
        </is>
      </c>
      <c r="B310" t="inlineStr">
        <is>
          <t>avverkningsanmälan</t>
        </is>
      </c>
      <c r="C310" t="inlineStr">
        <is>
          <t>Avverkning för annat ändamål</t>
        </is>
      </c>
      <c r="D310" s="1" t="n">
        <v>45271</v>
      </c>
      <c r="E310" s="1" t="n">
        <v>46310</v>
      </c>
      <c r="F310" t="inlineStr">
        <is>
          <t>JÖNKÖPINGS LÄN</t>
        </is>
      </c>
      <c r="G310" t="inlineStr">
        <is>
          <t>JÖNKÖPING</t>
        </is>
      </c>
      <c r="I310" t="n">
        <v>0.6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59269-2022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44904</v>
      </c>
      <c r="E311" s="1" t="n">
        <v>46310</v>
      </c>
      <c r="F311" t="inlineStr">
        <is>
          <t>JÖNKÖPINGS LÄN</t>
        </is>
      </c>
      <c r="G311" t="inlineStr">
        <is>
          <t>JÖNKÖPING</t>
        </is>
      </c>
      <c r="H311" t="inlineStr">
        <is>
          <t>Kommuner</t>
        </is>
      </c>
      <c r="I311" t="n">
        <v>2.8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59293-2022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44897</v>
      </c>
      <c r="E312" s="1" t="n">
        <v>46310</v>
      </c>
      <c r="F312" t="inlineStr">
        <is>
          <t>JÖNKÖPINGS LÄN</t>
        </is>
      </c>
      <c r="G312" t="inlineStr">
        <is>
          <t>JÖNKÖPING</t>
        </is>
      </c>
      <c r="I312" t="n">
        <v>0.5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59294-2022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44904</v>
      </c>
      <c r="E313" s="1" t="n">
        <v>46310</v>
      </c>
      <c r="F313" t="inlineStr">
        <is>
          <t>JÖNKÖPINGS LÄN</t>
        </is>
      </c>
      <c r="G313" t="inlineStr">
        <is>
          <t>JÖNKÖPING</t>
        </is>
      </c>
      <c r="H313" t="inlineStr">
        <is>
          <t>Kommuner</t>
        </is>
      </c>
      <c r="I313" t="n">
        <v>2.2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49379-2022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44861</v>
      </c>
      <c r="E314" s="1" t="n">
        <v>46310</v>
      </c>
      <c r="F314" t="inlineStr">
        <is>
          <t>JÖNKÖPINGS LÄN</t>
        </is>
      </c>
      <c r="G314" t="inlineStr">
        <is>
          <t>JÖNKÖPING</t>
        </is>
      </c>
      <c r="I314" t="n">
        <v>0.7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49396-2022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44861</v>
      </c>
      <c r="E315" s="1" t="n">
        <v>46310</v>
      </c>
      <c r="F315" t="inlineStr">
        <is>
          <t>JÖNKÖPINGS LÄN</t>
        </is>
      </c>
      <c r="G315" t="inlineStr">
        <is>
          <t>JÖNKÖPING</t>
        </is>
      </c>
      <c r="I315" t="n">
        <v>1.6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38923-2025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45887</v>
      </c>
      <c r="E316" s="1" t="n">
        <v>46310</v>
      </c>
      <c r="F316" t="inlineStr">
        <is>
          <t>JÖNKÖPINGS LÄN</t>
        </is>
      </c>
      <c r="G316" t="inlineStr">
        <is>
          <t>JÖNKÖPING</t>
        </is>
      </c>
      <c r="I316" t="n">
        <v>1.1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16184-2024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45406</v>
      </c>
      <c r="E317" s="1" t="n">
        <v>46310</v>
      </c>
      <c r="F317" t="inlineStr">
        <is>
          <t>JÖNKÖPINGS LÄN</t>
        </is>
      </c>
      <c r="G317" t="inlineStr">
        <is>
          <t>JÖNKÖPING</t>
        </is>
      </c>
      <c r="I317" t="n">
        <v>1.2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4270-2026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46045</v>
      </c>
      <c r="E318" s="1" t="n">
        <v>46310</v>
      </c>
      <c r="F318" t="inlineStr">
        <is>
          <t>JÖNKÖPINGS LÄN</t>
        </is>
      </c>
      <c r="G318" t="inlineStr">
        <is>
          <t>JÖNKÖPING</t>
        </is>
      </c>
      <c r="I318" t="n">
        <v>2.5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9067-2026</t>
        </is>
      </c>
      <c r="B319" t="inlineStr">
        <is>
          <t>avverkningsanmälan</t>
        </is>
      </c>
      <c r="C319" t="inlineStr">
        <is>
          <t>Avverkning för annat ändamål</t>
        </is>
      </c>
      <c r="D319" s="1" t="n">
        <v>46069</v>
      </c>
      <c r="E319" s="1" t="n">
        <v>46310</v>
      </c>
      <c r="F319" t="inlineStr">
        <is>
          <t>JÖNKÖPINGS LÄN</t>
        </is>
      </c>
      <c r="G319" t="inlineStr">
        <is>
          <t>JÖNKÖPING</t>
        </is>
      </c>
      <c r="I319" t="n">
        <v>0.5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9073-2026</t>
        </is>
      </c>
      <c r="B320" t="inlineStr">
        <is>
          <t>avverkningsanmälan</t>
        </is>
      </c>
      <c r="C320" t="inlineStr">
        <is>
          <t>Avverkning för annat ändamål</t>
        </is>
      </c>
      <c r="D320" s="1" t="n">
        <v>46069</v>
      </c>
      <c r="E320" s="1" t="n">
        <v>46310</v>
      </c>
      <c r="F320" t="inlineStr">
        <is>
          <t>JÖNKÖPINGS LÄN</t>
        </is>
      </c>
      <c r="G320" t="inlineStr">
        <is>
          <t>JÖNKÖPING</t>
        </is>
      </c>
      <c r="I320" t="n">
        <v>0.3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48413-2025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45934</v>
      </c>
      <c r="E321" s="1" t="n">
        <v>46310</v>
      </c>
      <c r="F321" t="inlineStr">
        <is>
          <t>JÖNKÖPINGS LÄN</t>
        </is>
      </c>
      <c r="G321" t="inlineStr">
        <is>
          <t>JÖNKÖPING</t>
        </is>
      </c>
      <c r="I321" t="n">
        <v>0.9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9020-2026</t>
        </is>
      </c>
      <c r="B322" t="inlineStr">
        <is>
          <t>avverkningsanmälan</t>
        </is>
      </c>
      <c r="C322" t="inlineStr">
        <is>
          <t>Avverkning för annat ändamål</t>
        </is>
      </c>
      <c r="D322" s="1" t="n">
        <v>46069</v>
      </c>
      <c r="E322" s="1" t="n">
        <v>46310</v>
      </c>
      <c r="F322" t="inlineStr">
        <is>
          <t>JÖNKÖPINGS LÄN</t>
        </is>
      </c>
      <c r="G322" t="inlineStr">
        <is>
          <t>JÖNKÖPING</t>
        </is>
      </c>
      <c r="I322" t="n">
        <v>3.6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9374-2026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46070</v>
      </c>
      <c r="E323" s="1" t="n">
        <v>46310</v>
      </c>
      <c r="F323" t="inlineStr">
        <is>
          <t>JÖNKÖPINGS LÄN</t>
        </is>
      </c>
      <c r="G323" t="inlineStr">
        <is>
          <t>JÖNKÖPING</t>
        </is>
      </c>
      <c r="I323" t="n">
        <v>1.4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55294-2022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44882</v>
      </c>
      <c r="E324" s="1" t="n">
        <v>46310</v>
      </c>
      <c r="F324" t="inlineStr">
        <is>
          <t>JÖNKÖPINGS LÄN</t>
        </is>
      </c>
      <c r="G324" t="inlineStr">
        <is>
          <t>JÖNKÖPING</t>
        </is>
      </c>
      <c r="I324" t="n">
        <v>2.1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9375-2026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46070</v>
      </c>
      <c r="E325" s="1" t="n">
        <v>46310</v>
      </c>
      <c r="F325" t="inlineStr">
        <is>
          <t>JÖNKÖPINGS LÄN</t>
        </is>
      </c>
      <c r="G325" t="inlineStr">
        <is>
          <t>JÖNKÖPING</t>
        </is>
      </c>
      <c r="I325" t="n">
        <v>1.3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9376-2026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46070</v>
      </c>
      <c r="E326" s="1" t="n">
        <v>46310</v>
      </c>
      <c r="F326" t="inlineStr">
        <is>
          <t>JÖNKÖPINGS LÄN</t>
        </is>
      </c>
      <c r="G326" t="inlineStr">
        <is>
          <t>JÖNKÖPING</t>
        </is>
      </c>
      <c r="I326" t="n">
        <v>1.2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9926-2026</t>
        </is>
      </c>
      <c r="B327" t="inlineStr">
        <is>
          <t>avverkningsanmälan</t>
        </is>
      </c>
      <c r="C327" t="inlineStr">
        <is>
          <t>Avverkning för att bevara och utveckla /försöksver</t>
        </is>
      </c>
      <c r="D327" s="1" t="n">
        <v>46073</v>
      </c>
      <c r="E327" s="1" t="n">
        <v>46310</v>
      </c>
      <c r="F327" t="inlineStr">
        <is>
          <t>JÖNKÖPINGS LÄN</t>
        </is>
      </c>
      <c r="G327" t="inlineStr">
        <is>
          <t>JÖNKÖPING</t>
        </is>
      </c>
      <c r="I327" t="n">
        <v>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43290-2023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45183</v>
      </c>
      <c r="E328" s="1" t="n">
        <v>46310</v>
      </c>
      <c r="F328" t="inlineStr">
        <is>
          <t>JÖNKÖPINGS LÄN</t>
        </is>
      </c>
      <c r="G328" t="inlineStr">
        <is>
          <t>JÖNKÖPING</t>
        </is>
      </c>
      <c r="I328" t="n">
        <v>4.6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50628-2025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45945</v>
      </c>
      <c r="E329" s="1" t="n">
        <v>46310</v>
      </c>
      <c r="F329" t="inlineStr">
        <is>
          <t>JÖNKÖPINGS LÄN</t>
        </is>
      </c>
      <c r="G329" t="inlineStr">
        <is>
          <t>JÖNKÖPING</t>
        </is>
      </c>
      <c r="I329" t="n">
        <v>3.4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11700-2024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45373</v>
      </c>
      <c r="E330" s="1" t="n">
        <v>46310</v>
      </c>
      <c r="F330" t="inlineStr">
        <is>
          <t>JÖNKÖPINGS LÄN</t>
        </is>
      </c>
      <c r="G330" t="inlineStr">
        <is>
          <t>JÖNKÖPING</t>
        </is>
      </c>
      <c r="I330" t="n">
        <v>4.3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858-2022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44571</v>
      </c>
      <c r="E331" s="1" t="n">
        <v>46310</v>
      </c>
      <c r="F331" t="inlineStr">
        <is>
          <t>JÖNKÖPINGS LÄN</t>
        </is>
      </c>
      <c r="G331" t="inlineStr">
        <is>
          <t>JÖNKÖPING</t>
        </is>
      </c>
      <c r="I331" t="n">
        <v>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37003-2024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45539</v>
      </c>
      <c r="E332" s="1" t="n">
        <v>46310</v>
      </c>
      <c r="F332" t="inlineStr">
        <is>
          <t>JÖNKÖPINGS LÄN</t>
        </is>
      </c>
      <c r="G332" t="inlineStr">
        <is>
          <t>JÖNKÖPING</t>
        </is>
      </c>
      <c r="I332" t="n">
        <v>1.2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50787-2025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45946</v>
      </c>
      <c r="E333" s="1" t="n">
        <v>46310</v>
      </c>
      <c r="F333" t="inlineStr">
        <is>
          <t>JÖNKÖPINGS LÄN</t>
        </is>
      </c>
      <c r="G333" t="inlineStr">
        <is>
          <t>JÖNKÖPING</t>
        </is>
      </c>
      <c r="I333" t="n">
        <v>1.8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50173-2023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45215</v>
      </c>
      <c r="E334" s="1" t="n">
        <v>46310</v>
      </c>
      <c r="F334" t="inlineStr">
        <is>
          <t>JÖNKÖPINGS LÄN</t>
        </is>
      </c>
      <c r="G334" t="inlineStr">
        <is>
          <t>JÖNKÖPING</t>
        </is>
      </c>
      <c r="I334" t="n">
        <v>0.6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36189-2022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44803</v>
      </c>
      <c r="E335" s="1" t="n">
        <v>46310</v>
      </c>
      <c r="F335" t="inlineStr">
        <is>
          <t>JÖNKÖPINGS LÄN</t>
        </is>
      </c>
      <c r="G335" t="inlineStr">
        <is>
          <t>JÖNKÖPING</t>
        </is>
      </c>
      <c r="I335" t="n">
        <v>1.5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4592-2022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44592</v>
      </c>
      <c r="E336" s="1" t="n">
        <v>46310</v>
      </c>
      <c r="F336" t="inlineStr">
        <is>
          <t>JÖNKÖPINGS LÄN</t>
        </is>
      </c>
      <c r="G336" t="inlineStr">
        <is>
          <t>JÖNKÖPING</t>
        </is>
      </c>
      <c r="I336" t="n">
        <v>2.2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38918-2024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45547</v>
      </c>
      <c r="E337" s="1" t="n">
        <v>46310</v>
      </c>
      <c r="F337" t="inlineStr">
        <is>
          <t>JÖNKÖPINGS LÄN</t>
        </is>
      </c>
      <c r="G337" t="inlineStr">
        <is>
          <t>JÖNKÖPING</t>
        </is>
      </c>
      <c r="H337" t="inlineStr">
        <is>
          <t>Sveaskog</t>
        </is>
      </c>
      <c r="I337" t="n">
        <v>0.5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11066-2026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46079</v>
      </c>
      <c r="E338" s="1" t="n">
        <v>46310</v>
      </c>
      <c r="F338" t="inlineStr">
        <is>
          <t>JÖNKÖPINGS LÄN</t>
        </is>
      </c>
      <c r="G338" t="inlineStr">
        <is>
          <t>JÖNKÖPING</t>
        </is>
      </c>
      <c r="I338" t="n">
        <v>1.5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50855-2025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45946</v>
      </c>
      <c r="E339" s="1" t="n">
        <v>46310</v>
      </c>
      <c r="F339" t="inlineStr">
        <is>
          <t>JÖNKÖPINGS LÄN</t>
        </is>
      </c>
      <c r="G339" t="inlineStr">
        <is>
          <t>JÖNKÖPING</t>
        </is>
      </c>
      <c r="I339" t="n">
        <v>1.9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23794-2024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45455</v>
      </c>
      <c r="E340" s="1" t="n">
        <v>46310</v>
      </c>
      <c r="F340" t="inlineStr">
        <is>
          <t>JÖNKÖPINGS LÄN</t>
        </is>
      </c>
      <c r="G340" t="inlineStr">
        <is>
          <t>JÖNKÖPING</t>
        </is>
      </c>
      <c r="H340" t="inlineStr">
        <is>
          <t>Sveaskog</t>
        </is>
      </c>
      <c r="I340" t="n">
        <v>0.7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43054-2023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45182</v>
      </c>
      <c r="E341" s="1" t="n">
        <v>46310</v>
      </c>
      <c r="F341" t="inlineStr">
        <is>
          <t>JÖNKÖPINGS LÄN</t>
        </is>
      </c>
      <c r="G341" t="inlineStr">
        <is>
          <t>JÖNKÖPING</t>
        </is>
      </c>
      <c r="I341" t="n">
        <v>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2364-2025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45673</v>
      </c>
      <c r="E342" s="1" t="n">
        <v>46310</v>
      </c>
      <c r="F342" t="inlineStr">
        <is>
          <t>JÖNKÖPINGS LÄN</t>
        </is>
      </c>
      <c r="G342" t="inlineStr">
        <is>
          <t>JÖNKÖPING</t>
        </is>
      </c>
      <c r="I342" t="n">
        <v>0.5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12256-2026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46087</v>
      </c>
      <c r="E343" s="1" t="n">
        <v>46310</v>
      </c>
      <c r="F343" t="inlineStr">
        <is>
          <t>JÖNKÖPINGS LÄN</t>
        </is>
      </c>
      <c r="G343" t="inlineStr">
        <is>
          <t>JÖNKÖPING</t>
        </is>
      </c>
      <c r="I343" t="n">
        <v>0.4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4643-2023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44957</v>
      </c>
      <c r="E344" s="1" t="n">
        <v>46310</v>
      </c>
      <c r="F344" t="inlineStr">
        <is>
          <t>JÖNKÖPINGS LÄN</t>
        </is>
      </c>
      <c r="G344" t="inlineStr">
        <is>
          <t>JÖNKÖPING</t>
        </is>
      </c>
      <c r="I344" t="n">
        <v>2.6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24972-2024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45461</v>
      </c>
      <c r="E345" s="1" t="n">
        <v>46310</v>
      </c>
      <c r="F345" t="inlineStr">
        <is>
          <t>JÖNKÖPINGS LÄN</t>
        </is>
      </c>
      <c r="G345" t="inlineStr">
        <is>
          <t>JÖNKÖPING</t>
        </is>
      </c>
      <c r="I345" t="n">
        <v>0.6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10204-2022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44622</v>
      </c>
      <c r="E346" s="1" t="n">
        <v>46310</v>
      </c>
      <c r="F346" t="inlineStr">
        <is>
          <t>JÖNKÖPINGS LÄN</t>
        </is>
      </c>
      <c r="G346" t="inlineStr">
        <is>
          <t>JÖNKÖPING</t>
        </is>
      </c>
      <c r="I346" t="n">
        <v>9.699999999999999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58351-2022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44893</v>
      </c>
      <c r="E347" s="1" t="n">
        <v>46310</v>
      </c>
      <c r="F347" t="inlineStr">
        <is>
          <t>JÖNKÖPINGS LÄN</t>
        </is>
      </c>
      <c r="G347" t="inlineStr">
        <is>
          <t>JÖNKÖPING</t>
        </is>
      </c>
      <c r="H347" t="inlineStr">
        <is>
          <t>Övriga statliga verk och myndigheter</t>
        </is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17846-2023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45037</v>
      </c>
      <c r="E348" s="1" t="n">
        <v>46310</v>
      </c>
      <c r="F348" t="inlineStr">
        <is>
          <t>JÖNKÖPINGS LÄN</t>
        </is>
      </c>
      <c r="G348" t="inlineStr">
        <is>
          <t>JÖNKÖPING</t>
        </is>
      </c>
      <c r="I348" t="n">
        <v>3.4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50192-2024</t>
        </is>
      </c>
      <c r="B349" t="inlineStr">
        <is>
          <t>avverkningsanmälan</t>
        </is>
      </c>
      <c r="C349" t="inlineStr">
        <is>
          <t>Avverkning för annat ändamål</t>
        </is>
      </c>
      <c r="D349" s="1" t="n">
        <v>45600</v>
      </c>
      <c r="E349" s="1" t="n">
        <v>46310</v>
      </c>
      <c r="F349" t="inlineStr">
        <is>
          <t>JÖNKÖPINGS LÄN</t>
        </is>
      </c>
      <c r="G349" t="inlineStr">
        <is>
          <t>JÖNKÖPING</t>
        </is>
      </c>
      <c r="I349" t="n">
        <v>0.5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50193-2024</t>
        </is>
      </c>
      <c r="B350" t="inlineStr">
        <is>
          <t>avverkningsanmälan</t>
        </is>
      </c>
      <c r="C350" t="inlineStr">
        <is>
          <t>Avverkning för annat ändamål</t>
        </is>
      </c>
      <c r="D350" s="1" t="n">
        <v>45600</v>
      </c>
      <c r="E350" s="1" t="n">
        <v>46310</v>
      </c>
      <c r="F350" t="inlineStr">
        <is>
          <t>JÖNKÖPINGS LÄN</t>
        </is>
      </c>
      <c r="G350" t="inlineStr">
        <is>
          <t>JÖNKÖPING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53281-2025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45958</v>
      </c>
      <c r="E351" s="1" t="n">
        <v>46310</v>
      </c>
      <c r="F351" t="inlineStr">
        <is>
          <t>JÖNKÖPINGS LÄN</t>
        </is>
      </c>
      <c r="G351" t="inlineStr">
        <is>
          <t>JÖNKÖPING</t>
        </is>
      </c>
      <c r="I351" t="n">
        <v>1.1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11311-2025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45726</v>
      </c>
      <c r="E352" s="1" t="n">
        <v>46310</v>
      </c>
      <c r="F352" t="inlineStr">
        <is>
          <t>JÖNKÖPINGS LÄN</t>
        </is>
      </c>
      <c r="G352" t="inlineStr">
        <is>
          <t>JÖNKÖPING</t>
        </is>
      </c>
      <c r="I352" t="n">
        <v>2.9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24554-2024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45460</v>
      </c>
      <c r="E353" s="1" t="n">
        <v>46310</v>
      </c>
      <c r="F353" t="inlineStr">
        <is>
          <t>JÖNKÖPINGS LÄN</t>
        </is>
      </c>
      <c r="G353" t="inlineStr">
        <is>
          <t>JÖNKÖPING</t>
        </is>
      </c>
      <c r="I353" t="n">
        <v>0.8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53280-2025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45958</v>
      </c>
      <c r="E354" s="1" t="n">
        <v>46310</v>
      </c>
      <c r="F354" t="inlineStr">
        <is>
          <t>JÖNKÖPINGS LÄN</t>
        </is>
      </c>
      <c r="G354" t="inlineStr">
        <is>
          <t>JÖNKÖPING</t>
        </is>
      </c>
      <c r="I354" t="n">
        <v>0.3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53283-2025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45958</v>
      </c>
      <c r="E355" s="1" t="n">
        <v>46310</v>
      </c>
      <c r="F355" t="inlineStr">
        <is>
          <t>JÖNKÖPINGS LÄN</t>
        </is>
      </c>
      <c r="G355" t="inlineStr">
        <is>
          <t>JÖNKÖPING</t>
        </is>
      </c>
      <c r="I355" t="n">
        <v>2.3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50168-2023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45215</v>
      </c>
      <c r="E356" s="1" t="n">
        <v>46310</v>
      </c>
      <c r="F356" t="inlineStr">
        <is>
          <t>JÖNKÖPINGS LÄN</t>
        </is>
      </c>
      <c r="G356" t="inlineStr">
        <is>
          <t>JÖNKÖPING</t>
        </is>
      </c>
      <c r="I356" t="n">
        <v>4.6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12657-2026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46091</v>
      </c>
      <c r="E357" s="1" t="n">
        <v>46310</v>
      </c>
      <c r="F357" t="inlineStr">
        <is>
          <t>JÖNKÖPINGS LÄN</t>
        </is>
      </c>
      <c r="G357" t="inlineStr">
        <is>
          <t>JÖNKÖPING</t>
        </is>
      </c>
      <c r="I357" t="n">
        <v>5.9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16652-2023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45030</v>
      </c>
      <c r="E358" s="1" t="n">
        <v>46310</v>
      </c>
      <c r="F358" t="inlineStr">
        <is>
          <t>JÖNKÖPINGS LÄN</t>
        </is>
      </c>
      <c r="G358" t="inlineStr">
        <is>
          <t>JÖNKÖPING</t>
        </is>
      </c>
      <c r="I358" t="n">
        <v>1.2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26108-2024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45468</v>
      </c>
      <c r="E359" s="1" t="n">
        <v>46310</v>
      </c>
      <c r="F359" t="inlineStr">
        <is>
          <t>JÖNKÖPINGS LÄN</t>
        </is>
      </c>
      <c r="G359" t="inlineStr">
        <is>
          <t>JÖNKÖPING</t>
        </is>
      </c>
      <c r="I359" t="n">
        <v>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11236-2024</t>
        </is>
      </c>
      <c r="B360" t="inlineStr">
        <is>
          <t>avverkningsanmälan</t>
        </is>
      </c>
      <c r="C360" t="inlineStr">
        <is>
          <t>Avverkning för annat ändamål</t>
        </is>
      </c>
      <c r="D360" s="1" t="n">
        <v>45371</v>
      </c>
      <c r="E360" s="1" t="n">
        <v>46310</v>
      </c>
      <c r="F360" t="inlineStr">
        <is>
          <t>JÖNKÖPINGS LÄN</t>
        </is>
      </c>
      <c r="G360" t="inlineStr">
        <is>
          <t>JÖNKÖPING</t>
        </is>
      </c>
      <c r="I360" t="n">
        <v>0.3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54306-2025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45965</v>
      </c>
      <c r="E361" s="1" t="n">
        <v>46310</v>
      </c>
      <c r="F361" t="inlineStr">
        <is>
          <t>JÖNKÖPINGS LÄN</t>
        </is>
      </c>
      <c r="G361" t="inlineStr">
        <is>
          <t>JÖNKÖPING</t>
        </is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3835-2025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45682</v>
      </c>
      <c r="E362" s="1" t="n">
        <v>46310</v>
      </c>
      <c r="F362" t="inlineStr">
        <is>
          <t>JÖNKÖPINGS LÄN</t>
        </is>
      </c>
      <c r="G362" t="inlineStr">
        <is>
          <t>JÖNKÖPING</t>
        </is>
      </c>
      <c r="I362" t="n">
        <v>2.8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54774-2025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45966</v>
      </c>
      <c r="E363" s="1" t="n">
        <v>46310</v>
      </c>
      <c r="F363" t="inlineStr">
        <is>
          <t>JÖNKÖPINGS LÄN</t>
        </is>
      </c>
      <c r="G363" t="inlineStr">
        <is>
          <t>JÖNKÖPING</t>
        </is>
      </c>
      <c r="I363" t="n">
        <v>0.8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8347-2023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44977</v>
      </c>
      <c r="E364" s="1" t="n">
        <v>46310</v>
      </c>
      <c r="F364" t="inlineStr">
        <is>
          <t>JÖNKÖPINGS LÄN</t>
        </is>
      </c>
      <c r="G364" t="inlineStr">
        <is>
          <t>JÖNKÖPING</t>
        </is>
      </c>
      <c r="I364" t="n">
        <v>0.7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8346-2023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44977</v>
      </c>
      <c r="E365" s="1" t="n">
        <v>46310</v>
      </c>
      <c r="F365" t="inlineStr">
        <is>
          <t>JÖNKÖPINGS LÄN</t>
        </is>
      </c>
      <c r="G365" t="inlineStr">
        <is>
          <t>JÖNKÖPING</t>
        </is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54727-2025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45966</v>
      </c>
      <c r="E366" s="1" t="n">
        <v>46310</v>
      </c>
      <c r="F366" t="inlineStr">
        <is>
          <t>JÖNKÖPINGS LÄN</t>
        </is>
      </c>
      <c r="G366" t="inlineStr">
        <is>
          <t>JÖNKÖPING</t>
        </is>
      </c>
      <c r="I366" t="n">
        <v>9.699999999999999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54753-2025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45966</v>
      </c>
      <c r="E367" s="1" t="n">
        <v>46310</v>
      </c>
      <c r="F367" t="inlineStr">
        <is>
          <t>JÖNKÖPINGS LÄN</t>
        </is>
      </c>
      <c r="G367" t="inlineStr">
        <is>
          <t>JÖNKÖPING</t>
        </is>
      </c>
      <c r="I367" t="n">
        <v>3.8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54769-2025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45966</v>
      </c>
      <c r="E368" s="1" t="n">
        <v>46310</v>
      </c>
      <c r="F368" t="inlineStr">
        <is>
          <t>JÖNKÖPINGS LÄN</t>
        </is>
      </c>
      <c r="G368" t="inlineStr">
        <is>
          <t>JÖNKÖPING</t>
        </is>
      </c>
      <c r="I368" t="n">
        <v>2.3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54654-2025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45966</v>
      </c>
      <c r="E369" s="1" t="n">
        <v>46310</v>
      </c>
      <c r="F369" t="inlineStr">
        <is>
          <t>JÖNKÖPINGS LÄN</t>
        </is>
      </c>
      <c r="G369" t="inlineStr">
        <is>
          <t>JÖNKÖPING</t>
        </is>
      </c>
      <c r="I369" t="n">
        <v>1.3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54642-2024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45617</v>
      </c>
      <c r="E370" s="1" t="n">
        <v>46310</v>
      </c>
      <c r="F370" t="inlineStr">
        <is>
          <t>JÖNKÖPINGS LÄN</t>
        </is>
      </c>
      <c r="G370" t="inlineStr">
        <is>
          <t>JÖNKÖPING</t>
        </is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17171-2023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45034</v>
      </c>
      <c r="E371" s="1" t="n">
        <v>46310</v>
      </c>
      <c r="F371" t="inlineStr">
        <is>
          <t>JÖNKÖPINGS LÄN</t>
        </is>
      </c>
      <c r="G371" t="inlineStr">
        <is>
          <t>JÖNKÖPING</t>
        </is>
      </c>
      <c r="I371" t="n">
        <v>0.9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55198-2025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45968</v>
      </c>
      <c r="E372" s="1" t="n">
        <v>46310</v>
      </c>
      <c r="F372" t="inlineStr">
        <is>
          <t>JÖNKÖPINGS LÄN</t>
        </is>
      </c>
      <c r="G372" t="inlineStr">
        <is>
          <t>JÖNKÖPING</t>
        </is>
      </c>
      <c r="I372" t="n">
        <v>4.5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14699-2026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46101</v>
      </c>
      <c r="E373" s="1" t="n">
        <v>46310</v>
      </c>
      <c r="F373" t="inlineStr">
        <is>
          <t>JÖNKÖPINGS LÄN</t>
        </is>
      </c>
      <c r="G373" t="inlineStr">
        <is>
          <t>JÖNKÖPING</t>
        </is>
      </c>
      <c r="I373" t="n">
        <v>1.2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3427-2022</t>
        </is>
      </c>
      <c r="B374" t="inlineStr">
        <is>
          <t>avverkningsanmälan</t>
        </is>
      </c>
      <c r="C374" t="inlineStr">
        <is>
          <t>Avverkning för annat ändamål</t>
        </is>
      </c>
      <c r="D374" s="1" t="n">
        <v>44585</v>
      </c>
      <c r="E374" s="1" t="n">
        <v>46310</v>
      </c>
      <c r="F374" t="inlineStr">
        <is>
          <t>JÖNKÖPINGS LÄN</t>
        </is>
      </c>
      <c r="G374" t="inlineStr">
        <is>
          <t>JÖNKÖPING</t>
        </is>
      </c>
      <c r="I374" t="n">
        <v>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36272-2023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45152</v>
      </c>
      <c r="E375" s="1" t="n">
        <v>46310</v>
      </c>
      <c r="F375" t="inlineStr">
        <is>
          <t>JÖNKÖPINGS LÄN</t>
        </is>
      </c>
      <c r="G375" t="inlineStr">
        <is>
          <t>JÖNKÖPING</t>
        </is>
      </c>
      <c r="I375" t="n">
        <v>1.7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56262-2025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45974</v>
      </c>
      <c r="E376" s="1" t="n">
        <v>46310</v>
      </c>
      <c r="F376" t="inlineStr">
        <is>
          <t>JÖNKÖPINGS LÄN</t>
        </is>
      </c>
      <c r="G376" t="inlineStr">
        <is>
          <t>JÖNKÖPING</t>
        </is>
      </c>
      <c r="H376" t="inlineStr">
        <is>
          <t>Sveaskog</t>
        </is>
      </c>
      <c r="I376" t="n">
        <v>3.4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56292-2025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45974</v>
      </c>
      <c r="E377" s="1" t="n">
        <v>46310</v>
      </c>
      <c r="F377" t="inlineStr">
        <is>
          <t>JÖNKÖPINGS LÄN</t>
        </is>
      </c>
      <c r="G377" t="inlineStr">
        <is>
          <t>JÖNKÖPING</t>
        </is>
      </c>
      <c r="H377" t="inlineStr">
        <is>
          <t>Sveaskog</t>
        </is>
      </c>
      <c r="I377" t="n">
        <v>1.2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56338-2025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45974</v>
      </c>
      <c r="E378" s="1" t="n">
        <v>46310</v>
      </c>
      <c r="F378" t="inlineStr">
        <is>
          <t>JÖNKÖPINGS LÄN</t>
        </is>
      </c>
      <c r="G378" t="inlineStr">
        <is>
          <t>JÖNKÖPING</t>
        </is>
      </c>
      <c r="H378" t="inlineStr">
        <is>
          <t>Sveaskog</t>
        </is>
      </c>
      <c r="I378" t="n">
        <v>2.5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56327-2025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45974</v>
      </c>
      <c r="E379" s="1" t="n">
        <v>46310</v>
      </c>
      <c r="F379" t="inlineStr">
        <is>
          <t>JÖNKÖPINGS LÄN</t>
        </is>
      </c>
      <c r="G379" t="inlineStr">
        <is>
          <t>JÖNKÖPING</t>
        </is>
      </c>
      <c r="H379" t="inlineStr">
        <is>
          <t>Sveaskog</t>
        </is>
      </c>
      <c r="I379" t="n">
        <v>2.3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56251-2025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45974</v>
      </c>
      <c r="E380" s="1" t="n">
        <v>46310</v>
      </c>
      <c r="F380" t="inlineStr">
        <is>
          <t>JÖNKÖPINGS LÄN</t>
        </is>
      </c>
      <c r="G380" t="inlineStr">
        <is>
          <t>JÖNKÖPING</t>
        </is>
      </c>
      <c r="H380" t="inlineStr">
        <is>
          <t>Sveaskog</t>
        </is>
      </c>
      <c r="I380" t="n">
        <v>1.2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56408-2025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45975</v>
      </c>
      <c r="E381" s="1" t="n">
        <v>46310</v>
      </c>
      <c r="F381" t="inlineStr">
        <is>
          <t>JÖNKÖPINGS LÄN</t>
        </is>
      </c>
      <c r="G381" t="inlineStr">
        <is>
          <t>JÖNKÖPING</t>
        </is>
      </c>
      <c r="I381" t="n">
        <v>1.4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8185-2024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45351</v>
      </c>
      <c r="E382" s="1" t="n">
        <v>46310</v>
      </c>
      <c r="F382" t="inlineStr">
        <is>
          <t>JÖNKÖPINGS LÄN</t>
        </is>
      </c>
      <c r="G382" t="inlineStr">
        <is>
          <t>JÖNKÖPING</t>
        </is>
      </c>
      <c r="H382" t="inlineStr">
        <is>
          <t>Sveaskog</t>
        </is>
      </c>
      <c r="I382" t="n">
        <v>0.7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56248-2025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45974</v>
      </c>
      <c r="E383" s="1" t="n">
        <v>46310</v>
      </c>
      <c r="F383" t="inlineStr">
        <is>
          <t>JÖNKÖPINGS LÄN</t>
        </is>
      </c>
      <c r="G383" t="inlineStr">
        <is>
          <t>JÖNKÖPING</t>
        </is>
      </c>
      <c r="H383" t="inlineStr">
        <is>
          <t>Sveaskog</t>
        </is>
      </c>
      <c r="I383" t="n">
        <v>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56285-2025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45974</v>
      </c>
      <c r="E384" s="1" t="n">
        <v>46310</v>
      </c>
      <c r="F384" t="inlineStr">
        <is>
          <t>JÖNKÖPINGS LÄN</t>
        </is>
      </c>
      <c r="G384" t="inlineStr">
        <is>
          <t>JÖNKÖPING</t>
        </is>
      </c>
      <c r="H384" t="inlineStr">
        <is>
          <t>Sveaskog</t>
        </is>
      </c>
      <c r="I384" t="n">
        <v>1.6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56345-2025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45974</v>
      </c>
      <c r="E385" s="1" t="n">
        <v>46310</v>
      </c>
      <c r="F385" t="inlineStr">
        <is>
          <t>JÖNKÖPINGS LÄN</t>
        </is>
      </c>
      <c r="G385" t="inlineStr">
        <is>
          <t>JÖNKÖPING</t>
        </is>
      </c>
      <c r="H385" t="inlineStr">
        <is>
          <t>Sveaskog</t>
        </is>
      </c>
      <c r="I385" t="n">
        <v>0.9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57090-2025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45979</v>
      </c>
      <c r="E386" s="1" t="n">
        <v>46310</v>
      </c>
      <c r="F386" t="inlineStr">
        <is>
          <t>JÖNKÖPINGS LÄN</t>
        </is>
      </c>
      <c r="G386" t="inlineStr">
        <is>
          <t>JÖNKÖPING</t>
        </is>
      </c>
      <c r="I386" t="n">
        <v>7.5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56781-2025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45978</v>
      </c>
      <c r="E387" s="1" t="n">
        <v>46310</v>
      </c>
      <c r="F387" t="inlineStr">
        <is>
          <t>JÖNKÖPINGS LÄN</t>
        </is>
      </c>
      <c r="G387" t="inlineStr">
        <is>
          <t>JÖNKÖPING</t>
        </is>
      </c>
      <c r="I387" t="n">
        <v>2.4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45976-2022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44846</v>
      </c>
      <c r="E388" s="1" t="n">
        <v>46310</v>
      </c>
      <c r="F388" t="inlineStr">
        <is>
          <t>JÖNKÖPINGS LÄN</t>
        </is>
      </c>
      <c r="G388" t="inlineStr">
        <is>
          <t>JÖNKÖPING</t>
        </is>
      </c>
      <c r="I388" t="n">
        <v>1.5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7885-2024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45349</v>
      </c>
      <c r="E389" s="1" t="n">
        <v>46310</v>
      </c>
      <c r="F389" t="inlineStr">
        <is>
          <t>JÖNKÖPINGS LÄN</t>
        </is>
      </c>
      <c r="G389" t="inlineStr">
        <is>
          <t>JÖNKÖPING</t>
        </is>
      </c>
      <c r="I389" t="n">
        <v>0.7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31046-2024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45502</v>
      </c>
      <c r="E390" s="1" t="n">
        <v>46310</v>
      </c>
      <c r="F390" t="inlineStr">
        <is>
          <t>JÖNKÖPINGS LÄN</t>
        </is>
      </c>
      <c r="G390" t="inlineStr">
        <is>
          <t>JÖNKÖPING</t>
        </is>
      </c>
      <c r="I390" t="n">
        <v>5.5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42838-2023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45182</v>
      </c>
      <c r="E391" s="1" t="n">
        <v>46310</v>
      </c>
      <c r="F391" t="inlineStr">
        <is>
          <t>JÖNKÖPINGS LÄN</t>
        </is>
      </c>
      <c r="G391" t="inlineStr">
        <is>
          <t>JÖNKÖPING</t>
        </is>
      </c>
      <c r="I391" t="n">
        <v>1.3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59110-2022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44904</v>
      </c>
      <c r="E392" s="1" t="n">
        <v>46310</v>
      </c>
      <c r="F392" t="inlineStr">
        <is>
          <t>JÖNKÖPINGS LÄN</t>
        </is>
      </c>
      <c r="G392" t="inlineStr">
        <is>
          <t>JÖNKÖPING</t>
        </is>
      </c>
      <c r="H392" t="inlineStr">
        <is>
          <t>Kommuner</t>
        </is>
      </c>
      <c r="I392" t="n">
        <v>5.1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17295-2026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46119</v>
      </c>
      <c r="E393" s="1" t="n">
        <v>46310</v>
      </c>
      <c r="F393" t="inlineStr">
        <is>
          <t>JÖNKÖPINGS LÄN</t>
        </is>
      </c>
      <c r="G393" t="inlineStr">
        <is>
          <t>JÖNKÖPING</t>
        </is>
      </c>
      <c r="I393" t="n">
        <v>3.7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17325-2026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46119</v>
      </c>
      <c r="E394" s="1" t="n">
        <v>46310</v>
      </c>
      <c r="F394" t="inlineStr">
        <is>
          <t>JÖNKÖPINGS LÄN</t>
        </is>
      </c>
      <c r="G394" t="inlineStr">
        <is>
          <t>JÖNKÖPING</t>
        </is>
      </c>
      <c r="I394" t="n">
        <v>5.6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18607-2025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45763</v>
      </c>
      <c r="E395" s="1" t="n">
        <v>46310</v>
      </c>
      <c r="F395" t="inlineStr">
        <is>
          <t>JÖNKÖPINGS LÄN</t>
        </is>
      </c>
      <c r="G395" t="inlineStr">
        <is>
          <t>JÖNKÖPING</t>
        </is>
      </c>
      <c r="I395" t="n">
        <v>1.2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17532-2026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46120</v>
      </c>
      <c r="E396" s="1" t="n">
        <v>46310</v>
      </c>
      <c r="F396" t="inlineStr">
        <is>
          <t>JÖNKÖPINGS LÄN</t>
        </is>
      </c>
      <c r="G396" t="inlineStr">
        <is>
          <t>JÖNKÖPING</t>
        </is>
      </c>
      <c r="I396" t="n">
        <v>2.3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17535-2026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46120</v>
      </c>
      <c r="E397" s="1" t="n">
        <v>46310</v>
      </c>
      <c r="F397" t="inlineStr">
        <is>
          <t>JÖNKÖPINGS LÄN</t>
        </is>
      </c>
      <c r="G397" t="inlineStr">
        <is>
          <t>JÖNKÖPING</t>
        </is>
      </c>
      <c r="I397" t="n">
        <v>7.4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17543-2026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46120</v>
      </c>
      <c r="E398" s="1" t="n">
        <v>46310</v>
      </c>
      <c r="F398" t="inlineStr">
        <is>
          <t>JÖNKÖPINGS LÄN</t>
        </is>
      </c>
      <c r="G398" t="inlineStr">
        <is>
          <t>JÖNKÖPING</t>
        </is>
      </c>
      <c r="I398" t="n">
        <v>1.6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44416-2023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45189</v>
      </c>
      <c r="E399" s="1" t="n">
        <v>46310</v>
      </c>
      <c r="F399" t="inlineStr">
        <is>
          <t>JÖNKÖPINGS LÄN</t>
        </is>
      </c>
      <c r="G399" t="inlineStr">
        <is>
          <t>JÖNKÖPING</t>
        </is>
      </c>
      <c r="I399" t="n">
        <v>1.1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17294-2026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46119</v>
      </c>
      <c r="E400" s="1" t="n">
        <v>46310</v>
      </c>
      <c r="F400" t="inlineStr">
        <is>
          <t>JÖNKÖPINGS LÄN</t>
        </is>
      </c>
      <c r="G400" t="inlineStr">
        <is>
          <t>JÖNKÖPING</t>
        </is>
      </c>
      <c r="I400" t="n">
        <v>2.6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63207-2021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44507</v>
      </c>
      <c r="E401" s="1" t="n">
        <v>46310</v>
      </c>
      <c r="F401" t="inlineStr">
        <is>
          <t>JÖNKÖPINGS LÄN</t>
        </is>
      </c>
      <c r="G401" t="inlineStr">
        <is>
          <t>JÖNKÖPING</t>
        </is>
      </c>
      <c r="I401" t="n">
        <v>0.7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9268-2024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45358</v>
      </c>
      <c r="E402" s="1" t="n">
        <v>46310</v>
      </c>
      <c r="F402" t="inlineStr">
        <is>
          <t>JÖNKÖPINGS LÄN</t>
        </is>
      </c>
      <c r="G402" t="inlineStr">
        <is>
          <t>JÖNKÖPING</t>
        </is>
      </c>
      <c r="I402" t="n">
        <v>8.4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61638-2024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45646</v>
      </c>
      <c r="E403" s="1" t="n">
        <v>46310</v>
      </c>
      <c r="F403" t="inlineStr">
        <is>
          <t>JÖNKÖPINGS LÄN</t>
        </is>
      </c>
      <c r="G403" t="inlineStr">
        <is>
          <t>JÖNKÖPING</t>
        </is>
      </c>
      <c r="I403" t="n">
        <v>0.5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59017-2025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45988</v>
      </c>
      <c r="E404" s="1" t="n">
        <v>46310</v>
      </c>
      <c r="F404" t="inlineStr">
        <is>
          <t>JÖNKÖPINGS LÄN</t>
        </is>
      </c>
      <c r="G404" t="inlineStr">
        <is>
          <t>JÖNKÖPING</t>
        </is>
      </c>
      <c r="I404" t="n">
        <v>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304-2024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45294</v>
      </c>
      <c r="E405" s="1" t="n">
        <v>46310</v>
      </c>
      <c r="F405" t="inlineStr">
        <is>
          <t>JÖNKÖPINGS LÄN</t>
        </is>
      </c>
      <c r="G405" t="inlineStr">
        <is>
          <t>JÖNKÖPING</t>
        </is>
      </c>
      <c r="H405" t="inlineStr">
        <is>
          <t>Kyrkan</t>
        </is>
      </c>
      <c r="I405" t="n">
        <v>1.1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25250-2023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45079</v>
      </c>
      <c r="E406" s="1" t="n">
        <v>46310</v>
      </c>
      <c r="F406" t="inlineStr">
        <is>
          <t>JÖNKÖPINGS LÄN</t>
        </is>
      </c>
      <c r="G406" t="inlineStr">
        <is>
          <t>JÖNKÖPING</t>
        </is>
      </c>
      <c r="I406" t="n">
        <v>1.7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17237-2023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45035</v>
      </c>
      <c r="E407" s="1" t="n">
        <v>46310</v>
      </c>
      <c r="F407" t="inlineStr">
        <is>
          <t>JÖNKÖPINGS LÄN</t>
        </is>
      </c>
      <c r="G407" t="inlineStr">
        <is>
          <t>JÖNKÖPING</t>
        </is>
      </c>
      <c r="I407" t="n">
        <v>1.7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3520-2023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44950</v>
      </c>
      <c r="E408" s="1" t="n">
        <v>46310</v>
      </c>
      <c r="F408" t="inlineStr">
        <is>
          <t>JÖNKÖPINGS LÄN</t>
        </is>
      </c>
      <c r="G408" t="inlineStr">
        <is>
          <t>JÖNKÖPING</t>
        </is>
      </c>
      <c r="I408" t="n">
        <v>1.8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56062-2023</t>
        </is>
      </c>
      <c r="B409" t="inlineStr">
        <is>
          <t>avverkningsanmälan</t>
        </is>
      </c>
      <c r="C409" t="inlineStr">
        <is>
          <t>Avverkning för annat ändamål</t>
        </is>
      </c>
      <c r="D409" s="1" t="n">
        <v>45240</v>
      </c>
      <c r="E409" s="1" t="n">
        <v>46310</v>
      </c>
      <c r="F409" t="inlineStr">
        <is>
          <t>JÖNKÖPINGS LÄN</t>
        </is>
      </c>
      <c r="G409" t="inlineStr">
        <is>
          <t>JÖNKÖPING</t>
        </is>
      </c>
      <c r="I409" t="n">
        <v>13.6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60569-2025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45995</v>
      </c>
      <c r="E410" s="1" t="n">
        <v>46310</v>
      </c>
      <c r="F410" t="inlineStr">
        <is>
          <t>JÖNKÖPINGS LÄN</t>
        </is>
      </c>
      <c r="G410" t="inlineStr">
        <is>
          <t>JÖNKÖPING</t>
        </is>
      </c>
      <c r="I410" t="n">
        <v>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10720-2022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44626</v>
      </c>
      <c r="E411" s="1" t="n">
        <v>46310</v>
      </c>
      <c r="F411" t="inlineStr">
        <is>
          <t>JÖNKÖPINGS LÄN</t>
        </is>
      </c>
      <c r="G411" t="inlineStr">
        <is>
          <t>JÖNKÖPING</t>
        </is>
      </c>
      <c r="I411" t="n">
        <v>1.2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57567-2023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45246</v>
      </c>
      <c r="E412" s="1" t="n">
        <v>46310</v>
      </c>
      <c r="F412" t="inlineStr">
        <is>
          <t>JÖNKÖPINGS LÄN</t>
        </is>
      </c>
      <c r="G412" t="inlineStr">
        <is>
          <t>JÖNKÖPING</t>
        </is>
      </c>
      <c r="H412" t="inlineStr">
        <is>
          <t>Kyrkan</t>
        </is>
      </c>
      <c r="I412" t="n">
        <v>7.6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21250-2023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45058</v>
      </c>
      <c r="E413" s="1" t="n">
        <v>46310</v>
      </c>
      <c r="F413" t="inlineStr">
        <is>
          <t>JÖNKÖPINGS LÄN</t>
        </is>
      </c>
      <c r="G413" t="inlineStr">
        <is>
          <t>JÖNKÖPING</t>
        </is>
      </c>
      <c r="I413" t="n">
        <v>0.7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61236-2025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46000</v>
      </c>
      <c r="E414" s="1" t="n">
        <v>46310</v>
      </c>
      <c r="F414" t="inlineStr">
        <is>
          <t>JÖNKÖPINGS LÄN</t>
        </is>
      </c>
      <c r="G414" t="inlineStr">
        <is>
          <t>JÖNKÖPING</t>
        </is>
      </c>
      <c r="I414" t="n">
        <v>2.6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32035-2023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45119</v>
      </c>
      <c r="E415" s="1" t="n">
        <v>46310</v>
      </c>
      <c r="F415" t="inlineStr">
        <is>
          <t>JÖNKÖPINGS LÄN</t>
        </is>
      </c>
      <c r="G415" t="inlineStr">
        <is>
          <t>JÖNKÖPING</t>
        </is>
      </c>
      <c r="I415" t="n">
        <v>0.5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42734-2024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45566</v>
      </c>
      <c r="E416" s="1" t="n">
        <v>46310</v>
      </c>
      <c r="F416" t="inlineStr">
        <is>
          <t>JÖNKÖPINGS LÄN</t>
        </is>
      </c>
      <c r="G416" t="inlineStr">
        <is>
          <t>JÖNKÖPING</t>
        </is>
      </c>
      <c r="I416" t="n">
        <v>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42736-2024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45566</v>
      </c>
      <c r="E417" s="1" t="n">
        <v>46310</v>
      </c>
      <c r="F417" t="inlineStr">
        <is>
          <t>JÖNKÖPINGS LÄN</t>
        </is>
      </c>
      <c r="G417" t="inlineStr">
        <is>
          <t>JÖNKÖPING</t>
        </is>
      </c>
      <c r="I417" t="n">
        <v>2.2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31048-2024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45502</v>
      </c>
      <c r="E418" s="1" t="n">
        <v>46310</v>
      </c>
      <c r="F418" t="inlineStr">
        <is>
          <t>JÖNKÖPINGS LÄN</t>
        </is>
      </c>
      <c r="G418" t="inlineStr">
        <is>
          <t>JÖNKÖPING</t>
        </is>
      </c>
      <c r="I418" t="n">
        <v>5.9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43668-2022</t>
        </is>
      </c>
      <c r="B419" t="inlineStr">
        <is>
          <t>avverkningsanmälan</t>
        </is>
      </c>
      <c r="C419" t="inlineStr">
        <is>
          <t>Avverkning för annat ändamål</t>
        </is>
      </c>
      <c r="D419" s="1" t="n">
        <v>44837</v>
      </c>
      <c r="E419" s="1" t="n">
        <v>46310</v>
      </c>
      <c r="F419" t="inlineStr">
        <is>
          <t>JÖNKÖPINGS LÄN</t>
        </is>
      </c>
      <c r="G419" t="inlineStr">
        <is>
          <t>JÖNKÖPING</t>
        </is>
      </c>
      <c r="I419" t="n">
        <v>0.5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63076-2025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46009</v>
      </c>
      <c r="E420" s="1" t="n">
        <v>46310</v>
      </c>
      <c r="F420" t="inlineStr">
        <is>
          <t>JÖNKÖPINGS LÄN</t>
        </is>
      </c>
      <c r="G420" t="inlineStr">
        <is>
          <t>JÖNKÖPING</t>
        </is>
      </c>
      <c r="H420" t="inlineStr">
        <is>
          <t>Sveaskog</t>
        </is>
      </c>
      <c r="I420" t="n">
        <v>5.5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49059-2023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45210</v>
      </c>
      <c r="E421" s="1" t="n">
        <v>46310</v>
      </c>
      <c r="F421" t="inlineStr">
        <is>
          <t>JÖNKÖPINGS LÄN</t>
        </is>
      </c>
      <c r="G421" t="inlineStr">
        <is>
          <t>JÖNKÖPING</t>
        </is>
      </c>
      <c r="I421" t="n">
        <v>1.4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40273-2023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45169</v>
      </c>
      <c r="E422" s="1" t="n">
        <v>46310</v>
      </c>
      <c r="F422" t="inlineStr">
        <is>
          <t>JÖNKÖPINGS LÄN</t>
        </is>
      </c>
      <c r="G422" t="inlineStr">
        <is>
          <t>JÖNKÖPING</t>
        </is>
      </c>
      <c r="I422" t="n">
        <v>2.6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26888-2025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45810</v>
      </c>
      <c r="E423" s="1" t="n">
        <v>46310</v>
      </c>
      <c r="F423" t="inlineStr">
        <is>
          <t>JÖNKÖPINGS LÄN</t>
        </is>
      </c>
      <c r="G423" t="inlineStr">
        <is>
          <t>JÖNKÖPING</t>
        </is>
      </c>
      <c r="I423" t="n">
        <v>4.2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8864-2022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44614</v>
      </c>
      <c r="E424" s="1" t="n">
        <v>46310</v>
      </c>
      <c r="F424" t="inlineStr">
        <is>
          <t>JÖNKÖPINGS LÄN</t>
        </is>
      </c>
      <c r="G424" t="inlineStr">
        <is>
          <t>JÖNKÖPING</t>
        </is>
      </c>
      <c r="I424" t="n">
        <v>1.7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62876-2025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46008</v>
      </c>
      <c r="E425" s="1" t="n">
        <v>46310</v>
      </c>
      <c r="F425" t="inlineStr">
        <is>
          <t>JÖNKÖPINGS LÄN</t>
        </is>
      </c>
      <c r="G425" t="inlineStr">
        <is>
          <t>JÖNKÖPING</t>
        </is>
      </c>
      <c r="H425" t="inlineStr">
        <is>
          <t>Sveaskog</t>
        </is>
      </c>
      <c r="I425" t="n">
        <v>1.5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16049-2023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45021</v>
      </c>
      <c r="E426" s="1" t="n">
        <v>46310</v>
      </c>
      <c r="F426" t="inlineStr">
        <is>
          <t>JÖNKÖPINGS LÄN</t>
        </is>
      </c>
      <c r="G426" t="inlineStr">
        <is>
          <t>JÖNKÖPING</t>
        </is>
      </c>
      <c r="I426" t="n">
        <v>6.9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5901-2023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44963</v>
      </c>
      <c r="E427" s="1" t="n">
        <v>46310</v>
      </c>
      <c r="F427" t="inlineStr">
        <is>
          <t>JÖNKÖPINGS LÄN</t>
        </is>
      </c>
      <c r="G427" t="inlineStr">
        <is>
          <t>JÖNKÖPING</t>
        </is>
      </c>
      <c r="I427" t="n">
        <v>0.7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40163-2023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45169</v>
      </c>
      <c r="E428" s="1" t="n">
        <v>46310</v>
      </c>
      <c r="F428" t="inlineStr">
        <is>
          <t>JÖNKÖPINGS LÄN</t>
        </is>
      </c>
      <c r="G428" t="inlineStr">
        <is>
          <t>JÖNKÖPING</t>
        </is>
      </c>
      <c r="I428" t="n">
        <v>2.8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63435-2025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46013</v>
      </c>
      <c r="E429" s="1" t="n">
        <v>46310</v>
      </c>
      <c r="F429" t="inlineStr">
        <is>
          <t>JÖNKÖPINGS LÄN</t>
        </is>
      </c>
      <c r="G429" t="inlineStr">
        <is>
          <t>JÖNKÖPING</t>
        </is>
      </c>
      <c r="I429" t="n">
        <v>2.8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982-2023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44935</v>
      </c>
      <c r="E430" s="1" t="n">
        <v>46310</v>
      </c>
      <c r="F430" t="inlineStr">
        <is>
          <t>JÖNKÖPINGS LÄN</t>
        </is>
      </c>
      <c r="G430" t="inlineStr">
        <is>
          <t>JÖNKÖPING</t>
        </is>
      </c>
      <c r="I430" t="n">
        <v>0.8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51876-2022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44867</v>
      </c>
      <c r="E431" s="1" t="n">
        <v>46310</v>
      </c>
      <c r="F431" t="inlineStr">
        <is>
          <t>JÖNKÖPINGS LÄN</t>
        </is>
      </c>
      <c r="G431" t="inlineStr">
        <is>
          <t>JÖNKÖPING</t>
        </is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21149-2022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44704</v>
      </c>
      <c r="E432" s="1" t="n">
        <v>46310</v>
      </c>
      <c r="F432" t="inlineStr">
        <is>
          <t>JÖNKÖPINGS LÄN</t>
        </is>
      </c>
      <c r="G432" t="inlineStr">
        <is>
          <t>JÖNKÖPING</t>
        </is>
      </c>
      <c r="I432" t="n">
        <v>2.1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53282-2025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45958</v>
      </c>
      <c r="E433" s="1" t="n">
        <v>46310</v>
      </c>
      <c r="F433" t="inlineStr">
        <is>
          <t>JÖNKÖPINGS LÄN</t>
        </is>
      </c>
      <c r="G433" t="inlineStr">
        <is>
          <t>JÖNKÖPING</t>
        </is>
      </c>
      <c r="I433" t="n">
        <v>3.2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63564-2025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46013</v>
      </c>
      <c r="E434" s="1" t="n">
        <v>46310</v>
      </c>
      <c r="F434" t="inlineStr">
        <is>
          <t>JÖNKÖPINGS LÄN</t>
        </is>
      </c>
      <c r="G434" t="inlineStr">
        <is>
          <t>JÖNKÖPING</t>
        </is>
      </c>
      <c r="I434" t="n">
        <v>1.6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63346-2025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46010</v>
      </c>
      <c r="E435" s="1" t="n">
        <v>46310</v>
      </c>
      <c r="F435" t="inlineStr">
        <is>
          <t>JÖNKÖPINGS LÄN</t>
        </is>
      </c>
      <c r="G435" t="inlineStr">
        <is>
          <t>JÖNKÖPING</t>
        </is>
      </c>
      <c r="I435" t="n">
        <v>1.7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63126-2025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46009</v>
      </c>
      <c r="E436" s="1" t="n">
        <v>46310</v>
      </c>
      <c r="F436" t="inlineStr">
        <is>
          <t>JÖNKÖPINGS LÄN</t>
        </is>
      </c>
      <c r="G436" t="inlineStr">
        <is>
          <t>JÖNKÖPING</t>
        </is>
      </c>
      <c r="H436" t="inlineStr">
        <is>
          <t>Sveaskog</t>
        </is>
      </c>
      <c r="I436" t="n">
        <v>5.3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63432-2025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46013</v>
      </c>
      <c r="E437" s="1" t="n">
        <v>46310</v>
      </c>
      <c r="F437" t="inlineStr">
        <is>
          <t>JÖNKÖPINGS LÄN</t>
        </is>
      </c>
      <c r="G437" t="inlineStr">
        <is>
          <t>JÖNKÖPING</t>
        </is>
      </c>
      <c r="I437" t="n">
        <v>5.3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43251-2023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45180</v>
      </c>
      <c r="E438" s="1" t="n">
        <v>46310</v>
      </c>
      <c r="F438" t="inlineStr">
        <is>
          <t>JÖNKÖPINGS LÄN</t>
        </is>
      </c>
      <c r="G438" t="inlineStr">
        <is>
          <t>JÖNKÖPING</t>
        </is>
      </c>
      <c r="I438" t="n">
        <v>0.9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63127-2025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46009</v>
      </c>
      <c r="E439" s="1" t="n">
        <v>46310</v>
      </c>
      <c r="F439" t="inlineStr">
        <is>
          <t>JÖNKÖPINGS LÄN</t>
        </is>
      </c>
      <c r="G439" t="inlineStr">
        <is>
          <t>JÖNKÖPING</t>
        </is>
      </c>
      <c r="H439" t="inlineStr">
        <is>
          <t>Sveaskog</t>
        </is>
      </c>
      <c r="I439" t="n">
        <v>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63125-2025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46009</v>
      </c>
      <c r="E440" s="1" t="n">
        <v>46310</v>
      </c>
      <c r="F440" t="inlineStr">
        <is>
          <t>JÖNKÖPINGS LÄN</t>
        </is>
      </c>
      <c r="G440" t="inlineStr">
        <is>
          <t>JÖNKÖPING</t>
        </is>
      </c>
      <c r="H440" t="inlineStr">
        <is>
          <t>Sveaskog</t>
        </is>
      </c>
      <c r="I440" t="n">
        <v>3.2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59312-2022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44904</v>
      </c>
      <c r="E441" s="1" t="n">
        <v>46310</v>
      </c>
      <c r="F441" t="inlineStr">
        <is>
          <t>JÖNKÖPINGS LÄN</t>
        </is>
      </c>
      <c r="G441" t="inlineStr">
        <is>
          <t>JÖNKÖPING</t>
        </is>
      </c>
      <c r="I441" t="n">
        <v>1.2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2066-2022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44575</v>
      </c>
      <c r="E442" s="1" t="n">
        <v>46310</v>
      </c>
      <c r="F442" t="inlineStr">
        <is>
          <t>JÖNKÖPINGS LÄN</t>
        </is>
      </c>
      <c r="G442" t="inlineStr">
        <is>
          <t>JÖNKÖPING</t>
        </is>
      </c>
      <c r="I442" t="n">
        <v>1.8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63452-2025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46013</v>
      </c>
      <c r="E443" s="1" t="n">
        <v>46310</v>
      </c>
      <c r="F443" t="inlineStr">
        <is>
          <t>JÖNKÖPINGS LÄN</t>
        </is>
      </c>
      <c r="G443" t="inlineStr">
        <is>
          <t>JÖNKÖPING</t>
        </is>
      </c>
      <c r="I443" t="n">
        <v>1.7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63563-2025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46013</v>
      </c>
      <c r="E444" s="1" t="n">
        <v>46310</v>
      </c>
      <c r="F444" t="inlineStr">
        <is>
          <t>JÖNKÖPINGS LÄN</t>
        </is>
      </c>
      <c r="G444" t="inlineStr">
        <is>
          <t>JÖNKÖPING</t>
        </is>
      </c>
      <c r="I444" t="n">
        <v>1.1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63119-2025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46009</v>
      </c>
      <c r="E445" s="1" t="n">
        <v>46310</v>
      </c>
      <c r="F445" t="inlineStr">
        <is>
          <t>JÖNKÖPINGS LÄN</t>
        </is>
      </c>
      <c r="G445" t="inlineStr">
        <is>
          <t>JÖNKÖPING</t>
        </is>
      </c>
      <c r="H445" t="inlineStr">
        <is>
          <t>Sveaskog</t>
        </is>
      </c>
      <c r="I445" t="n">
        <v>6.1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63577-2025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46013</v>
      </c>
      <c r="E446" s="1" t="n">
        <v>46310</v>
      </c>
      <c r="F446" t="inlineStr">
        <is>
          <t>JÖNKÖPINGS LÄN</t>
        </is>
      </c>
      <c r="G446" t="inlineStr">
        <is>
          <t>JÖNKÖPING</t>
        </is>
      </c>
      <c r="I446" t="n">
        <v>1.6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31757-2025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45834</v>
      </c>
      <c r="E447" s="1" t="n">
        <v>46310</v>
      </c>
      <c r="F447" t="inlineStr">
        <is>
          <t>JÖNKÖPINGS LÄN</t>
        </is>
      </c>
      <c r="G447" t="inlineStr">
        <is>
          <t>JÖNKÖPING</t>
        </is>
      </c>
      <c r="I447" t="n">
        <v>2.1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40923-2024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45558</v>
      </c>
      <c r="E448" s="1" t="n">
        <v>46310</v>
      </c>
      <c r="F448" t="inlineStr">
        <is>
          <t>JÖNKÖPINGS LÄN</t>
        </is>
      </c>
      <c r="G448" t="inlineStr">
        <is>
          <t>JÖNKÖPING</t>
        </is>
      </c>
      <c r="H448" t="inlineStr">
        <is>
          <t>Sveaskog</t>
        </is>
      </c>
      <c r="I448" t="n">
        <v>3.2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61759-2025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46002</v>
      </c>
      <c r="E449" s="1" t="n">
        <v>46310</v>
      </c>
      <c r="F449" t="inlineStr">
        <is>
          <t>JÖNKÖPINGS LÄN</t>
        </is>
      </c>
      <c r="G449" t="inlineStr">
        <is>
          <t>JÖNKÖPING</t>
        </is>
      </c>
      <c r="I449" t="n">
        <v>1.7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15455-2024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45401</v>
      </c>
      <c r="E450" s="1" t="n">
        <v>46310</v>
      </c>
      <c r="F450" t="inlineStr">
        <is>
          <t>JÖNKÖPINGS LÄN</t>
        </is>
      </c>
      <c r="G450" t="inlineStr">
        <is>
          <t>JÖNKÖPING</t>
        </is>
      </c>
      <c r="H450" t="inlineStr">
        <is>
          <t>Kommuner</t>
        </is>
      </c>
      <c r="I450" t="n">
        <v>0.5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60829-2023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45260</v>
      </c>
      <c r="E451" s="1" t="n">
        <v>46310</v>
      </c>
      <c r="F451" t="inlineStr">
        <is>
          <t>JÖNKÖPINGS LÄN</t>
        </is>
      </c>
      <c r="G451" t="inlineStr">
        <is>
          <t>JÖNKÖPING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228-2026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46026</v>
      </c>
      <c r="E452" s="1" t="n">
        <v>46310</v>
      </c>
      <c r="F452" t="inlineStr">
        <is>
          <t>JÖNKÖPINGS LÄN</t>
        </is>
      </c>
      <c r="G452" t="inlineStr">
        <is>
          <t>JÖNKÖPING</t>
        </is>
      </c>
      <c r="I452" t="n">
        <v>0.8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229-2026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46026</v>
      </c>
      <c r="E453" s="1" t="n">
        <v>46310</v>
      </c>
      <c r="F453" t="inlineStr">
        <is>
          <t>JÖNKÖPINGS LÄN</t>
        </is>
      </c>
      <c r="G453" t="inlineStr">
        <is>
          <t>JÖNKÖPING</t>
        </is>
      </c>
      <c r="I453" t="n">
        <v>1.9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13967-2023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45008</v>
      </c>
      <c r="E454" s="1" t="n">
        <v>46310</v>
      </c>
      <c r="F454" t="inlineStr">
        <is>
          <t>JÖNKÖPINGS LÄN</t>
        </is>
      </c>
      <c r="G454" t="inlineStr">
        <is>
          <t>JÖNKÖPING</t>
        </is>
      </c>
      <c r="I454" t="n">
        <v>2.9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685-2026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46029</v>
      </c>
      <c r="E455" s="1" t="n">
        <v>46310</v>
      </c>
      <c r="F455" t="inlineStr">
        <is>
          <t>JÖNKÖPINGS LÄN</t>
        </is>
      </c>
      <c r="G455" t="inlineStr">
        <is>
          <t>JÖNKÖPING</t>
        </is>
      </c>
      <c r="I455" t="n">
        <v>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29091-2023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45105</v>
      </c>
      <c r="E456" s="1" t="n">
        <v>46310</v>
      </c>
      <c r="F456" t="inlineStr">
        <is>
          <t>JÖNKÖPINGS LÄN</t>
        </is>
      </c>
      <c r="G456" t="inlineStr">
        <is>
          <t>JÖNKÖPING</t>
        </is>
      </c>
      <c r="I456" t="n">
        <v>1.9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27608-2024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45474</v>
      </c>
      <c r="E457" s="1" t="n">
        <v>46310</v>
      </c>
      <c r="F457" t="inlineStr">
        <is>
          <t>JÖNKÖPINGS LÄN</t>
        </is>
      </c>
      <c r="G457" t="inlineStr">
        <is>
          <t>JÖNKÖPING</t>
        </is>
      </c>
      <c r="I457" t="n">
        <v>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1241-2026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46031</v>
      </c>
      <c r="E458" s="1" t="n">
        <v>46310</v>
      </c>
      <c r="F458" t="inlineStr">
        <is>
          <t>JÖNKÖPINGS LÄN</t>
        </is>
      </c>
      <c r="G458" t="inlineStr">
        <is>
          <t>JÖNKÖPING</t>
        </is>
      </c>
      <c r="I458" t="n">
        <v>0.8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17829-2025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45758</v>
      </c>
      <c r="E459" s="1" t="n">
        <v>46310</v>
      </c>
      <c r="F459" t="inlineStr">
        <is>
          <t>JÖNKÖPINGS LÄN</t>
        </is>
      </c>
      <c r="G459" t="inlineStr">
        <is>
          <t>JÖNKÖPING</t>
        </is>
      </c>
      <c r="H459" t="inlineStr">
        <is>
          <t>Kyrkan</t>
        </is>
      </c>
      <c r="I459" t="n">
        <v>1.1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831-2026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46030</v>
      </c>
      <c r="E460" s="1" t="n">
        <v>46310</v>
      </c>
      <c r="F460" t="inlineStr">
        <is>
          <t>JÖNKÖPINGS LÄN</t>
        </is>
      </c>
      <c r="G460" t="inlineStr">
        <is>
          <t>JÖNKÖPING</t>
        </is>
      </c>
      <c r="H460" t="inlineStr">
        <is>
          <t>Sveaskog</t>
        </is>
      </c>
      <c r="I460" t="n">
        <v>0.7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1244-2026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46031</v>
      </c>
      <c r="E461" s="1" t="n">
        <v>46310</v>
      </c>
      <c r="F461" t="inlineStr">
        <is>
          <t>JÖNKÖPINGS LÄN</t>
        </is>
      </c>
      <c r="G461" t="inlineStr">
        <is>
          <t>JÖNKÖPING</t>
        </is>
      </c>
      <c r="I461" t="n">
        <v>1.1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32840-2023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45124</v>
      </c>
      <c r="E462" s="1" t="n">
        <v>46310</v>
      </c>
      <c r="F462" t="inlineStr">
        <is>
          <t>JÖNKÖPINGS LÄN</t>
        </is>
      </c>
      <c r="G462" t="inlineStr">
        <is>
          <t>JÖNKÖPING</t>
        </is>
      </c>
      <c r="I462" t="n">
        <v>3.5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17928-2025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45759</v>
      </c>
      <c r="E463" s="1" t="n">
        <v>46310</v>
      </c>
      <c r="F463" t="inlineStr">
        <is>
          <t>JÖNKÖPINGS LÄN</t>
        </is>
      </c>
      <c r="G463" t="inlineStr">
        <is>
          <t>JÖNKÖPING</t>
        </is>
      </c>
      <c r="I463" t="n">
        <v>1.6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19661-2023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45051</v>
      </c>
      <c r="E464" s="1" t="n">
        <v>46310</v>
      </c>
      <c r="F464" t="inlineStr">
        <is>
          <t>JÖNKÖPINGS LÄN</t>
        </is>
      </c>
      <c r="G464" t="inlineStr">
        <is>
          <t>JÖNKÖPING</t>
        </is>
      </c>
      <c r="I464" t="n">
        <v>1.5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12376-2025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45730</v>
      </c>
      <c r="E465" s="1" t="n">
        <v>46310</v>
      </c>
      <c r="F465" t="inlineStr">
        <is>
          <t>JÖNKÖPINGS LÄN</t>
        </is>
      </c>
      <c r="G465" t="inlineStr">
        <is>
          <t>JÖNKÖPING</t>
        </is>
      </c>
      <c r="H465" t="inlineStr">
        <is>
          <t>Sveaskog</t>
        </is>
      </c>
      <c r="I465" t="n">
        <v>1.3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33417-2025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45841</v>
      </c>
      <c r="E466" s="1" t="n">
        <v>46310</v>
      </c>
      <c r="F466" t="inlineStr">
        <is>
          <t>JÖNKÖPINGS LÄN</t>
        </is>
      </c>
      <c r="G466" t="inlineStr">
        <is>
          <t>JÖNKÖPING</t>
        </is>
      </c>
      <c r="I466" t="n">
        <v>1.9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57930-2021</t>
        </is>
      </c>
      <c r="B467" t="inlineStr">
        <is>
          <t>avverkningsanmälan</t>
        </is>
      </c>
      <c r="C467" t="inlineStr">
        <is>
          <t>Avverkning för annat ändamål</t>
        </is>
      </c>
      <c r="D467" s="1" t="n">
        <v>44487</v>
      </c>
      <c r="E467" s="1" t="n">
        <v>46310</v>
      </c>
      <c r="F467" t="inlineStr">
        <is>
          <t>JÖNKÖPINGS LÄN</t>
        </is>
      </c>
      <c r="G467" t="inlineStr">
        <is>
          <t>JÖNKÖPING</t>
        </is>
      </c>
      <c r="I467" t="n">
        <v>0.6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17307-2024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45414</v>
      </c>
      <c r="E468" s="1" t="n">
        <v>46310</v>
      </c>
      <c r="F468" t="inlineStr">
        <is>
          <t>JÖNKÖPINGS LÄN</t>
        </is>
      </c>
      <c r="G468" t="inlineStr">
        <is>
          <t>JÖNKÖPING</t>
        </is>
      </c>
      <c r="I468" t="n">
        <v>1.1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34450-2025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45846</v>
      </c>
      <c r="E469" s="1" t="n">
        <v>46310</v>
      </c>
      <c r="F469" t="inlineStr">
        <is>
          <t>JÖNKÖPINGS LÄN</t>
        </is>
      </c>
      <c r="G469" t="inlineStr">
        <is>
          <t>JÖNKÖPING</t>
        </is>
      </c>
      <c r="I469" t="n">
        <v>5.2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1867-2026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46035</v>
      </c>
      <c r="E470" s="1" t="n">
        <v>46310</v>
      </c>
      <c r="F470" t="inlineStr">
        <is>
          <t>JÖNKÖPINGS LÄN</t>
        </is>
      </c>
      <c r="G470" t="inlineStr">
        <is>
          <t>JÖNKÖPING</t>
        </is>
      </c>
      <c r="I470" t="n">
        <v>0.9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2038-2026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46035</v>
      </c>
      <c r="E471" s="1" t="n">
        <v>46310</v>
      </c>
      <c r="F471" t="inlineStr">
        <is>
          <t>JÖNKÖPINGS LÄN</t>
        </is>
      </c>
      <c r="G471" t="inlineStr">
        <is>
          <t>JÖNKÖPING</t>
        </is>
      </c>
      <c r="I471" t="n">
        <v>6.6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3112-2024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45316</v>
      </c>
      <c r="E472" s="1" t="n">
        <v>46310</v>
      </c>
      <c r="F472" t="inlineStr">
        <is>
          <t>JÖNKÖPINGS LÄN</t>
        </is>
      </c>
      <c r="G472" t="inlineStr">
        <is>
          <t>JÖNKÖPING</t>
        </is>
      </c>
      <c r="I472" t="n">
        <v>1.1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11497-2022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44631</v>
      </c>
      <c r="E473" s="1" t="n">
        <v>46310</v>
      </c>
      <c r="F473" t="inlineStr">
        <is>
          <t>JÖNKÖPINGS LÄN</t>
        </is>
      </c>
      <c r="G473" t="inlineStr">
        <is>
          <t>JÖNKÖPING</t>
        </is>
      </c>
      <c r="I473" t="n">
        <v>2.7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3233-2026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46041</v>
      </c>
      <c r="E474" s="1" t="n">
        <v>46310</v>
      </c>
      <c r="F474" t="inlineStr">
        <is>
          <t>JÖNKÖPINGS LÄN</t>
        </is>
      </c>
      <c r="G474" t="inlineStr">
        <is>
          <t>JÖNKÖPING</t>
        </is>
      </c>
      <c r="I474" t="n">
        <v>1.8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39650-2024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45552</v>
      </c>
      <c r="E475" s="1" t="n">
        <v>46310</v>
      </c>
      <c r="F475" t="inlineStr">
        <is>
          <t>JÖNKÖPINGS LÄN</t>
        </is>
      </c>
      <c r="G475" t="inlineStr">
        <is>
          <t>JÖNKÖPING</t>
        </is>
      </c>
      <c r="I475" t="n">
        <v>1.8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2879-2026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46038</v>
      </c>
      <c r="E476" s="1" t="n">
        <v>46310</v>
      </c>
      <c r="F476" t="inlineStr">
        <is>
          <t>JÖNKÖPINGS LÄN</t>
        </is>
      </c>
      <c r="G476" t="inlineStr">
        <is>
          <t>JÖNKÖPING</t>
        </is>
      </c>
      <c r="H476" t="inlineStr">
        <is>
          <t>Sveaskog</t>
        </is>
      </c>
      <c r="I476" t="n">
        <v>7.6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51363-2025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45947</v>
      </c>
      <c r="E477" s="1" t="n">
        <v>46310</v>
      </c>
      <c r="F477" t="inlineStr">
        <is>
          <t>JÖNKÖPINGS LÄN</t>
        </is>
      </c>
      <c r="G477" t="inlineStr">
        <is>
          <t>JÖNKÖPING</t>
        </is>
      </c>
      <c r="I477" t="n">
        <v>2.1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3238-2026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46041</v>
      </c>
      <c r="E478" s="1" t="n">
        <v>46310</v>
      </c>
      <c r="F478" t="inlineStr">
        <is>
          <t>JÖNKÖPINGS LÄN</t>
        </is>
      </c>
      <c r="G478" t="inlineStr">
        <is>
          <t>JÖNKÖPING</t>
        </is>
      </c>
      <c r="I478" t="n">
        <v>1.8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3691-2026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46043</v>
      </c>
      <c r="E479" s="1" t="n">
        <v>46310</v>
      </c>
      <c r="F479" t="inlineStr">
        <is>
          <t>JÖNKÖPINGS LÄN</t>
        </is>
      </c>
      <c r="G479" t="inlineStr">
        <is>
          <t>JÖNKÖPING</t>
        </is>
      </c>
      <c r="I479" t="n">
        <v>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3667-2026</t>
        </is>
      </c>
      <c r="B480" t="inlineStr">
        <is>
          <t>avverkningsanmälan</t>
        </is>
      </c>
      <c r="C480" t="inlineStr">
        <is>
          <t>Avverkning för annat ändamål</t>
        </is>
      </c>
      <c r="D480" s="1" t="n">
        <v>46043</v>
      </c>
      <c r="E480" s="1" t="n">
        <v>46310</v>
      </c>
      <c r="F480" t="inlineStr">
        <is>
          <t>JÖNKÖPINGS LÄN</t>
        </is>
      </c>
      <c r="G480" t="inlineStr">
        <is>
          <t>JÖNKÖPING</t>
        </is>
      </c>
      <c r="I480" t="n">
        <v>0.7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7425-2026</t>
        </is>
      </c>
      <c r="B481" t="inlineStr">
        <is>
          <t>avverkningsanmälan</t>
        </is>
      </c>
      <c r="C481" t="inlineStr">
        <is>
          <t>Avverkning för annat ändamål</t>
        </is>
      </c>
      <c r="D481" s="1" t="n">
        <v>46059</v>
      </c>
      <c r="E481" s="1" t="n">
        <v>46310</v>
      </c>
      <c r="F481" t="inlineStr">
        <is>
          <t>JÖNKÖPINGS LÄN</t>
        </is>
      </c>
      <c r="G481" t="inlineStr">
        <is>
          <t>JÖNKÖPING</t>
        </is>
      </c>
      <c r="I481" t="n">
        <v>1.2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3325-2026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46041</v>
      </c>
      <c r="E482" s="1" t="n">
        <v>46310</v>
      </c>
      <c r="F482" t="inlineStr">
        <is>
          <t>JÖNKÖPINGS LÄN</t>
        </is>
      </c>
      <c r="G482" t="inlineStr">
        <is>
          <t>JÖNKÖPING</t>
        </is>
      </c>
      <c r="I482" t="n">
        <v>2.4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18972-2025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45764</v>
      </c>
      <c r="E483" s="1" t="n">
        <v>46310</v>
      </c>
      <c r="F483" t="inlineStr">
        <is>
          <t>JÖNKÖPINGS LÄN</t>
        </is>
      </c>
      <c r="G483" t="inlineStr">
        <is>
          <t>JÖNKÖPING</t>
        </is>
      </c>
      <c r="I483" t="n">
        <v>1.4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40271-2023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45169</v>
      </c>
      <c r="E484" s="1" t="n">
        <v>46310</v>
      </c>
      <c r="F484" t="inlineStr">
        <is>
          <t>JÖNKÖPINGS LÄN</t>
        </is>
      </c>
      <c r="G484" t="inlineStr">
        <is>
          <t>JÖNKÖPING</t>
        </is>
      </c>
      <c r="I484" t="n">
        <v>1.6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3364-2025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45679</v>
      </c>
      <c r="E485" s="1" t="n">
        <v>46310</v>
      </c>
      <c r="F485" t="inlineStr">
        <is>
          <t>JÖNKÖPINGS LÄN</t>
        </is>
      </c>
      <c r="G485" t="inlineStr">
        <is>
          <t>JÖNKÖPING</t>
        </is>
      </c>
      <c r="I485" t="n">
        <v>0.6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4581-2026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46048</v>
      </c>
      <c r="E486" s="1" t="n">
        <v>46310</v>
      </c>
      <c r="F486" t="inlineStr">
        <is>
          <t>JÖNKÖPINGS LÄN</t>
        </is>
      </c>
      <c r="G486" t="inlineStr">
        <is>
          <t>JÖNKÖPING</t>
        </is>
      </c>
      <c r="I486" t="n">
        <v>5.5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26378-2022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44735</v>
      </c>
      <c r="E487" s="1" t="n">
        <v>46310</v>
      </c>
      <c r="F487" t="inlineStr">
        <is>
          <t>JÖNKÖPINGS LÄN</t>
        </is>
      </c>
      <c r="G487" t="inlineStr">
        <is>
          <t>JÖNKÖPING</t>
        </is>
      </c>
      <c r="I487" t="n">
        <v>1.5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4577-2026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46048</v>
      </c>
      <c r="E488" s="1" t="n">
        <v>46310</v>
      </c>
      <c r="F488" t="inlineStr">
        <is>
          <t>JÖNKÖPINGS LÄN</t>
        </is>
      </c>
      <c r="G488" t="inlineStr">
        <is>
          <t>JÖNKÖPING</t>
        </is>
      </c>
      <c r="I488" t="n">
        <v>2.6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5118-2026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46049</v>
      </c>
      <c r="E489" s="1" t="n">
        <v>46310</v>
      </c>
      <c r="F489" t="inlineStr">
        <is>
          <t>JÖNKÖPINGS LÄN</t>
        </is>
      </c>
      <c r="G489" t="inlineStr">
        <is>
          <t>JÖNKÖPING</t>
        </is>
      </c>
      <c r="I489" t="n">
        <v>1.4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4583-2026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46048</v>
      </c>
      <c r="E490" s="1" t="n">
        <v>46310</v>
      </c>
      <c r="F490" t="inlineStr">
        <is>
          <t>JÖNKÖPINGS LÄN</t>
        </is>
      </c>
      <c r="G490" t="inlineStr">
        <is>
          <t>JÖNKÖPING</t>
        </is>
      </c>
      <c r="I490" t="n">
        <v>3.7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5121-2026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46049</v>
      </c>
      <c r="E491" s="1" t="n">
        <v>46310</v>
      </c>
      <c r="F491" t="inlineStr">
        <is>
          <t>JÖNKÖPINGS LÄN</t>
        </is>
      </c>
      <c r="G491" t="inlineStr">
        <is>
          <t>JÖNKÖPING</t>
        </is>
      </c>
      <c r="I491" t="n">
        <v>0.6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4579-2026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46048</v>
      </c>
      <c r="E492" s="1" t="n">
        <v>46310</v>
      </c>
      <c r="F492" t="inlineStr">
        <is>
          <t>JÖNKÖPINGS LÄN</t>
        </is>
      </c>
      <c r="G492" t="inlineStr">
        <is>
          <t>JÖNKÖPING</t>
        </is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4805-2026</t>
        </is>
      </c>
      <c r="B493" t="inlineStr">
        <is>
          <t>avverkningsanmälan</t>
        </is>
      </c>
      <c r="C493" t="inlineStr">
        <is>
          <t>Avverkning för annat ändamål</t>
        </is>
      </c>
      <c r="D493" s="1" t="n">
        <v>46048</v>
      </c>
      <c r="E493" s="1" t="n">
        <v>46310</v>
      </c>
      <c r="F493" t="inlineStr">
        <is>
          <t>JÖNKÖPINGS LÄN</t>
        </is>
      </c>
      <c r="G493" t="inlineStr">
        <is>
          <t>JÖNKÖPING</t>
        </is>
      </c>
      <c r="I493" t="n">
        <v>0.6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5062-2026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46048</v>
      </c>
      <c r="E494" s="1" t="n">
        <v>46310</v>
      </c>
      <c r="F494" t="inlineStr">
        <is>
          <t>JÖNKÖPINGS LÄN</t>
        </is>
      </c>
      <c r="G494" t="inlineStr">
        <is>
          <t>JÖNKÖPING</t>
        </is>
      </c>
      <c r="H494" t="inlineStr">
        <is>
          <t>Övriga Aktiebolag</t>
        </is>
      </c>
      <c r="I494" t="n">
        <v>5.4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62332-2022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44923</v>
      </c>
      <c r="E495" s="1" t="n">
        <v>46310</v>
      </c>
      <c r="F495" t="inlineStr">
        <is>
          <t>JÖNKÖPINGS LÄN</t>
        </is>
      </c>
      <c r="G495" t="inlineStr">
        <is>
          <t>JÖNKÖPING</t>
        </is>
      </c>
      <c r="I495" t="n">
        <v>2.2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12932-2025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45734</v>
      </c>
      <c r="E496" s="1" t="n">
        <v>46310</v>
      </c>
      <c r="F496" t="inlineStr">
        <is>
          <t>JÖNKÖPINGS LÄN</t>
        </is>
      </c>
      <c r="G496" t="inlineStr">
        <is>
          <t>JÖNKÖPING</t>
        </is>
      </c>
      <c r="I496" t="n">
        <v>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18774-2025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45764</v>
      </c>
      <c r="E497" s="1" t="n">
        <v>46310</v>
      </c>
      <c r="F497" t="inlineStr">
        <is>
          <t>JÖNKÖPINGS LÄN</t>
        </is>
      </c>
      <c r="G497" t="inlineStr">
        <is>
          <t>JÖNKÖPING</t>
        </is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5332-2026</t>
        </is>
      </c>
      <c r="B498" t="inlineStr">
        <is>
          <t>avverkningsanmälan</t>
        </is>
      </c>
      <c r="C498" t="inlineStr">
        <is>
          <t>Avverkning för att bevara och utveckla /försöksver</t>
        </is>
      </c>
      <c r="D498" s="1" t="n">
        <v>46050</v>
      </c>
      <c r="E498" s="1" t="n">
        <v>46310</v>
      </c>
      <c r="F498" t="inlineStr">
        <is>
          <t>JÖNKÖPINGS LÄN</t>
        </is>
      </c>
      <c r="G498" t="inlineStr">
        <is>
          <t>JÖNKÖPING</t>
        </is>
      </c>
      <c r="I498" t="n">
        <v>0.5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902-2024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45300</v>
      </c>
      <c r="E499" s="1" t="n">
        <v>46310</v>
      </c>
      <c r="F499" t="inlineStr">
        <is>
          <t>JÖNKÖPINGS LÄN</t>
        </is>
      </c>
      <c r="G499" t="inlineStr">
        <is>
          <t>JÖNKÖPING</t>
        </is>
      </c>
      <c r="I499" t="n">
        <v>0.7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6422-2026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46055</v>
      </c>
      <c r="E500" s="1" t="n">
        <v>46310</v>
      </c>
      <c r="F500" t="inlineStr">
        <is>
          <t>JÖNKÖPINGS LÄN</t>
        </is>
      </c>
      <c r="G500" t="inlineStr">
        <is>
          <t>JÖNKÖPING</t>
        </is>
      </c>
      <c r="I500" t="n">
        <v>0.7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6423-2026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46055</v>
      </c>
      <c r="E501" s="1" t="n">
        <v>46310</v>
      </c>
      <c r="F501" t="inlineStr">
        <is>
          <t>JÖNKÖPINGS LÄN</t>
        </is>
      </c>
      <c r="G501" t="inlineStr">
        <is>
          <t>JÖNKÖPING</t>
        </is>
      </c>
      <c r="I501" t="n">
        <v>0.5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6424-2026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46055</v>
      </c>
      <c r="E502" s="1" t="n">
        <v>46310</v>
      </c>
      <c r="F502" t="inlineStr">
        <is>
          <t>JÖNKÖPINGS LÄN</t>
        </is>
      </c>
      <c r="G502" t="inlineStr">
        <is>
          <t>JÖNKÖPING</t>
        </is>
      </c>
      <c r="I502" t="n">
        <v>0.6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3724-2025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45681</v>
      </c>
      <c r="E503" s="1" t="n">
        <v>46310</v>
      </c>
      <c r="F503" t="inlineStr">
        <is>
          <t>JÖNKÖPINGS LÄN</t>
        </is>
      </c>
      <c r="G503" t="inlineStr">
        <is>
          <t>JÖNKÖPING</t>
        </is>
      </c>
      <c r="I503" t="n">
        <v>1.5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7504-2026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46059</v>
      </c>
      <c r="E504" s="1" t="n">
        <v>46310</v>
      </c>
      <c r="F504" t="inlineStr">
        <is>
          <t>JÖNKÖPINGS LÄN</t>
        </is>
      </c>
      <c r="G504" t="inlineStr">
        <is>
          <t>JÖNKÖPING</t>
        </is>
      </c>
      <c r="I504" t="n">
        <v>2.9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15384-2022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44659</v>
      </c>
      <c r="E505" s="1" t="n">
        <v>46310</v>
      </c>
      <c r="F505" t="inlineStr">
        <is>
          <t>JÖNKÖPINGS LÄN</t>
        </is>
      </c>
      <c r="G505" t="inlineStr">
        <is>
          <t>JÖNKÖPING</t>
        </is>
      </c>
      <c r="H505" t="inlineStr">
        <is>
          <t>Sveaskog</t>
        </is>
      </c>
      <c r="I505" t="n">
        <v>0.8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7492-2026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46059</v>
      </c>
      <c r="E506" s="1" t="n">
        <v>46310</v>
      </c>
      <c r="F506" t="inlineStr">
        <is>
          <t>JÖNKÖPINGS LÄN</t>
        </is>
      </c>
      <c r="G506" t="inlineStr">
        <is>
          <t>JÖNKÖPING</t>
        </is>
      </c>
      <c r="I506" t="n">
        <v>3.2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7441-2026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46059</v>
      </c>
      <c r="E507" s="1" t="n">
        <v>46310</v>
      </c>
      <c r="F507" t="inlineStr">
        <is>
          <t>JÖNKÖPINGS LÄN</t>
        </is>
      </c>
      <c r="G507" t="inlineStr">
        <is>
          <t>JÖNKÖPING</t>
        </is>
      </c>
      <c r="I507" t="n">
        <v>1.5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7442-2026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46059</v>
      </c>
      <c r="E508" s="1" t="n">
        <v>46310</v>
      </c>
      <c r="F508" t="inlineStr">
        <is>
          <t>JÖNKÖPINGS LÄN</t>
        </is>
      </c>
      <c r="G508" t="inlineStr">
        <is>
          <t>JÖNKÖPING</t>
        </is>
      </c>
      <c r="I508" t="n">
        <v>2.3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7551-2026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46059</v>
      </c>
      <c r="E509" s="1" t="n">
        <v>46310</v>
      </c>
      <c r="F509" t="inlineStr">
        <is>
          <t>JÖNKÖPINGS LÄN</t>
        </is>
      </c>
      <c r="G509" t="inlineStr">
        <is>
          <t>JÖNKÖPING</t>
        </is>
      </c>
      <c r="I509" t="n">
        <v>0.8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7552-2026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46059</v>
      </c>
      <c r="E510" s="1" t="n">
        <v>46310</v>
      </c>
      <c r="F510" t="inlineStr">
        <is>
          <t>JÖNKÖPINGS LÄN</t>
        </is>
      </c>
      <c r="G510" t="inlineStr">
        <is>
          <t>JÖNKÖPING</t>
        </is>
      </c>
      <c r="I510" t="n">
        <v>0.6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17819-2025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45758</v>
      </c>
      <c r="E511" s="1" t="n">
        <v>46310</v>
      </c>
      <c r="F511" t="inlineStr">
        <is>
          <t>JÖNKÖPINGS LÄN</t>
        </is>
      </c>
      <c r="G511" t="inlineStr">
        <is>
          <t>JÖNKÖPING</t>
        </is>
      </c>
      <c r="H511" t="inlineStr">
        <is>
          <t>Kyrkan</t>
        </is>
      </c>
      <c r="I511" t="n">
        <v>2.7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37170-2025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45875</v>
      </c>
      <c r="E512" s="1" t="n">
        <v>46310</v>
      </c>
      <c r="F512" t="inlineStr">
        <is>
          <t>JÖNKÖPINGS LÄN</t>
        </is>
      </c>
      <c r="G512" t="inlineStr">
        <is>
          <t>JÖNKÖPING</t>
        </is>
      </c>
      <c r="I512" t="n">
        <v>1.2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7494-2026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46059</v>
      </c>
      <c r="E513" s="1" t="n">
        <v>46310</v>
      </c>
      <c r="F513" t="inlineStr">
        <is>
          <t>JÖNKÖPINGS LÄN</t>
        </is>
      </c>
      <c r="G513" t="inlineStr">
        <is>
          <t>JÖNKÖPING</t>
        </is>
      </c>
      <c r="I513" t="n">
        <v>1.4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7512-2026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46059</v>
      </c>
      <c r="E514" s="1" t="n">
        <v>46310</v>
      </c>
      <c r="F514" t="inlineStr">
        <is>
          <t>JÖNKÖPINGS LÄN</t>
        </is>
      </c>
      <c r="G514" t="inlineStr">
        <is>
          <t>JÖNKÖPING</t>
        </is>
      </c>
      <c r="I514" t="n">
        <v>1.2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7817-2026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46062</v>
      </c>
      <c r="E515" s="1" t="n">
        <v>46310</v>
      </c>
      <c r="F515" t="inlineStr">
        <is>
          <t>JÖNKÖPINGS LÄN</t>
        </is>
      </c>
      <c r="G515" t="inlineStr">
        <is>
          <t>JÖNKÖPING</t>
        </is>
      </c>
      <c r="I515" t="n">
        <v>1.4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7821-2026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46062</v>
      </c>
      <c r="E516" s="1" t="n">
        <v>46310</v>
      </c>
      <c r="F516" t="inlineStr">
        <is>
          <t>JÖNKÖPINGS LÄN</t>
        </is>
      </c>
      <c r="G516" t="inlineStr">
        <is>
          <t>JÖNKÖPING</t>
        </is>
      </c>
      <c r="I516" t="n">
        <v>0.6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20315-2025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45775</v>
      </c>
      <c r="E517" s="1" t="n">
        <v>46310</v>
      </c>
      <c r="F517" t="inlineStr">
        <is>
          <t>JÖNKÖPINGS LÄN</t>
        </is>
      </c>
      <c r="G517" t="inlineStr">
        <is>
          <t>JÖNKÖPING</t>
        </is>
      </c>
      <c r="I517" t="n">
        <v>1.6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7823-2026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46062</v>
      </c>
      <c r="E518" s="1" t="n">
        <v>46310</v>
      </c>
      <c r="F518" t="inlineStr">
        <is>
          <t>JÖNKÖPINGS LÄN</t>
        </is>
      </c>
      <c r="G518" t="inlineStr">
        <is>
          <t>JÖNKÖPING</t>
        </is>
      </c>
      <c r="I518" t="n">
        <v>4.5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8072-2026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46063</v>
      </c>
      <c r="E519" s="1" t="n">
        <v>46310</v>
      </c>
      <c r="F519" t="inlineStr">
        <is>
          <t>JÖNKÖPINGS LÄN</t>
        </is>
      </c>
      <c r="G519" t="inlineStr">
        <is>
          <t>JÖNKÖPING</t>
        </is>
      </c>
      <c r="I519" t="n">
        <v>1.3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46623-2023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45198</v>
      </c>
      <c r="E520" s="1" t="n">
        <v>46310</v>
      </c>
      <c r="F520" t="inlineStr">
        <is>
          <t>JÖNKÖPINGS LÄN</t>
        </is>
      </c>
      <c r="G520" t="inlineStr">
        <is>
          <t>JÖNKÖPING</t>
        </is>
      </c>
      <c r="I520" t="n">
        <v>0.7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46628-2023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45198</v>
      </c>
      <c r="E521" s="1" t="n">
        <v>46310</v>
      </c>
      <c r="F521" t="inlineStr">
        <is>
          <t>JÖNKÖPINGS LÄN</t>
        </is>
      </c>
      <c r="G521" t="inlineStr">
        <is>
          <t>JÖNKÖPING</t>
        </is>
      </c>
      <c r="I521" t="n">
        <v>1.4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54876-2022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44886</v>
      </c>
      <c r="E522" s="1" t="n">
        <v>46310</v>
      </c>
      <c r="F522" t="inlineStr">
        <is>
          <t>JÖNKÖPINGS LÄN</t>
        </is>
      </c>
      <c r="G522" t="inlineStr">
        <is>
          <t>JÖNKÖPING</t>
        </is>
      </c>
      <c r="I522" t="n">
        <v>1.1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15190-2022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44658</v>
      </c>
      <c r="E523" s="1" t="n">
        <v>46310</v>
      </c>
      <c r="F523" t="inlineStr">
        <is>
          <t>JÖNKÖPINGS LÄN</t>
        </is>
      </c>
      <c r="G523" t="inlineStr">
        <is>
          <t>JÖNKÖPING</t>
        </is>
      </c>
      <c r="I523" t="n">
        <v>1.4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1425-2024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45303</v>
      </c>
      <c r="E524" s="1" t="n">
        <v>46310</v>
      </c>
      <c r="F524" t="inlineStr">
        <is>
          <t>JÖNKÖPINGS LÄN</t>
        </is>
      </c>
      <c r="G524" t="inlineStr">
        <is>
          <t>JÖNKÖPING</t>
        </is>
      </c>
      <c r="H524" t="inlineStr">
        <is>
          <t>Sveaskog</t>
        </is>
      </c>
      <c r="I524" t="n">
        <v>0.7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45920-2024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45580</v>
      </c>
      <c r="E525" s="1" t="n">
        <v>46310</v>
      </c>
      <c r="F525" t="inlineStr">
        <is>
          <t>JÖNKÖPINGS LÄN</t>
        </is>
      </c>
      <c r="G525" t="inlineStr">
        <is>
          <t>JÖNKÖPING</t>
        </is>
      </c>
      <c r="I525" t="n">
        <v>0.5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73003-2021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44550</v>
      </c>
      <c r="E526" s="1" t="n">
        <v>46310</v>
      </c>
      <c r="F526" t="inlineStr">
        <is>
          <t>JÖNKÖPINGS LÄN</t>
        </is>
      </c>
      <c r="G526" t="inlineStr">
        <is>
          <t>JÖNKÖPING</t>
        </is>
      </c>
      <c r="I526" t="n">
        <v>1.4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23788-2024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45455</v>
      </c>
      <c r="E527" s="1" t="n">
        <v>46310</v>
      </c>
      <c r="F527" t="inlineStr">
        <is>
          <t>JÖNKÖPINGS LÄN</t>
        </is>
      </c>
      <c r="G527" t="inlineStr">
        <is>
          <t>JÖNKÖPING</t>
        </is>
      </c>
      <c r="H527" t="inlineStr">
        <is>
          <t>Sveaskog</t>
        </is>
      </c>
      <c r="I527" t="n">
        <v>0.5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33448-2023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45130</v>
      </c>
      <c r="E528" s="1" t="n">
        <v>46310</v>
      </c>
      <c r="F528" t="inlineStr">
        <is>
          <t>JÖNKÖPINGS LÄN</t>
        </is>
      </c>
      <c r="G528" t="inlineStr">
        <is>
          <t>JÖNKÖPING</t>
        </is>
      </c>
      <c r="I528" t="n">
        <v>1.4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28199-2024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45477</v>
      </c>
      <c r="E529" s="1" t="n">
        <v>46310</v>
      </c>
      <c r="F529" t="inlineStr">
        <is>
          <t>JÖNKÖPINGS LÄN</t>
        </is>
      </c>
      <c r="G529" t="inlineStr">
        <is>
          <t>JÖNKÖPING</t>
        </is>
      </c>
      <c r="I529" t="n">
        <v>3.7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38917-2024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45547</v>
      </c>
      <c r="E530" s="1" t="n">
        <v>46310</v>
      </c>
      <c r="F530" t="inlineStr">
        <is>
          <t>JÖNKÖPINGS LÄN</t>
        </is>
      </c>
      <c r="G530" t="inlineStr">
        <is>
          <t>JÖNKÖPING</t>
        </is>
      </c>
      <c r="H530" t="inlineStr">
        <is>
          <t>Sveaskog</t>
        </is>
      </c>
      <c r="I530" t="n">
        <v>1.4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30578-2023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45112</v>
      </c>
      <c r="E531" s="1" t="n">
        <v>46310</v>
      </c>
      <c r="F531" t="inlineStr">
        <is>
          <t>JÖNKÖPINGS LÄN</t>
        </is>
      </c>
      <c r="G531" t="inlineStr">
        <is>
          <t>JÖNKÖPING</t>
        </is>
      </c>
      <c r="I531" t="n">
        <v>5.3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30580-2023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45112</v>
      </c>
      <c r="E532" s="1" t="n">
        <v>46310</v>
      </c>
      <c r="F532" t="inlineStr">
        <is>
          <t>JÖNKÖPINGS LÄN</t>
        </is>
      </c>
      <c r="G532" t="inlineStr">
        <is>
          <t>JÖNKÖPING</t>
        </is>
      </c>
      <c r="I532" t="n">
        <v>4.4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41305-2023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45174</v>
      </c>
      <c r="E533" s="1" t="n">
        <v>46310</v>
      </c>
      <c r="F533" t="inlineStr">
        <is>
          <t>JÖNKÖPINGS LÄN</t>
        </is>
      </c>
      <c r="G533" t="inlineStr">
        <is>
          <t>JÖNKÖPING</t>
        </is>
      </c>
      <c r="I533" t="n">
        <v>5.4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40609-2024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45557</v>
      </c>
      <c r="E534" s="1" t="n">
        <v>46310</v>
      </c>
      <c r="F534" t="inlineStr">
        <is>
          <t>JÖNKÖPINGS LÄN</t>
        </is>
      </c>
      <c r="G534" t="inlineStr">
        <is>
          <t>JÖNKÖPING</t>
        </is>
      </c>
      <c r="I534" t="n">
        <v>2.1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8752-2022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44614</v>
      </c>
      <c r="E535" s="1" t="n">
        <v>46310</v>
      </c>
      <c r="F535" t="inlineStr">
        <is>
          <t>JÖNKÖPINGS LÄN</t>
        </is>
      </c>
      <c r="G535" t="inlineStr">
        <is>
          <t>JÖNKÖPING</t>
        </is>
      </c>
      <c r="I535" t="n">
        <v>4.7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25079-2024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45462</v>
      </c>
      <c r="E536" s="1" t="n">
        <v>46310</v>
      </c>
      <c r="F536" t="inlineStr">
        <is>
          <t>JÖNKÖPINGS LÄN</t>
        </is>
      </c>
      <c r="G536" t="inlineStr">
        <is>
          <t>JÖNKÖPING</t>
        </is>
      </c>
      <c r="I536" t="n">
        <v>1.4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49392-2022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44861</v>
      </c>
      <c r="E537" s="1" t="n">
        <v>46310</v>
      </c>
      <c r="F537" t="inlineStr">
        <is>
          <t>JÖNKÖPINGS LÄN</t>
        </is>
      </c>
      <c r="G537" t="inlineStr">
        <is>
          <t>JÖNKÖPING</t>
        </is>
      </c>
      <c r="I537" t="n">
        <v>1.4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4308-2024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45324</v>
      </c>
      <c r="E538" s="1" t="n">
        <v>46310</v>
      </c>
      <c r="F538" t="inlineStr">
        <is>
          <t>JÖNKÖPINGS LÄN</t>
        </is>
      </c>
      <c r="G538" t="inlineStr">
        <is>
          <t>JÖNKÖPING</t>
        </is>
      </c>
      <c r="H538" t="inlineStr">
        <is>
          <t>Kyrkan</t>
        </is>
      </c>
      <c r="I538" t="n">
        <v>2.6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26896-2024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45470</v>
      </c>
      <c r="E539" s="1" t="n">
        <v>46310</v>
      </c>
      <c r="F539" t="inlineStr">
        <is>
          <t>JÖNKÖPINGS LÄN</t>
        </is>
      </c>
      <c r="G539" t="inlineStr">
        <is>
          <t>JÖNKÖPING</t>
        </is>
      </c>
      <c r="I539" t="n">
        <v>2.1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62577-2023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45270</v>
      </c>
      <c r="E540" s="1" t="n">
        <v>46310</v>
      </c>
      <c r="F540" t="inlineStr">
        <is>
          <t>JÖNKÖPINGS LÄN</t>
        </is>
      </c>
      <c r="G540" t="inlineStr">
        <is>
          <t>JÖNKÖPING</t>
        </is>
      </c>
      <c r="I540" t="n">
        <v>0.7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42220-2023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45179</v>
      </c>
      <c r="E541" s="1" t="n">
        <v>46310</v>
      </c>
      <c r="F541" t="inlineStr">
        <is>
          <t>JÖNKÖPINGS LÄN</t>
        </is>
      </c>
      <c r="G541" t="inlineStr">
        <is>
          <t>JÖNKÖPING</t>
        </is>
      </c>
      <c r="I541" t="n">
        <v>3.1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63176-2021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44507</v>
      </c>
      <c r="E542" s="1" t="n">
        <v>46310</v>
      </c>
      <c r="F542" t="inlineStr">
        <is>
          <t>JÖNKÖPINGS LÄN</t>
        </is>
      </c>
      <c r="G542" t="inlineStr">
        <is>
          <t>JÖNKÖPING</t>
        </is>
      </c>
      <c r="I542" t="n">
        <v>0.9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54899-2024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45618</v>
      </c>
      <c r="E543" s="1" t="n">
        <v>46310</v>
      </c>
      <c r="F543" t="inlineStr">
        <is>
          <t>JÖNKÖPINGS LÄN</t>
        </is>
      </c>
      <c r="G543" t="inlineStr">
        <is>
          <t>JÖNKÖPING</t>
        </is>
      </c>
      <c r="I543" t="n">
        <v>4.7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23248-2026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46162</v>
      </c>
      <c r="E544" s="1" t="n">
        <v>46310</v>
      </c>
      <c r="F544" t="inlineStr">
        <is>
          <t>JÖNKÖPINGS LÄN</t>
        </is>
      </c>
      <c r="G544" t="inlineStr">
        <is>
          <t>JÖNKÖPING</t>
        </is>
      </c>
      <c r="H544" t="inlineStr">
        <is>
          <t>Sveaskog</t>
        </is>
      </c>
      <c r="I544" t="n">
        <v>0.6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63551-2023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45275</v>
      </c>
      <c r="E545" s="1" t="n">
        <v>46310</v>
      </c>
      <c r="F545" t="inlineStr">
        <is>
          <t>JÖNKÖPINGS LÄN</t>
        </is>
      </c>
      <c r="G545" t="inlineStr">
        <is>
          <t>JÖNKÖPING</t>
        </is>
      </c>
      <c r="I545" t="n">
        <v>1.1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23252-2026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46162</v>
      </c>
      <c r="E546" s="1" t="n">
        <v>46310</v>
      </c>
      <c r="F546" t="inlineStr">
        <is>
          <t>JÖNKÖPINGS LÄN</t>
        </is>
      </c>
      <c r="G546" t="inlineStr">
        <is>
          <t>JÖNKÖPING</t>
        </is>
      </c>
      <c r="H546" t="inlineStr">
        <is>
          <t>Sveaskog</t>
        </is>
      </c>
      <c r="I546" t="n">
        <v>0.5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23307-2026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46162</v>
      </c>
      <c r="E547" s="1" t="n">
        <v>46310</v>
      </c>
      <c r="F547" t="inlineStr">
        <is>
          <t>JÖNKÖPINGS LÄN</t>
        </is>
      </c>
      <c r="G547" t="inlineStr">
        <is>
          <t>JÖNKÖPING</t>
        </is>
      </c>
      <c r="H547" t="inlineStr">
        <is>
          <t>Sveaskog</t>
        </is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23255-2026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46162</v>
      </c>
      <c r="E548" s="1" t="n">
        <v>46310</v>
      </c>
      <c r="F548" t="inlineStr">
        <is>
          <t>JÖNKÖPINGS LÄN</t>
        </is>
      </c>
      <c r="G548" t="inlineStr">
        <is>
          <t>JÖNKÖPING</t>
        </is>
      </c>
      <c r="H548" t="inlineStr">
        <is>
          <t>Sveaskog</t>
        </is>
      </c>
      <c r="I548" t="n">
        <v>1.1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23311-2026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46162</v>
      </c>
      <c r="E549" s="1" t="n">
        <v>46310</v>
      </c>
      <c r="F549" t="inlineStr">
        <is>
          <t>JÖNKÖPINGS LÄN</t>
        </is>
      </c>
      <c r="G549" t="inlineStr">
        <is>
          <t>JÖNKÖPING</t>
        </is>
      </c>
      <c r="H549" t="inlineStr">
        <is>
          <t>Sveaskog</t>
        </is>
      </c>
      <c r="I549" t="n">
        <v>3.5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1306-2023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44936</v>
      </c>
      <c r="E550" s="1" t="n">
        <v>46310</v>
      </c>
      <c r="F550" t="inlineStr">
        <is>
          <t>JÖNKÖPINGS LÄN</t>
        </is>
      </c>
      <c r="G550" t="inlineStr">
        <is>
          <t>JÖNKÖPING</t>
        </is>
      </c>
      <c r="I550" t="n">
        <v>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36944-2024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45538</v>
      </c>
      <c r="E551" s="1" t="n">
        <v>46310</v>
      </c>
      <c r="F551" t="inlineStr">
        <is>
          <t>JÖNKÖPINGS LÄN</t>
        </is>
      </c>
      <c r="G551" t="inlineStr">
        <is>
          <t>JÖNKÖPING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23316-2026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46162</v>
      </c>
      <c r="E552" s="1" t="n">
        <v>46310</v>
      </c>
      <c r="F552" t="inlineStr">
        <is>
          <t>JÖNKÖPINGS LÄN</t>
        </is>
      </c>
      <c r="G552" t="inlineStr">
        <is>
          <t>JÖNKÖPING</t>
        </is>
      </c>
      <c r="H552" t="inlineStr">
        <is>
          <t>Sveaskog</t>
        </is>
      </c>
      <c r="I552" t="n">
        <v>1.2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23830-2026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46167</v>
      </c>
      <c r="E553" s="1" t="n">
        <v>46310</v>
      </c>
      <c r="F553" t="inlineStr">
        <is>
          <t>JÖNKÖPINGS LÄN</t>
        </is>
      </c>
      <c r="G553" t="inlineStr">
        <is>
          <t>JÖNKÖPING</t>
        </is>
      </c>
      <c r="I553" t="n">
        <v>1.9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23832-2026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46167</v>
      </c>
      <c r="E554" s="1" t="n">
        <v>46310</v>
      </c>
      <c r="F554" t="inlineStr">
        <is>
          <t>JÖNKÖPINGS LÄN</t>
        </is>
      </c>
      <c r="G554" t="inlineStr">
        <is>
          <t>JÖNKÖPING</t>
        </is>
      </c>
      <c r="I554" t="n">
        <v>1.4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1241-2024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45302</v>
      </c>
      <c r="E555" s="1" t="n">
        <v>46310</v>
      </c>
      <c r="F555" t="inlineStr">
        <is>
          <t>JÖNKÖPINGS LÄN</t>
        </is>
      </c>
      <c r="G555" t="inlineStr">
        <is>
          <t>JÖNKÖPING</t>
        </is>
      </c>
      <c r="I555" t="n">
        <v>0.5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909-2024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45300</v>
      </c>
      <c r="E556" s="1" t="n">
        <v>46310</v>
      </c>
      <c r="F556" t="inlineStr">
        <is>
          <t>JÖNKÖPINGS LÄN</t>
        </is>
      </c>
      <c r="G556" t="inlineStr">
        <is>
          <t>JÖNKÖPING</t>
        </is>
      </c>
      <c r="I556" t="n">
        <v>3.1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24098-2026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46168</v>
      </c>
      <c r="E557" s="1" t="n">
        <v>46310</v>
      </c>
      <c r="F557" t="inlineStr">
        <is>
          <t>JÖNKÖPINGS LÄN</t>
        </is>
      </c>
      <c r="G557" t="inlineStr">
        <is>
          <t>JÖNKÖPING</t>
        </is>
      </c>
      <c r="H557" t="inlineStr">
        <is>
          <t>Sveaskog</t>
        </is>
      </c>
      <c r="I557" t="n">
        <v>2.8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24114-2026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46168</v>
      </c>
      <c r="E558" s="1" t="n">
        <v>46310</v>
      </c>
      <c r="F558" t="inlineStr">
        <is>
          <t>JÖNKÖPINGS LÄN</t>
        </is>
      </c>
      <c r="G558" t="inlineStr">
        <is>
          <t>JÖNKÖPING</t>
        </is>
      </c>
      <c r="H558" t="inlineStr">
        <is>
          <t>Sveaskog</t>
        </is>
      </c>
      <c r="I558" t="n">
        <v>3.6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17019-2024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45412</v>
      </c>
      <c r="E559" s="1" t="n">
        <v>46310</v>
      </c>
      <c r="F559" t="inlineStr">
        <is>
          <t>JÖNKÖPINGS LÄN</t>
        </is>
      </c>
      <c r="G559" t="inlineStr">
        <is>
          <t>JÖNKÖPING</t>
        </is>
      </c>
      <c r="H559" t="inlineStr">
        <is>
          <t>Övriga Aktiebolag</t>
        </is>
      </c>
      <c r="I559" t="n">
        <v>1.8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24422-2026</t>
        </is>
      </c>
      <c r="B560" t="inlineStr">
        <is>
          <t>avverkningsanmälan</t>
        </is>
      </c>
      <c r="C560" t="inlineStr">
        <is>
          <t>Avverkning för annat ändamål</t>
        </is>
      </c>
      <c r="D560" s="1" t="n">
        <v>46168</v>
      </c>
      <c r="E560" s="1" t="n">
        <v>46310</v>
      </c>
      <c r="F560" t="inlineStr">
        <is>
          <t>JÖNKÖPINGS LÄN</t>
        </is>
      </c>
      <c r="G560" t="inlineStr">
        <is>
          <t>JÖNKÖPING</t>
        </is>
      </c>
      <c r="I560" t="n">
        <v>0.7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42818-2023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45182</v>
      </c>
      <c r="E561" s="1" t="n">
        <v>46310</v>
      </c>
      <c r="F561" t="inlineStr">
        <is>
          <t>JÖNKÖPINGS LÄN</t>
        </is>
      </c>
      <c r="G561" t="inlineStr">
        <is>
          <t>JÖNKÖPING</t>
        </is>
      </c>
      <c r="I561" t="n">
        <v>3.2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62263-2023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45267</v>
      </c>
      <c r="E562" s="1" t="n">
        <v>46310</v>
      </c>
      <c r="F562" t="inlineStr">
        <is>
          <t>JÖNKÖPINGS LÄN</t>
        </is>
      </c>
      <c r="G562" t="inlineStr">
        <is>
          <t>JÖNKÖPING</t>
        </is>
      </c>
      <c r="I562" t="n">
        <v>1.4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36180-2023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45149</v>
      </c>
      <c r="E563" s="1" t="n">
        <v>46310</v>
      </c>
      <c r="F563" t="inlineStr">
        <is>
          <t>JÖNKÖPINGS LÄN</t>
        </is>
      </c>
      <c r="G563" t="inlineStr">
        <is>
          <t>JÖNKÖPING</t>
        </is>
      </c>
      <c r="I563" t="n">
        <v>0.5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2453-2023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44943</v>
      </c>
      <c r="E564" s="1" t="n">
        <v>46310</v>
      </c>
      <c r="F564" t="inlineStr">
        <is>
          <t>JÖNKÖPINGS LÄN</t>
        </is>
      </c>
      <c r="G564" t="inlineStr">
        <is>
          <t>JÖNKÖPING</t>
        </is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24486-2026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46170</v>
      </c>
      <c r="E565" s="1" t="n">
        <v>46310</v>
      </c>
      <c r="F565" t="inlineStr">
        <is>
          <t>JÖNKÖPINGS LÄN</t>
        </is>
      </c>
      <c r="G565" t="inlineStr">
        <is>
          <t>JÖNKÖPING</t>
        </is>
      </c>
      <c r="I565" t="n">
        <v>2.2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24530-2026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46170</v>
      </c>
      <c r="E566" s="1" t="n">
        <v>46310</v>
      </c>
      <c r="F566" t="inlineStr">
        <is>
          <t>JÖNKÖPINGS LÄN</t>
        </is>
      </c>
      <c r="G566" t="inlineStr">
        <is>
          <t>JÖNKÖPING</t>
        </is>
      </c>
      <c r="I566" t="n">
        <v>2.3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53936-2024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45615</v>
      </c>
      <c r="E567" s="1" t="n">
        <v>46310</v>
      </c>
      <c r="F567" t="inlineStr">
        <is>
          <t>JÖNKÖPINGS LÄN</t>
        </is>
      </c>
      <c r="G567" t="inlineStr">
        <is>
          <t>JÖNKÖPING</t>
        </is>
      </c>
      <c r="I567" t="n">
        <v>0.8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53938-2024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45615</v>
      </c>
      <c r="E568" s="1" t="n">
        <v>46310</v>
      </c>
      <c r="F568" t="inlineStr">
        <is>
          <t>JÖNKÖPINGS LÄN</t>
        </is>
      </c>
      <c r="G568" t="inlineStr">
        <is>
          <t>JÖNKÖPING</t>
        </is>
      </c>
      <c r="I568" t="n">
        <v>0.8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34024-2024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45523</v>
      </c>
      <c r="E569" s="1" t="n">
        <v>46310</v>
      </c>
      <c r="F569" t="inlineStr">
        <is>
          <t>JÖNKÖPINGS LÄN</t>
        </is>
      </c>
      <c r="G569" t="inlineStr">
        <is>
          <t>JÖNKÖPING</t>
        </is>
      </c>
      <c r="H569" t="inlineStr">
        <is>
          <t>Sveaskog</t>
        </is>
      </c>
      <c r="I569" t="n">
        <v>2.3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24536-2026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46170</v>
      </c>
      <c r="E570" s="1" t="n">
        <v>46310</v>
      </c>
      <c r="F570" t="inlineStr">
        <is>
          <t>JÖNKÖPINGS LÄN</t>
        </is>
      </c>
      <c r="G570" t="inlineStr">
        <is>
          <t>JÖNKÖPING</t>
        </is>
      </c>
      <c r="I570" t="n">
        <v>1.4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24506-2026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46170</v>
      </c>
      <c r="E571" s="1" t="n">
        <v>46310</v>
      </c>
      <c r="F571" t="inlineStr">
        <is>
          <t>JÖNKÖPINGS LÄN</t>
        </is>
      </c>
      <c r="G571" t="inlineStr">
        <is>
          <t>JÖNKÖPING</t>
        </is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25069-2026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46174</v>
      </c>
      <c r="E572" s="1" t="n">
        <v>46310</v>
      </c>
      <c r="F572" t="inlineStr">
        <is>
          <t>JÖNKÖPINGS LÄN</t>
        </is>
      </c>
      <c r="G572" t="inlineStr">
        <is>
          <t>JÖNKÖPING</t>
        </is>
      </c>
      <c r="H572" t="inlineStr">
        <is>
          <t>Sveaskog</t>
        </is>
      </c>
      <c r="I572" t="n">
        <v>1.7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11039-2022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44628</v>
      </c>
      <c r="E573" s="1" t="n">
        <v>46310</v>
      </c>
      <c r="F573" t="inlineStr">
        <is>
          <t>JÖNKÖPINGS LÄN</t>
        </is>
      </c>
      <c r="G573" t="inlineStr">
        <is>
          <t>JÖNKÖPING</t>
        </is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25063-2026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46174</v>
      </c>
      <c r="E574" s="1" t="n">
        <v>46310</v>
      </c>
      <c r="F574" t="inlineStr">
        <is>
          <t>JÖNKÖPINGS LÄN</t>
        </is>
      </c>
      <c r="G574" t="inlineStr">
        <is>
          <t>JÖNKÖPING</t>
        </is>
      </c>
      <c r="H574" t="inlineStr">
        <is>
          <t>Sveaskog</t>
        </is>
      </c>
      <c r="I574" t="n">
        <v>8.300000000000001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25064-2026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46174</v>
      </c>
      <c r="E575" s="1" t="n">
        <v>46310</v>
      </c>
      <c r="F575" t="inlineStr">
        <is>
          <t>JÖNKÖPINGS LÄN</t>
        </is>
      </c>
      <c r="G575" t="inlineStr">
        <is>
          <t>JÖNKÖPING</t>
        </is>
      </c>
      <c r="H575" t="inlineStr">
        <is>
          <t>Sveaskog</t>
        </is>
      </c>
      <c r="I575" t="n">
        <v>1.9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64650-2023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45281</v>
      </c>
      <c r="E576" s="1" t="n">
        <v>46310</v>
      </c>
      <c r="F576" t="inlineStr">
        <is>
          <t>JÖNKÖPINGS LÄN</t>
        </is>
      </c>
      <c r="G576" t="inlineStr">
        <is>
          <t>JÖNKÖPING</t>
        </is>
      </c>
      <c r="H576" t="inlineStr">
        <is>
          <t>Sveaskog</t>
        </is>
      </c>
      <c r="I576" t="n">
        <v>0.9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2636-2023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44944</v>
      </c>
      <c r="E577" s="1" t="n">
        <v>46310</v>
      </c>
      <c r="F577" t="inlineStr">
        <is>
          <t>JÖNKÖPINGS LÄN</t>
        </is>
      </c>
      <c r="G577" t="inlineStr">
        <is>
          <t>JÖNKÖPING</t>
        </is>
      </c>
      <c r="I577" t="n">
        <v>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8931-2022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44614</v>
      </c>
      <c r="E578" s="1" t="n">
        <v>46310</v>
      </c>
      <c r="F578" t="inlineStr">
        <is>
          <t>JÖNKÖPINGS LÄN</t>
        </is>
      </c>
      <c r="G578" t="inlineStr">
        <is>
          <t>JÖNKÖPING</t>
        </is>
      </c>
      <c r="I578" t="n">
        <v>1.1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25067-2022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44729</v>
      </c>
      <c r="E579" s="1" t="n">
        <v>46310</v>
      </c>
      <c r="F579" t="inlineStr">
        <is>
          <t>JÖNKÖPINGS LÄN</t>
        </is>
      </c>
      <c r="G579" t="inlineStr">
        <is>
          <t>JÖNKÖPING</t>
        </is>
      </c>
      <c r="I579" t="n">
        <v>1.7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47009-2025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45929</v>
      </c>
      <c r="E580" s="1" t="n">
        <v>46310</v>
      </c>
      <c r="F580" t="inlineStr">
        <is>
          <t>JÖNKÖPINGS LÄN</t>
        </is>
      </c>
      <c r="G580" t="inlineStr">
        <is>
          <t>JÖNKÖPING</t>
        </is>
      </c>
      <c r="I580" t="n">
        <v>1.1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13632-2022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44648</v>
      </c>
      <c r="E581" s="1" t="n">
        <v>46310</v>
      </c>
      <c r="F581" t="inlineStr">
        <is>
          <t>JÖNKÖPINGS LÄN</t>
        </is>
      </c>
      <c r="G581" t="inlineStr">
        <is>
          <t>JÖNKÖPING</t>
        </is>
      </c>
      <c r="I581" t="n">
        <v>3.1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42047-2023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45177</v>
      </c>
      <c r="E582" s="1" t="n">
        <v>46310</v>
      </c>
      <c r="F582" t="inlineStr">
        <is>
          <t>JÖNKÖPINGS LÄN</t>
        </is>
      </c>
      <c r="G582" t="inlineStr">
        <is>
          <t>JÖNKÖPING</t>
        </is>
      </c>
      <c r="I582" t="n">
        <v>1.2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1756-2023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44938</v>
      </c>
      <c r="E583" s="1" t="n">
        <v>46310</v>
      </c>
      <c r="F583" t="inlineStr">
        <is>
          <t>JÖNKÖPINGS LÄN</t>
        </is>
      </c>
      <c r="G583" t="inlineStr">
        <is>
          <t>JÖNKÖPING</t>
        </is>
      </c>
      <c r="H583" t="inlineStr">
        <is>
          <t>Kyrkan</t>
        </is>
      </c>
      <c r="I583" t="n">
        <v>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47740-2024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45588</v>
      </c>
      <c r="E584" s="1" t="n">
        <v>46310</v>
      </c>
      <c r="F584" t="inlineStr">
        <is>
          <t>JÖNKÖPINGS LÄN</t>
        </is>
      </c>
      <c r="G584" t="inlineStr">
        <is>
          <t>JÖNKÖPING</t>
        </is>
      </c>
      <c r="I584" t="n">
        <v>1.2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14566-2022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44655</v>
      </c>
      <c r="E585" s="1" t="n">
        <v>46310</v>
      </c>
      <c r="F585" t="inlineStr">
        <is>
          <t>JÖNKÖPINGS LÄN</t>
        </is>
      </c>
      <c r="G585" t="inlineStr">
        <is>
          <t>JÖNKÖPING</t>
        </is>
      </c>
      <c r="I585" t="n">
        <v>0.5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26170-2026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46182</v>
      </c>
      <c r="E586" s="1" t="n">
        <v>46310</v>
      </c>
      <c r="F586" t="inlineStr">
        <is>
          <t>JÖNKÖPINGS LÄN</t>
        </is>
      </c>
      <c r="G586" t="inlineStr">
        <is>
          <t>JÖNKÖPING</t>
        </is>
      </c>
      <c r="I586" t="n">
        <v>0.8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44106-2022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44839</v>
      </c>
      <c r="E587" s="1" t="n">
        <v>46310</v>
      </c>
      <c r="F587" t="inlineStr">
        <is>
          <t>JÖNKÖPINGS LÄN</t>
        </is>
      </c>
      <c r="G587" t="inlineStr">
        <is>
          <t>JÖNKÖPING</t>
        </is>
      </c>
      <c r="H587" t="inlineStr">
        <is>
          <t>Sveaskog</t>
        </is>
      </c>
      <c r="I587" t="n">
        <v>4.8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26621-2026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46184</v>
      </c>
      <c r="E588" s="1" t="n">
        <v>46310</v>
      </c>
      <c r="F588" t="inlineStr">
        <is>
          <t>JÖNKÖPINGS LÄN</t>
        </is>
      </c>
      <c r="G588" t="inlineStr">
        <is>
          <t>JÖNKÖPING</t>
        </is>
      </c>
      <c r="H588" t="inlineStr">
        <is>
          <t>Kyrkan</t>
        </is>
      </c>
      <c r="I588" t="n">
        <v>3.3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26427-2023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45092</v>
      </c>
      <c r="E589" s="1" t="n">
        <v>46310</v>
      </c>
      <c r="F589" t="inlineStr">
        <is>
          <t>JÖNKÖPINGS LÄN</t>
        </is>
      </c>
      <c r="G589" t="inlineStr">
        <is>
          <t>JÖNKÖPING</t>
        </is>
      </c>
      <c r="I589" t="n">
        <v>4.2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56599-2022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44893</v>
      </c>
      <c r="E590" s="1" t="n">
        <v>46310</v>
      </c>
      <c r="F590" t="inlineStr">
        <is>
          <t>JÖNKÖPINGS LÄN</t>
        </is>
      </c>
      <c r="G590" t="inlineStr">
        <is>
          <t>JÖNKÖPING</t>
        </is>
      </c>
      <c r="I590" t="n">
        <v>4.6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27791-2026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46189</v>
      </c>
      <c r="E591" s="1" t="n">
        <v>46310</v>
      </c>
      <c r="F591" t="inlineStr">
        <is>
          <t>JÖNKÖPINGS LÄN</t>
        </is>
      </c>
      <c r="G591" t="inlineStr">
        <is>
          <t>JÖNKÖPING</t>
        </is>
      </c>
      <c r="I591" t="n">
        <v>1.9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10018-2024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45363</v>
      </c>
      <c r="E592" s="1" t="n">
        <v>46310</v>
      </c>
      <c r="F592" t="inlineStr">
        <is>
          <t>JÖNKÖPINGS LÄN</t>
        </is>
      </c>
      <c r="G592" t="inlineStr">
        <is>
          <t>JÖNKÖPING</t>
        </is>
      </c>
      <c r="I592" t="n">
        <v>2.7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27228-2026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46188</v>
      </c>
      <c r="E593" s="1" t="n">
        <v>46310</v>
      </c>
      <c r="F593" t="inlineStr">
        <is>
          <t>JÖNKÖPINGS LÄN</t>
        </is>
      </c>
      <c r="G593" t="inlineStr">
        <is>
          <t>JÖNKÖPING</t>
        </is>
      </c>
      <c r="I593" t="n">
        <v>1.2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2650-2024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45314</v>
      </c>
      <c r="E594" s="1" t="n">
        <v>46310</v>
      </c>
      <c r="F594" t="inlineStr">
        <is>
          <t>JÖNKÖPINGS LÄN</t>
        </is>
      </c>
      <c r="G594" t="inlineStr">
        <is>
          <t>JÖNKÖPING</t>
        </is>
      </c>
      <c r="I594" t="n">
        <v>0.6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57719-2021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44484</v>
      </c>
      <c r="E595" s="1" t="n">
        <v>46310</v>
      </c>
      <c r="F595" t="inlineStr">
        <is>
          <t>JÖNKÖPINGS LÄN</t>
        </is>
      </c>
      <c r="G595" t="inlineStr">
        <is>
          <t>JÖNKÖPING</t>
        </is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52812-2023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45226</v>
      </c>
      <c r="E596" s="1" t="n">
        <v>46310</v>
      </c>
      <c r="F596" t="inlineStr">
        <is>
          <t>JÖNKÖPINGS LÄN</t>
        </is>
      </c>
      <c r="G596" t="inlineStr">
        <is>
          <t>JÖNKÖPING</t>
        </is>
      </c>
      <c r="I596" t="n">
        <v>0.6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4505-2022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44589</v>
      </c>
      <c r="E597" s="1" t="n">
        <v>46310</v>
      </c>
      <c r="F597" t="inlineStr">
        <is>
          <t>JÖNKÖPINGS LÄN</t>
        </is>
      </c>
      <c r="G597" t="inlineStr">
        <is>
          <t>JÖNKÖPING</t>
        </is>
      </c>
      <c r="I597" t="n">
        <v>1.7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2205-2022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44578</v>
      </c>
      <c r="E598" s="1" t="n">
        <v>46310</v>
      </c>
      <c r="F598" t="inlineStr">
        <is>
          <t>JÖNKÖPINGS LÄN</t>
        </is>
      </c>
      <c r="G598" t="inlineStr">
        <is>
          <t>JÖNKÖPING</t>
        </is>
      </c>
      <c r="I598" t="n">
        <v>1.1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47569-2024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45587</v>
      </c>
      <c r="E599" s="1" t="n">
        <v>46310</v>
      </c>
      <c r="F599" t="inlineStr">
        <is>
          <t>JÖNKÖPINGS LÄN</t>
        </is>
      </c>
      <c r="G599" t="inlineStr">
        <is>
          <t>JÖNKÖPING</t>
        </is>
      </c>
      <c r="I599" t="n">
        <v>0.6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36619-2022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44804</v>
      </c>
      <c r="E600" s="1" t="n">
        <v>46310</v>
      </c>
      <c r="F600" t="inlineStr">
        <is>
          <t>JÖNKÖPINGS LÄN</t>
        </is>
      </c>
      <c r="G600" t="inlineStr">
        <is>
          <t>JÖNKÖPING</t>
        </is>
      </c>
      <c r="I600" t="n">
        <v>0.9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18729-2023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45043</v>
      </c>
      <c r="E601" s="1" t="n">
        <v>46310</v>
      </c>
      <c r="F601" t="inlineStr">
        <is>
          <t>JÖNKÖPINGS LÄN</t>
        </is>
      </c>
      <c r="G601" t="inlineStr">
        <is>
          <t>JÖNKÖPING</t>
        </is>
      </c>
      <c r="I601" t="n">
        <v>0.7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29292-2026</t>
        </is>
      </c>
      <c r="B602" t="inlineStr">
        <is>
          <t>avverkningsanmälan</t>
        </is>
      </c>
      <c r="C602" t="inlineStr">
        <is>
          <t>Avverkning för annat ändamål</t>
        </is>
      </c>
      <c r="D602" s="1" t="n">
        <v>46197</v>
      </c>
      <c r="E602" s="1" t="n">
        <v>46310</v>
      </c>
      <c r="F602" t="inlineStr">
        <is>
          <t>JÖNKÖPINGS LÄN</t>
        </is>
      </c>
      <c r="G602" t="inlineStr">
        <is>
          <t>JÖNKÖPING</t>
        </is>
      </c>
      <c r="I602" t="n">
        <v>7.5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30872-2023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45113</v>
      </c>
      <c r="E603" s="1" t="n">
        <v>46310</v>
      </c>
      <c r="F603" t="inlineStr">
        <is>
          <t>JÖNKÖPINGS LÄN</t>
        </is>
      </c>
      <c r="G603" t="inlineStr">
        <is>
          <t>JÖNKÖPING</t>
        </is>
      </c>
      <c r="I603" t="n">
        <v>5.3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28824-2026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46198</v>
      </c>
      <c r="E604" s="1" t="n">
        <v>46310</v>
      </c>
      <c r="F604" t="inlineStr">
        <is>
          <t>JÖNKÖPINGS LÄN</t>
        </is>
      </c>
      <c r="G604" t="inlineStr">
        <is>
          <t>JÖNKÖPING</t>
        </is>
      </c>
      <c r="I604" t="n">
        <v>2.5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29112-2026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46201</v>
      </c>
      <c r="E605" s="1" t="n">
        <v>46310</v>
      </c>
      <c r="F605" t="inlineStr">
        <is>
          <t>JÖNKÖPINGS LÄN</t>
        </is>
      </c>
      <c r="G605" t="inlineStr">
        <is>
          <t>JÖNKÖPING</t>
        </is>
      </c>
      <c r="I605" t="n">
        <v>0.7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29113-2026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46201</v>
      </c>
      <c r="E606" s="1" t="n">
        <v>46310</v>
      </c>
      <c r="F606" t="inlineStr">
        <is>
          <t>JÖNKÖPINGS LÄN</t>
        </is>
      </c>
      <c r="G606" t="inlineStr">
        <is>
          <t>JÖNKÖPING</t>
        </is>
      </c>
      <c r="I606" t="n">
        <v>0.4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29110-2026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46201</v>
      </c>
      <c r="E607" s="1" t="n">
        <v>46310</v>
      </c>
      <c r="F607" t="inlineStr">
        <is>
          <t>JÖNKÖPINGS LÄN</t>
        </is>
      </c>
      <c r="G607" t="inlineStr">
        <is>
          <t>JÖNKÖPING</t>
        </is>
      </c>
      <c r="I607" t="n">
        <v>0.5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60822-2024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45644</v>
      </c>
      <c r="E608" s="1" t="n">
        <v>46310</v>
      </c>
      <c r="F608" t="inlineStr">
        <is>
          <t>JÖNKÖPINGS LÄN</t>
        </is>
      </c>
      <c r="G608" t="inlineStr">
        <is>
          <t>JÖNKÖPING</t>
        </is>
      </c>
      <c r="I608" t="n">
        <v>1.4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29468-2026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46203</v>
      </c>
      <c r="E609" s="1" t="n">
        <v>46310</v>
      </c>
      <c r="F609" t="inlineStr">
        <is>
          <t>JÖNKÖPINGS LÄN</t>
        </is>
      </c>
      <c r="G609" t="inlineStr">
        <is>
          <t>JÖNKÖPING</t>
        </is>
      </c>
      <c r="I609" t="n">
        <v>1.3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7865-2022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44608</v>
      </c>
      <c r="E610" s="1" t="n">
        <v>46310</v>
      </c>
      <c r="F610" t="inlineStr">
        <is>
          <t>JÖNKÖPINGS LÄN</t>
        </is>
      </c>
      <c r="G610" t="inlineStr">
        <is>
          <t>JÖNKÖPING</t>
        </is>
      </c>
      <c r="I610" t="n">
        <v>1.4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29465-2026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46203</v>
      </c>
      <c r="E611" s="1" t="n">
        <v>46310</v>
      </c>
      <c r="F611" t="inlineStr">
        <is>
          <t>JÖNKÖPINGS LÄN</t>
        </is>
      </c>
      <c r="G611" t="inlineStr">
        <is>
          <t>JÖNKÖPING</t>
        </is>
      </c>
      <c r="I611" t="n">
        <v>0.7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26206-2022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44734</v>
      </c>
      <c r="E612" s="1" t="n">
        <v>46310</v>
      </c>
      <c r="F612" t="inlineStr">
        <is>
          <t>JÖNKÖPINGS LÄN</t>
        </is>
      </c>
      <c r="G612" t="inlineStr">
        <is>
          <t>JÖNKÖPING</t>
        </is>
      </c>
      <c r="H612" t="inlineStr">
        <is>
          <t>Kyrkan</t>
        </is>
      </c>
      <c r="I612" t="n">
        <v>3.3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26213-2022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44734</v>
      </c>
      <c r="E613" s="1" t="n">
        <v>46310</v>
      </c>
      <c r="F613" t="inlineStr">
        <is>
          <t>JÖNKÖPINGS LÄN</t>
        </is>
      </c>
      <c r="G613" t="inlineStr">
        <is>
          <t>JÖNKÖPING</t>
        </is>
      </c>
      <c r="H613" t="inlineStr">
        <is>
          <t>Kyrkan</t>
        </is>
      </c>
      <c r="I613" t="n">
        <v>0.4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59318-2022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44904</v>
      </c>
      <c r="E614" s="1" t="n">
        <v>46310</v>
      </c>
      <c r="F614" t="inlineStr">
        <is>
          <t>JÖNKÖPINGS LÄN</t>
        </is>
      </c>
      <c r="G614" t="inlineStr">
        <is>
          <t>JÖNKÖPING</t>
        </is>
      </c>
      <c r="I614" t="n">
        <v>1.2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30277-2026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46206</v>
      </c>
      <c r="E615" s="1" t="n">
        <v>46310</v>
      </c>
      <c r="F615" t="inlineStr">
        <is>
          <t>JÖNKÖPINGS LÄN</t>
        </is>
      </c>
      <c r="G615" t="inlineStr">
        <is>
          <t>JÖNKÖPING</t>
        </is>
      </c>
      <c r="H615" t="inlineStr">
        <is>
          <t>Sveaskog</t>
        </is>
      </c>
      <c r="I615" t="n">
        <v>3.6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30287-2026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46206</v>
      </c>
      <c r="E616" s="1" t="n">
        <v>46310</v>
      </c>
      <c r="F616" t="inlineStr">
        <is>
          <t>JÖNKÖPINGS LÄN</t>
        </is>
      </c>
      <c r="G616" t="inlineStr">
        <is>
          <t>JÖNKÖPING</t>
        </is>
      </c>
      <c r="H616" t="inlineStr">
        <is>
          <t>Sveaskog</t>
        </is>
      </c>
      <c r="I616" t="n">
        <v>0.8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46321-2023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45197</v>
      </c>
      <c r="E617" s="1" t="n">
        <v>46310</v>
      </c>
      <c r="F617" t="inlineStr">
        <is>
          <t>JÖNKÖPINGS LÄN</t>
        </is>
      </c>
      <c r="G617" t="inlineStr">
        <is>
          <t>JÖNKÖPING</t>
        </is>
      </c>
      <c r="I617" t="n">
        <v>1.6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3749-2024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45321</v>
      </c>
      <c r="E618" s="1" t="n">
        <v>46310</v>
      </c>
      <c r="F618" t="inlineStr">
        <is>
          <t>JÖNKÖPINGS LÄN</t>
        </is>
      </c>
      <c r="G618" t="inlineStr">
        <is>
          <t>JÖNKÖPING</t>
        </is>
      </c>
      <c r="I618" t="n">
        <v>3.1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18574-2023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45043</v>
      </c>
      <c r="E619" s="1" t="n">
        <v>46310</v>
      </c>
      <c r="F619" t="inlineStr">
        <is>
          <t>JÖNKÖPINGS LÄN</t>
        </is>
      </c>
      <c r="G619" t="inlineStr">
        <is>
          <t>JÖNKÖPING</t>
        </is>
      </c>
      <c r="I619" t="n">
        <v>3.4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30281-2026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46206</v>
      </c>
      <c r="E620" s="1" t="n">
        <v>46310</v>
      </c>
      <c r="F620" t="inlineStr">
        <is>
          <t>JÖNKÖPINGS LÄN</t>
        </is>
      </c>
      <c r="G620" t="inlineStr">
        <is>
          <t>JÖNKÖPING</t>
        </is>
      </c>
      <c r="H620" t="inlineStr">
        <is>
          <t>Sveaskog</t>
        </is>
      </c>
      <c r="I620" t="n">
        <v>0.6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38258-2024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45545</v>
      </c>
      <c r="E621" s="1" t="n">
        <v>46310</v>
      </c>
      <c r="F621" t="inlineStr">
        <is>
          <t>JÖNKÖPINGS LÄN</t>
        </is>
      </c>
      <c r="G621" t="inlineStr">
        <is>
          <t>JÖNKÖPING</t>
        </is>
      </c>
      <c r="H621" t="inlineStr">
        <is>
          <t>Sveaskog</t>
        </is>
      </c>
      <c r="I621" t="n">
        <v>4.3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30618-2026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46211</v>
      </c>
      <c r="E622" s="1" t="n">
        <v>46310</v>
      </c>
      <c r="F622" t="inlineStr">
        <is>
          <t>JÖNKÖPINGS LÄN</t>
        </is>
      </c>
      <c r="G622" t="inlineStr">
        <is>
          <t>JÖNKÖPING</t>
        </is>
      </c>
      <c r="I622" t="n">
        <v>1.4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30619-2026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46211</v>
      </c>
      <c r="E623" s="1" t="n">
        <v>46310</v>
      </c>
      <c r="F623" t="inlineStr">
        <is>
          <t>JÖNKÖPINGS LÄN</t>
        </is>
      </c>
      <c r="G623" t="inlineStr">
        <is>
          <t>JÖNKÖPING</t>
        </is>
      </c>
      <c r="I623" t="n">
        <v>3.8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30870-2026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46212</v>
      </c>
      <c r="E624" s="1" t="n">
        <v>46310</v>
      </c>
      <c r="F624" t="inlineStr">
        <is>
          <t>JÖNKÖPINGS LÄN</t>
        </is>
      </c>
      <c r="G624" t="inlineStr">
        <is>
          <t>JÖNKÖPING</t>
        </is>
      </c>
      <c r="H624" t="inlineStr">
        <is>
          <t>Sveaskog</t>
        </is>
      </c>
      <c r="I624" t="n">
        <v>2.1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30616-2026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46211</v>
      </c>
      <c r="E625" s="1" t="n">
        <v>46310</v>
      </c>
      <c r="F625" t="inlineStr">
        <is>
          <t>JÖNKÖPINGS LÄN</t>
        </is>
      </c>
      <c r="G625" t="inlineStr">
        <is>
          <t>JÖNKÖPING</t>
        </is>
      </c>
      <c r="I625" t="n">
        <v>2.9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30617-2026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46211</v>
      </c>
      <c r="E626" s="1" t="n">
        <v>46310</v>
      </c>
      <c r="F626" t="inlineStr">
        <is>
          <t>JÖNKÖPINGS LÄN</t>
        </is>
      </c>
      <c r="G626" t="inlineStr">
        <is>
          <t>JÖNKÖPING</t>
        </is>
      </c>
      <c r="I626" t="n">
        <v>0.6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30620-2026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46211</v>
      </c>
      <c r="E627" s="1" t="n">
        <v>46310</v>
      </c>
      <c r="F627" t="inlineStr">
        <is>
          <t>JÖNKÖPINGS LÄN</t>
        </is>
      </c>
      <c r="G627" t="inlineStr">
        <is>
          <t>JÖNKÖPING</t>
        </is>
      </c>
      <c r="I627" t="n">
        <v>3.9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30724-2026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46211</v>
      </c>
      <c r="E628" s="1" t="n">
        <v>46310</v>
      </c>
      <c r="F628" t="inlineStr">
        <is>
          <t>JÖNKÖPINGS LÄN</t>
        </is>
      </c>
      <c r="G628" t="inlineStr">
        <is>
          <t>JÖNKÖPING</t>
        </is>
      </c>
      <c r="H628" t="inlineStr">
        <is>
          <t>Sveaskog</t>
        </is>
      </c>
      <c r="I628" t="n">
        <v>6.4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30865-2026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46212</v>
      </c>
      <c r="E629" s="1" t="n">
        <v>46310</v>
      </c>
      <c r="F629" t="inlineStr">
        <is>
          <t>JÖNKÖPINGS LÄN</t>
        </is>
      </c>
      <c r="G629" t="inlineStr">
        <is>
          <t>JÖNKÖPING</t>
        </is>
      </c>
      <c r="H629" t="inlineStr">
        <is>
          <t>Sveaskog</t>
        </is>
      </c>
      <c r="I629" t="n">
        <v>2.3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30621-2026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46211</v>
      </c>
      <c r="E630" s="1" t="n">
        <v>46310</v>
      </c>
      <c r="F630" t="inlineStr">
        <is>
          <t>JÖNKÖPINGS LÄN</t>
        </is>
      </c>
      <c r="G630" t="inlineStr">
        <is>
          <t>JÖNKÖPING</t>
        </is>
      </c>
      <c r="I630" t="n">
        <v>2.8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30623-2026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46211</v>
      </c>
      <c r="E631" s="1" t="n">
        <v>46310</v>
      </c>
      <c r="F631" t="inlineStr">
        <is>
          <t>JÖNKÖPINGS LÄN</t>
        </is>
      </c>
      <c r="G631" t="inlineStr">
        <is>
          <t>JÖNKÖPING</t>
        </is>
      </c>
      <c r="I631" t="n">
        <v>3.3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30625-2026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46211</v>
      </c>
      <c r="E632" s="1" t="n">
        <v>46310</v>
      </c>
      <c r="F632" t="inlineStr">
        <is>
          <t>JÖNKÖPINGS LÄN</t>
        </is>
      </c>
      <c r="G632" t="inlineStr">
        <is>
          <t>JÖNKÖPING</t>
        </is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30626-2026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46211</v>
      </c>
      <c r="E633" s="1" t="n">
        <v>46310</v>
      </c>
      <c r="F633" t="inlineStr">
        <is>
          <t>JÖNKÖPINGS LÄN</t>
        </is>
      </c>
      <c r="G633" t="inlineStr">
        <is>
          <t>JÖNKÖPING</t>
        </is>
      </c>
      <c r="I633" t="n">
        <v>0.8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21924-2022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44711</v>
      </c>
      <c r="E634" s="1" t="n">
        <v>46310</v>
      </c>
      <c r="F634" t="inlineStr">
        <is>
          <t>JÖNKÖPINGS LÄN</t>
        </is>
      </c>
      <c r="G634" t="inlineStr">
        <is>
          <t>JÖNKÖPING</t>
        </is>
      </c>
      <c r="I634" t="n">
        <v>1.1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28305-2024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45477</v>
      </c>
      <c r="E635" s="1" t="n">
        <v>46310</v>
      </c>
      <c r="F635" t="inlineStr">
        <is>
          <t>JÖNKÖPINGS LÄN</t>
        </is>
      </c>
      <c r="G635" t="inlineStr">
        <is>
          <t>JÖNKÖPING</t>
        </is>
      </c>
      <c r="I635" t="n">
        <v>0.7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28307-2024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45477</v>
      </c>
      <c r="E636" s="1" t="n">
        <v>46310</v>
      </c>
      <c r="F636" t="inlineStr">
        <is>
          <t>JÖNKÖPINGS LÄN</t>
        </is>
      </c>
      <c r="G636" t="inlineStr">
        <is>
          <t>JÖNKÖPING</t>
        </is>
      </c>
      <c r="I636" t="n">
        <v>4.3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30837-2026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46212</v>
      </c>
      <c r="E637" s="1" t="n">
        <v>46310</v>
      </c>
      <c r="F637" t="inlineStr">
        <is>
          <t>JÖNKÖPINGS LÄN</t>
        </is>
      </c>
      <c r="G637" t="inlineStr">
        <is>
          <t>JÖNKÖPING</t>
        </is>
      </c>
      <c r="I637" t="n">
        <v>1.4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30734-2026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46211</v>
      </c>
      <c r="E638" s="1" t="n">
        <v>46310</v>
      </c>
      <c r="F638" t="inlineStr">
        <is>
          <t>JÖNKÖPINGS LÄN</t>
        </is>
      </c>
      <c r="G638" t="inlineStr">
        <is>
          <t>JÖNKÖPING</t>
        </is>
      </c>
      <c r="H638" t="inlineStr">
        <is>
          <t>Sveaskog</t>
        </is>
      </c>
      <c r="I638" t="n">
        <v>14.5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520-2024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45299</v>
      </c>
      <c r="E639" s="1" t="n">
        <v>46310</v>
      </c>
      <c r="F639" t="inlineStr">
        <is>
          <t>JÖNKÖPINGS LÄN</t>
        </is>
      </c>
      <c r="G639" t="inlineStr">
        <is>
          <t>JÖNKÖPING</t>
        </is>
      </c>
      <c r="I639" t="n">
        <v>2.5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50896-2025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45946</v>
      </c>
      <c r="E640" s="1" t="n">
        <v>46310</v>
      </c>
      <c r="F640" t="inlineStr">
        <is>
          <t>JÖNKÖPINGS LÄN</t>
        </is>
      </c>
      <c r="G640" t="inlineStr">
        <is>
          <t>JÖNKÖPING</t>
        </is>
      </c>
      <c r="I640" t="n">
        <v>3.3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12301-2023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44998</v>
      </c>
      <c r="E641" s="1" t="n">
        <v>46310</v>
      </c>
      <c r="F641" t="inlineStr">
        <is>
          <t>JÖNKÖPINGS LÄN</t>
        </is>
      </c>
      <c r="G641" t="inlineStr">
        <is>
          <t>JÖNKÖPING</t>
        </is>
      </c>
      <c r="I641" t="n">
        <v>1.3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41481-2023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45175</v>
      </c>
      <c r="E642" s="1" t="n">
        <v>46310</v>
      </c>
      <c r="F642" t="inlineStr">
        <is>
          <t>JÖNKÖPINGS LÄN</t>
        </is>
      </c>
      <c r="G642" t="inlineStr">
        <is>
          <t>JÖNKÖPING</t>
        </is>
      </c>
      <c r="I642" t="n">
        <v>0.7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33492-2023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45118</v>
      </c>
      <c r="E643" s="1" t="n">
        <v>46310</v>
      </c>
      <c r="F643" t="inlineStr">
        <is>
          <t>JÖNKÖPINGS LÄN</t>
        </is>
      </c>
      <c r="G643" t="inlineStr">
        <is>
          <t>JÖNKÖPING</t>
        </is>
      </c>
      <c r="I643" t="n">
        <v>2.7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4577-2022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44591</v>
      </c>
      <c r="E644" s="1" t="n">
        <v>46310</v>
      </c>
      <c r="F644" t="inlineStr">
        <is>
          <t>JÖNKÖPINGS LÄN</t>
        </is>
      </c>
      <c r="G644" t="inlineStr">
        <is>
          <t>JÖNKÖPING</t>
        </is>
      </c>
      <c r="I644" t="n">
        <v>1.4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31367-2026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46219</v>
      </c>
      <c r="E645" s="1" t="n">
        <v>46310</v>
      </c>
      <c r="F645" t="inlineStr">
        <is>
          <t>JÖNKÖPINGS LÄN</t>
        </is>
      </c>
      <c r="G645" t="inlineStr">
        <is>
          <t>JÖNKÖPING</t>
        </is>
      </c>
      <c r="I645" t="n">
        <v>7.6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33850-2025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45842</v>
      </c>
      <c r="E646" s="1" t="n">
        <v>46310</v>
      </c>
      <c r="F646" t="inlineStr">
        <is>
          <t>JÖNKÖPINGS LÄN</t>
        </is>
      </c>
      <c r="G646" t="inlineStr">
        <is>
          <t>JÖNKÖPING</t>
        </is>
      </c>
      <c r="I646" t="n">
        <v>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8262-2025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45708</v>
      </c>
      <c r="E647" s="1" t="n">
        <v>46310</v>
      </c>
      <c r="F647" t="inlineStr">
        <is>
          <t>JÖNKÖPINGS LÄN</t>
        </is>
      </c>
      <c r="G647" t="inlineStr">
        <is>
          <t>JÖNKÖPING</t>
        </is>
      </c>
      <c r="I647" t="n">
        <v>0.5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31405-2026</t>
        </is>
      </c>
      <c r="B648" t="inlineStr">
        <is>
          <t>avverkningsanmälan</t>
        </is>
      </c>
      <c r="C648" t="inlineStr">
        <is>
          <t>Avverkning för annat ändamål</t>
        </is>
      </c>
      <c r="D648" s="1" t="n">
        <v>46220</v>
      </c>
      <c r="E648" s="1" t="n">
        <v>46310</v>
      </c>
      <c r="F648" t="inlineStr">
        <is>
          <t>JÖNKÖPINGS LÄN</t>
        </is>
      </c>
      <c r="G648" t="inlineStr">
        <is>
          <t>JÖNKÖPING</t>
        </is>
      </c>
      <c r="I648" t="n">
        <v>1.7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49343-2023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45211</v>
      </c>
      <c r="E649" s="1" t="n">
        <v>46310</v>
      </c>
      <c r="F649" t="inlineStr">
        <is>
          <t>JÖNKÖPINGS LÄN</t>
        </is>
      </c>
      <c r="G649" t="inlineStr">
        <is>
          <t>JÖNKÖPING</t>
        </is>
      </c>
      <c r="I649" t="n">
        <v>4.1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31368-2026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46219</v>
      </c>
      <c r="E650" s="1" t="n">
        <v>46310</v>
      </c>
      <c r="F650" t="inlineStr">
        <is>
          <t>JÖNKÖPINGS LÄN</t>
        </is>
      </c>
      <c r="G650" t="inlineStr">
        <is>
          <t>JÖNKÖPING</t>
        </is>
      </c>
      <c r="I650" t="n">
        <v>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30585-2023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45112</v>
      </c>
      <c r="E651" s="1" t="n">
        <v>46310</v>
      </c>
      <c r="F651" t="inlineStr">
        <is>
          <t>JÖNKÖPINGS LÄN</t>
        </is>
      </c>
      <c r="G651" t="inlineStr">
        <is>
          <t>JÖNKÖPING</t>
        </is>
      </c>
      <c r="I651" t="n">
        <v>0.7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36216-2026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46267</v>
      </c>
      <c r="E652" s="1" t="n">
        <v>46310</v>
      </c>
      <c r="F652" t="inlineStr">
        <is>
          <t>JÖNKÖPINGS LÄN</t>
        </is>
      </c>
      <c r="G652" t="inlineStr">
        <is>
          <t>JÖNKÖPING</t>
        </is>
      </c>
      <c r="I652" t="n">
        <v>0.7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11801-2024</t>
        </is>
      </c>
      <c r="B653" t="inlineStr">
        <is>
          <t>avverkningsanmälan</t>
        </is>
      </c>
      <c r="C653" t="inlineStr">
        <is>
          <t>Avverkning för annat ändamål</t>
        </is>
      </c>
      <c r="D653" s="1" t="n">
        <v>45375</v>
      </c>
      <c r="E653" s="1" t="n">
        <v>46310</v>
      </c>
      <c r="F653" t="inlineStr">
        <is>
          <t>JÖNKÖPINGS LÄN</t>
        </is>
      </c>
      <c r="G653" t="inlineStr">
        <is>
          <t>JÖNKÖPING</t>
        </is>
      </c>
      <c r="I653" t="n">
        <v>0.9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36341-2026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46268</v>
      </c>
      <c r="E654" s="1" t="n">
        <v>46310</v>
      </c>
      <c r="F654" t="inlineStr">
        <is>
          <t>JÖNKÖPINGS LÄN</t>
        </is>
      </c>
      <c r="G654" t="inlineStr">
        <is>
          <t>JÖNKÖPING</t>
        </is>
      </c>
      <c r="I654" t="n">
        <v>1.3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37498-2024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45541</v>
      </c>
      <c r="E655" s="1" t="n">
        <v>46310</v>
      </c>
      <c r="F655" t="inlineStr">
        <is>
          <t>JÖNKÖPINGS LÄN</t>
        </is>
      </c>
      <c r="G655" t="inlineStr">
        <is>
          <t>JÖNKÖPING</t>
        </is>
      </c>
      <c r="I655" t="n">
        <v>2.2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31771-2026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46230</v>
      </c>
      <c r="E656" s="1" t="n">
        <v>46310</v>
      </c>
      <c r="F656" t="inlineStr">
        <is>
          <t>JÖNKÖPINGS LÄN</t>
        </is>
      </c>
      <c r="G656" t="inlineStr">
        <is>
          <t>JÖNKÖPING</t>
        </is>
      </c>
      <c r="H656" t="inlineStr">
        <is>
          <t>Sveaskog</t>
        </is>
      </c>
      <c r="I656" t="n">
        <v>3.9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31772-2026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46230</v>
      </c>
      <c r="E657" s="1" t="n">
        <v>46310</v>
      </c>
      <c r="F657" t="inlineStr">
        <is>
          <t>JÖNKÖPINGS LÄN</t>
        </is>
      </c>
      <c r="G657" t="inlineStr">
        <is>
          <t>JÖNKÖPING</t>
        </is>
      </c>
      <c r="H657" t="inlineStr">
        <is>
          <t>Sveaskog</t>
        </is>
      </c>
      <c r="I657" t="n">
        <v>2.2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48305-2022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44853</v>
      </c>
      <c r="E658" s="1" t="n">
        <v>46310</v>
      </c>
      <c r="F658" t="inlineStr">
        <is>
          <t>JÖNKÖPINGS LÄN</t>
        </is>
      </c>
      <c r="G658" t="inlineStr">
        <is>
          <t>JÖNKÖPING</t>
        </is>
      </c>
      <c r="I658" t="n">
        <v>2.3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36793-2026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46272</v>
      </c>
      <c r="E659" s="1" t="n">
        <v>46310</v>
      </c>
      <c r="F659" t="inlineStr">
        <is>
          <t>JÖNKÖPINGS LÄN</t>
        </is>
      </c>
      <c r="G659" t="inlineStr">
        <is>
          <t>JÖNKÖPING</t>
        </is>
      </c>
      <c r="I659" t="n">
        <v>2.1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30547-2024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45492</v>
      </c>
      <c r="E660" s="1" t="n">
        <v>46310</v>
      </c>
      <c r="F660" t="inlineStr">
        <is>
          <t>JÖNKÖPINGS LÄN</t>
        </is>
      </c>
      <c r="G660" t="inlineStr">
        <is>
          <t>JÖNKÖPING</t>
        </is>
      </c>
      <c r="I660" t="n">
        <v>4.1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36940-2026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46273</v>
      </c>
      <c r="E661" s="1" t="n">
        <v>46310</v>
      </c>
      <c r="F661" t="inlineStr">
        <is>
          <t>JÖNKÖPINGS LÄN</t>
        </is>
      </c>
      <c r="G661" t="inlineStr">
        <is>
          <t>JÖNKÖPING</t>
        </is>
      </c>
      <c r="I661" t="n">
        <v>3.7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36617-2026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46270</v>
      </c>
      <c r="E662" s="1" t="n">
        <v>46310</v>
      </c>
      <c r="F662" t="inlineStr">
        <is>
          <t>JÖNKÖPINGS LÄN</t>
        </is>
      </c>
      <c r="G662" t="inlineStr">
        <is>
          <t>JÖNKÖPING</t>
        </is>
      </c>
      <c r="I662" t="n">
        <v>7.8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36789-2026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46272</v>
      </c>
      <c r="E663" s="1" t="n">
        <v>46310</v>
      </c>
      <c r="F663" t="inlineStr">
        <is>
          <t>JÖNKÖPINGS LÄN</t>
        </is>
      </c>
      <c r="G663" t="inlineStr">
        <is>
          <t>JÖNKÖPING</t>
        </is>
      </c>
      <c r="I663" t="n">
        <v>1.3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36781-2026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46272</v>
      </c>
      <c r="E664" s="1" t="n">
        <v>46310</v>
      </c>
      <c r="F664" t="inlineStr">
        <is>
          <t>JÖNKÖPINGS LÄN</t>
        </is>
      </c>
      <c r="G664" t="inlineStr">
        <is>
          <t>JÖNKÖPING</t>
        </is>
      </c>
      <c r="I664" t="n">
        <v>2.2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36747-2026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46272</v>
      </c>
      <c r="E665" s="1" t="n">
        <v>46310</v>
      </c>
      <c r="F665" t="inlineStr">
        <is>
          <t>JÖNKÖPINGS LÄN</t>
        </is>
      </c>
      <c r="G665" t="inlineStr">
        <is>
          <t>JÖNKÖPING</t>
        </is>
      </c>
      <c r="I665" t="n">
        <v>0.8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36774-2026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46272</v>
      </c>
      <c r="E666" s="1" t="n">
        <v>46310</v>
      </c>
      <c r="F666" t="inlineStr">
        <is>
          <t>JÖNKÖPINGS LÄN</t>
        </is>
      </c>
      <c r="G666" t="inlineStr">
        <is>
          <t>JÖNKÖPING</t>
        </is>
      </c>
      <c r="I666" t="n">
        <v>0.4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42110-2024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45562</v>
      </c>
      <c r="E667" s="1" t="n">
        <v>46310</v>
      </c>
      <c r="F667" t="inlineStr">
        <is>
          <t>JÖNKÖPINGS LÄN</t>
        </is>
      </c>
      <c r="G667" t="inlineStr">
        <is>
          <t>JÖNKÖPING</t>
        </is>
      </c>
      <c r="I667" t="n">
        <v>6.1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28232-2024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45477</v>
      </c>
      <c r="E668" s="1" t="n">
        <v>46310</v>
      </c>
      <c r="F668" t="inlineStr">
        <is>
          <t>JÖNKÖPINGS LÄN</t>
        </is>
      </c>
      <c r="G668" t="inlineStr">
        <is>
          <t>JÖNKÖPING</t>
        </is>
      </c>
      <c r="I668" t="n">
        <v>0.7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28234-2024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45477</v>
      </c>
      <c r="E669" s="1" t="n">
        <v>46310</v>
      </c>
      <c r="F669" t="inlineStr">
        <is>
          <t>JÖNKÖPINGS LÄN</t>
        </is>
      </c>
      <c r="G669" t="inlineStr">
        <is>
          <t>JÖNKÖPING</t>
        </is>
      </c>
      <c r="I669" t="n">
        <v>0.8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9462-2024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45359</v>
      </c>
      <c r="E670" s="1" t="n">
        <v>46310</v>
      </c>
      <c r="F670" t="inlineStr">
        <is>
          <t>JÖNKÖPINGS LÄN</t>
        </is>
      </c>
      <c r="G670" t="inlineStr">
        <is>
          <t>JÖNKÖPING</t>
        </is>
      </c>
      <c r="I670" t="n">
        <v>4.3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56441-2023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45243</v>
      </c>
      <c r="E671" s="1" t="n">
        <v>46310</v>
      </c>
      <c r="F671" t="inlineStr">
        <is>
          <t>JÖNKÖPINGS LÄN</t>
        </is>
      </c>
      <c r="G671" t="inlineStr">
        <is>
          <t>JÖNKÖPING</t>
        </is>
      </c>
      <c r="H671" t="inlineStr">
        <is>
          <t>Övriga Aktiebolag</t>
        </is>
      </c>
      <c r="I671" t="n">
        <v>1.6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37316-2026</t>
        </is>
      </c>
      <c r="B672" t="inlineStr">
        <is>
          <t>avverkningsanmälan</t>
        </is>
      </c>
      <c r="C672" t="inlineStr">
        <is>
          <t>Avverkning för annat ändamål</t>
        </is>
      </c>
      <c r="D672" s="1" t="n">
        <v>46274</v>
      </c>
      <c r="E672" s="1" t="n">
        <v>46310</v>
      </c>
      <c r="F672" t="inlineStr">
        <is>
          <t>JÖNKÖPINGS LÄN</t>
        </is>
      </c>
      <c r="G672" t="inlineStr">
        <is>
          <t>JÖNKÖPING</t>
        </is>
      </c>
      <c r="I672" t="n">
        <v>0.5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44697-2023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45184</v>
      </c>
      <c r="E673" s="1" t="n">
        <v>46310</v>
      </c>
      <c r="F673" t="inlineStr">
        <is>
          <t>JÖNKÖPINGS LÄN</t>
        </is>
      </c>
      <c r="G673" t="inlineStr">
        <is>
          <t>JÖNKÖPING</t>
        </is>
      </c>
      <c r="I673" t="n">
        <v>4.4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32074-2026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46233</v>
      </c>
      <c r="E674" s="1" t="n">
        <v>46310</v>
      </c>
      <c r="F674" t="inlineStr">
        <is>
          <t>JÖNKÖPINGS LÄN</t>
        </is>
      </c>
      <c r="G674" t="inlineStr">
        <is>
          <t>JÖNKÖPING</t>
        </is>
      </c>
      <c r="H674" t="inlineStr">
        <is>
          <t>Sveaskog</t>
        </is>
      </c>
      <c r="I674" t="n">
        <v>8.300000000000001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32138-2026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46234</v>
      </c>
      <c r="E675" s="1" t="n">
        <v>46310</v>
      </c>
      <c r="F675" t="inlineStr">
        <is>
          <t>JÖNKÖPINGS LÄN</t>
        </is>
      </c>
      <c r="G675" t="inlineStr">
        <is>
          <t>JÖNKÖPING</t>
        </is>
      </c>
      <c r="I675" t="n">
        <v>4.3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3519-2023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44950</v>
      </c>
      <c r="E676" s="1" t="n">
        <v>46310</v>
      </c>
      <c r="F676" t="inlineStr">
        <is>
          <t>JÖNKÖPINGS LÄN</t>
        </is>
      </c>
      <c r="G676" t="inlineStr">
        <is>
          <t>JÖNKÖPING</t>
        </is>
      </c>
      <c r="I676" t="n">
        <v>0.4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3522-2023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44950</v>
      </c>
      <c r="E677" s="1" t="n">
        <v>46310</v>
      </c>
      <c r="F677" t="inlineStr">
        <is>
          <t>JÖNKÖPINGS LÄN</t>
        </is>
      </c>
      <c r="G677" t="inlineStr">
        <is>
          <t>JÖNKÖPING</t>
        </is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37699-2026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46279</v>
      </c>
      <c r="E678" s="1" t="n">
        <v>46310</v>
      </c>
      <c r="F678" t="inlineStr">
        <is>
          <t>JÖNKÖPINGS LÄN</t>
        </is>
      </c>
      <c r="G678" t="inlineStr">
        <is>
          <t>JÖNKÖPING</t>
        </is>
      </c>
      <c r="H678" t="inlineStr">
        <is>
          <t>Sveaskog</t>
        </is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37700-2026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46279</v>
      </c>
      <c r="E679" s="1" t="n">
        <v>46310</v>
      </c>
      <c r="F679" t="inlineStr">
        <is>
          <t>JÖNKÖPINGS LÄN</t>
        </is>
      </c>
      <c r="G679" t="inlineStr">
        <is>
          <t>JÖNKÖPING</t>
        </is>
      </c>
      <c r="H679" t="inlineStr">
        <is>
          <t>Sveaskog</t>
        </is>
      </c>
      <c r="I679" t="n">
        <v>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32136-2026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46234</v>
      </c>
      <c r="E680" s="1" t="n">
        <v>46310</v>
      </c>
      <c r="F680" t="inlineStr">
        <is>
          <t>JÖNKÖPINGS LÄN</t>
        </is>
      </c>
      <c r="G680" t="inlineStr">
        <is>
          <t>JÖNKÖPING</t>
        </is>
      </c>
      <c r="I680" t="n">
        <v>7.7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32137-2026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46234</v>
      </c>
      <c r="E681" s="1" t="n">
        <v>46310</v>
      </c>
      <c r="F681" t="inlineStr">
        <is>
          <t>JÖNKÖPINGS LÄN</t>
        </is>
      </c>
      <c r="G681" t="inlineStr">
        <is>
          <t>JÖNKÖPING</t>
        </is>
      </c>
      <c r="I681" t="n">
        <v>2.3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32147-2026</t>
        </is>
      </c>
      <c r="B682" t="inlineStr">
        <is>
          <t>avverkningsanmälan</t>
        </is>
      </c>
      <c r="C682" t="inlineStr">
        <is>
          <t>Avverkning för att bevara och utveckla /försöksver</t>
        </is>
      </c>
      <c r="D682" s="1" t="n">
        <v>46234</v>
      </c>
      <c r="E682" s="1" t="n">
        <v>46310</v>
      </c>
      <c r="F682" t="inlineStr">
        <is>
          <t>JÖNKÖPINGS LÄN</t>
        </is>
      </c>
      <c r="G682" t="inlineStr">
        <is>
          <t>JÖNKÖPING</t>
        </is>
      </c>
      <c r="I682" t="n">
        <v>2.3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37883-2026</t>
        </is>
      </c>
      <c r="B683" t="inlineStr">
        <is>
          <t>avverkningsanmälan</t>
        </is>
      </c>
      <c r="C683" t="inlineStr">
        <is>
          <t>Avverkning för att bevara och utveckla /försöksver</t>
        </is>
      </c>
      <c r="D683" s="1" t="n">
        <v>46279</v>
      </c>
      <c r="E683" s="1" t="n">
        <v>46310</v>
      </c>
      <c r="F683" t="inlineStr">
        <is>
          <t>JÖNKÖPINGS LÄN</t>
        </is>
      </c>
      <c r="G683" t="inlineStr">
        <is>
          <t>JÖNKÖPING</t>
        </is>
      </c>
      <c r="H683" t="inlineStr">
        <is>
          <t>Sveaskog</t>
        </is>
      </c>
      <c r="I683" t="n">
        <v>0.9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32072-2026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46233</v>
      </c>
      <c r="E684" s="1" t="n">
        <v>46310</v>
      </c>
      <c r="F684" t="inlineStr">
        <is>
          <t>JÖNKÖPINGS LÄN</t>
        </is>
      </c>
      <c r="G684" t="inlineStr">
        <is>
          <t>JÖNKÖPING</t>
        </is>
      </c>
      <c r="H684" t="inlineStr">
        <is>
          <t>Sveaskog</t>
        </is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37555-2026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46276</v>
      </c>
      <c r="E685" s="1" t="n">
        <v>46310</v>
      </c>
      <c r="F685" t="inlineStr">
        <is>
          <t>JÖNKÖPINGS LÄN</t>
        </is>
      </c>
      <c r="G685" t="inlineStr">
        <is>
          <t>JÖNKÖPING</t>
        </is>
      </c>
      <c r="I685" t="n">
        <v>2.1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37556-2026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46276</v>
      </c>
      <c r="E686" s="1" t="n">
        <v>46310</v>
      </c>
      <c r="F686" t="inlineStr">
        <is>
          <t>JÖNKÖPINGS LÄN</t>
        </is>
      </c>
      <c r="G686" t="inlineStr">
        <is>
          <t>JÖNKÖPING</t>
        </is>
      </c>
      <c r="I686" t="n">
        <v>0.7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1185-2023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44930</v>
      </c>
      <c r="E687" s="1" t="n">
        <v>46310</v>
      </c>
      <c r="F687" t="inlineStr">
        <is>
          <t>JÖNKÖPINGS LÄN</t>
        </is>
      </c>
      <c r="G687" t="inlineStr">
        <is>
          <t>JÖNKÖPING</t>
        </is>
      </c>
      <c r="I687" t="n">
        <v>3.5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35451-2024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45531</v>
      </c>
      <c r="E688" s="1" t="n">
        <v>46310</v>
      </c>
      <c r="F688" t="inlineStr">
        <is>
          <t>JÖNKÖPINGS LÄN</t>
        </is>
      </c>
      <c r="G688" t="inlineStr">
        <is>
          <t>JÖNKÖPING</t>
        </is>
      </c>
      <c r="I688" t="n">
        <v>1.5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17384-2025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45757</v>
      </c>
      <c r="E689" s="1" t="n">
        <v>46310</v>
      </c>
      <c r="F689" t="inlineStr">
        <is>
          <t>JÖNKÖPINGS LÄN</t>
        </is>
      </c>
      <c r="G689" t="inlineStr">
        <is>
          <t>JÖNKÖPING</t>
        </is>
      </c>
      <c r="I689" t="n">
        <v>0.5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32329-2026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46238</v>
      </c>
      <c r="E690" s="1" t="n">
        <v>46310</v>
      </c>
      <c r="F690" t="inlineStr">
        <is>
          <t>JÖNKÖPINGS LÄN</t>
        </is>
      </c>
      <c r="G690" t="inlineStr">
        <is>
          <t>JÖNKÖPING</t>
        </is>
      </c>
      <c r="I690" t="n">
        <v>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25076-2024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45462</v>
      </c>
      <c r="E691" s="1" t="n">
        <v>46310</v>
      </c>
      <c r="F691" t="inlineStr">
        <is>
          <t>JÖNKÖPINGS LÄN</t>
        </is>
      </c>
      <c r="G691" t="inlineStr">
        <is>
          <t>JÖNKÖPING</t>
        </is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47070-2023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45201</v>
      </c>
      <c r="E692" s="1" t="n">
        <v>46310</v>
      </c>
      <c r="F692" t="inlineStr">
        <is>
          <t>JÖNKÖPINGS LÄN</t>
        </is>
      </c>
      <c r="G692" t="inlineStr">
        <is>
          <t>JÖNKÖPING</t>
        </is>
      </c>
      <c r="I692" t="n">
        <v>1.2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46971-2023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45201</v>
      </c>
      <c r="E693" s="1" t="n">
        <v>46310</v>
      </c>
      <c r="F693" t="inlineStr">
        <is>
          <t>JÖNKÖPINGS LÄN</t>
        </is>
      </c>
      <c r="G693" t="inlineStr">
        <is>
          <t>JÖNKÖPING</t>
        </is>
      </c>
      <c r="I693" t="n">
        <v>2.3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23055-2022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44719</v>
      </c>
      <c r="E694" s="1" t="n">
        <v>46310</v>
      </c>
      <c r="F694" t="inlineStr">
        <is>
          <t>JÖNKÖPINGS LÄN</t>
        </is>
      </c>
      <c r="G694" t="inlineStr">
        <is>
          <t>JÖNKÖPING</t>
        </is>
      </c>
      <c r="I694" t="n">
        <v>2.7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5901-2024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45335</v>
      </c>
      <c r="E695" s="1" t="n">
        <v>46310</v>
      </c>
      <c r="F695" t="inlineStr">
        <is>
          <t>JÖNKÖPINGS LÄN</t>
        </is>
      </c>
      <c r="G695" t="inlineStr">
        <is>
          <t>JÖNKÖPING</t>
        </is>
      </c>
      <c r="H695" t="inlineStr">
        <is>
          <t>Kyrkan</t>
        </is>
      </c>
      <c r="I695" t="n">
        <v>2.1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32542-2026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46239</v>
      </c>
      <c r="E696" s="1" t="n">
        <v>46310</v>
      </c>
      <c r="F696" t="inlineStr">
        <is>
          <t>JÖNKÖPINGS LÄN</t>
        </is>
      </c>
      <c r="G696" t="inlineStr">
        <is>
          <t>JÖNKÖPING</t>
        </is>
      </c>
      <c r="I696" t="n">
        <v>2.2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26512-2023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45092</v>
      </c>
      <c r="E697" s="1" t="n">
        <v>46310</v>
      </c>
      <c r="F697" t="inlineStr">
        <is>
          <t>JÖNKÖPINGS LÄN</t>
        </is>
      </c>
      <c r="G697" t="inlineStr">
        <is>
          <t>JÖNKÖPING</t>
        </is>
      </c>
      <c r="I697" t="n">
        <v>2.5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36217-2026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46267</v>
      </c>
      <c r="E698" s="1" t="n">
        <v>46310</v>
      </c>
      <c r="F698" t="inlineStr">
        <is>
          <t>JÖNKÖPINGS LÄN</t>
        </is>
      </c>
      <c r="G698" t="inlineStr">
        <is>
          <t>JÖNKÖPING</t>
        </is>
      </c>
      <c r="I698" t="n">
        <v>7.7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28334-2023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45099</v>
      </c>
      <c r="E699" s="1" t="n">
        <v>46310</v>
      </c>
      <c r="F699" t="inlineStr">
        <is>
          <t>JÖNKÖPINGS LÄN</t>
        </is>
      </c>
      <c r="G699" t="inlineStr">
        <is>
          <t>JÖNKÖPING</t>
        </is>
      </c>
      <c r="I699" t="n">
        <v>0.9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32543-2026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46239</v>
      </c>
      <c r="E700" s="1" t="n">
        <v>46310</v>
      </c>
      <c r="F700" t="inlineStr">
        <is>
          <t>JÖNKÖPINGS LÄN</t>
        </is>
      </c>
      <c r="G700" t="inlineStr">
        <is>
          <t>JÖNKÖPING</t>
        </is>
      </c>
      <c r="I700" t="n">
        <v>4.8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38654-2026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46281</v>
      </c>
      <c r="E701" s="1" t="n">
        <v>46310</v>
      </c>
      <c r="F701" t="inlineStr">
        <is>
          <t>JÖNKÖPINGS LÄN</t>
        </is>
      </c>
      <c r="G701" t="inlineStr">
        <is>
          <t>JÖNKÖPING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2470-2023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44943</v>
      </c>
      <c r="E702" s="1" t="n">
        <v>46310</v>
      </c>
      <c r="F702" t="inlineStr">
        <is>
          <t>JÖNKÖPINGS LÄN</t>
        </is>
      </c>
      <c r="G702" t="inlineStr">
        <is>
          <t>JÖNKÖPING</t>
        </is>
      </c>
      <c r="I702" t="n">
        <v>1.8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37707-2026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46279</v>
      </c>
      <c r="E703" s="1" t="n">
        <v>46310</v>
      </c>
      <c r="F703" t="inlineStr">
        <is>
          <t>JÖNKÖPINGS LÄN</t>
        </is>
      </c>
      <c r="G703" t="inlineStr">
        <is>
          <t>JÖNKÖPING</t>
        </is>
      </c>
      <c r="H703" t="inlineStr">
        <is>
          <t>Sveaskog</t>
        </is>
      </c>
      <c r="I703" t="n">
        <v>9.1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48404-2023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45201</v>
      </c>
      <c r="E704" s="1" t="n">
        <v>46310</v>
      </c>
      <c r="F704" t="inlineStr">
        <is>
          <t>JÖNKÖPINGS LÄN</t>
        </is>
      </c>
      <c r="G704" t="inlineStr">
        <is>
          <t>JÖNKÖPING</t>
        </is>
      </c>
      <c r="H704" t="inlineStr">
        <is>
          <t>Kyrkan</t>
        </is>
      </c>
      <c r="I704" t="n">
        <v>5.4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9924-2023</t>
        </is>
      </c>
      <c r="B705" t="inlineStr">
        <is>
          <t>avverkningsanmälan</t>
        </is>
      </c>
      <c r="C705" t="inlineStr">
        <is>
          <t>Avverkning för att bevara och utveckla /försöksver</t>
        </is>
      </c>
      <c r="D705" s="1" t="n">
        <v>44985</v>
      </c>
      <c r="E705" s="1" t="n">
        <v>46310</v>
      </c>
      <c r="F705" t="inlineStr">
        <is>
          <t>JÖNKÖPINGS LÄN</t>
        </is>
      </c>
      <c r="G705" t="inlineStr">
        <is>
          <t>JÖNKÖPING</t>
        </is>
      </c>
      <c r="I705" t="n">
        <v>2.5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32851-2026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46244</v>
      </c>
      <c r="E706" s="1" t="n">
        <v>46310</v>
      </c>
      <c r="F706" t="inlineStr">
        <is>
          <t>JÖNKÖPINGS LÄN</t>
        </is>
      </c>
      <c r="G706" t="inlineStr">
        <is>
          <t>JÖNKÖPING</t>
        </is>
      </c>
      <c r="I706" t="n">
        <v>2.5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38904-2026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46286</v>
      </c>
      <c r="E707" s="1" t="n">
        <v>46310</v>
      </c>
      <c r="F707" t="inlineStr">
        <is>
          <t>JÖNKÖPINGS LÄN</t>
        </is>
      </c>
      <c r="G707" t="inlineStr">
        <is>
          <t>JÖNKÖPING</t>
        </is>
      </c>
      <c r="H707" t="inlineStr">
        <is>
          <t>Sveaskog</t>
        </is>
      </c>
      <c r="I707" t="n">
        <v>1.7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38861-2026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46286</v>
      </c>
      <c r="E708" s="1" t="n">
        <v>46310</v>
      </c>
      <c r="F708" t="inlineStr">
        <is>
          <t>JÖNKÖPINGS LÄN</t>
        </is>
      </c>
      <c r="G708" t="inlineStr">
        <is>
          <t>JÖNKÖPING</t>
        </is>
      </c>
      <c r="I708" t="n">
        <v>0.7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57180-2023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45245</v>
      </c>
      <c r="E709" s="1" t="n">
        <v>46310</v>
      </c>
      <c r="F709" t="inlineStr">
        <is>
          <t>JÖNKÖPINGS LÄN</t>
        </is>
      </c>
      <c r="G709" t="inlineStr">
        <is>
          <t>JÖNKÖPING</t>
        </is>
      </c>
      <c r="I709" t="n">
        <v>0.9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29884-2023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45107</v>
      </c>
      <c r="E710" s="1" t="n">
        <v>46310</v>
      </c>
      <c r="F710" t="inlineStr">
        <is>
          <t>JÖNKÖPINGS LÄN</t>
        </is>
      </c>
      <c r="G710" t="inlineStr">
        <is>
          <t>JÖNKÖPING</t>
        </is>
      </c>
      <c r="I710" t="n">
        <v>3.2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38790-2026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46286</v>
      </c>
      <c r="E711" s="1" t="n">
        <v>46310</v>
      </c>
      <c r="F711" t="inlineStr">
        <is>
          <t>JÖNKÖPINGS LÄN</t>
        </is>
      </c>
      <c r="G711" t="inlineStr">
        <is>
          <t>JÖNKÖPING</t>
        </is>
      </c>
      <c r="I711" t="n">
        <v>1.6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2779-2024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45314</v>
      </c>
      <c r="E712" s="1" t="n">
        <v>46310</v>
      </c>
      <c r="F712" t="inlineStr">
        <is>
          <t>JÖNKÖPINGS LÄN</t>
        </is>
      </c>
      <c r="G712" t="inlineStr">
        <is>
          <t>JÖNKÖPING</t>
        </is>
      </c>
      <c r="I712" t="n">
        <v>1.6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282-2024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45295</v>
      </c>
      <c r="E713" s="1" t="n">
        <v>46310</v>
      </c>
      <c r="F713" t="inlineStr">
        <is>
          <t>JÖNKÖPINGS LÄN</t>
        </is>
      </c>
      <c r="G713" t="inlineStr">
        <is>
          <t>JÖNKÖPING</t>
        </is>
      </c>
      <c r="H713" t="inlineStr">
        <is>
          <t>Sveaskog</t>
        </is>
      </c>
      <c r="I713" t="n">
        <v>1.2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38883-2026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46286</v>
      </c>
      <c r="E714" s="1" t="n">
        <v>46310</v>
      </c>
      <c r="F714" t="inlineStr">
        <is>
          <t>JÖNKÖPINGS LÄN</t>
        </is>
      </c>
      <c r="G714" t="inlineStr">
        <is>
          <t>JÖNKÖPING</t>
        </is>
      </c>
      <c r="I714" t="n">
        <v>5.9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36147-2024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45534</v>
      </c>
      <c r="E715" s="1" t="n">
        <v>46310</v>
      </c>
      <c r="F715" t="inlineStr">
        <is>
          <t>JÖNKÖPINGS LÄN</t>
        </is>
      </c>
      <c r="G715" t="inlineStr">
        <is>
          <t>JÖNKÖPING</t>
        </is>
      </c>
      <c r="I715" t="n">
        <v>0.8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54394-2024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45617</v>
      </c>
      <c r="E716" s="1" t="n">
        <v>46310</v>
      </c>
      <c r="F716" t="inlineStr">
        <is>
          <t>JÖNKÖPINGS LÄN</t>
        </is>
      </c>
      <c r="G716" t="inlineStr">
        <is>
          <t>JÖNKÖPING</t>
        </is>
      </c>
      <c r="I716" t="n">
        <v>0.5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216-2022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44564</v>
      </c>
      <c r="E717" s="1" t="n">
        <v>46310</v>
      </c>
      <c r="F717" t="inlineStr">
        <is>
          <t>JÖNKÖPINGS LÄN</t>
        </is>
      </c>
      <c r="G717" t="inlineStr">
        <is>
          <t>JÖNKÖPING</t>
        </is>
      </c>
      <c r="I717" t="n">
        <v>2.1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12042-2024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45377</v>
      </c>
      <c r="E718" s="1" t="n">
        <v>46310</v>
      </c>
      <c r="F718" t="inlineStr">
        <is>
          <t>JÖNKÖPINGS LÄN</t>
        </is>
      </c>
      <c r="G718" t="inlineStr">
        <is>
          <t>JÖNKÖPING</t>
        </is>
      </c>
      <c r="I718" t="n">
        <v>4.8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51188-2023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45219</v>
      </c>
      <c r="E719" s="1" t="n">
        <v>46310</v>
      </c>
      <c r="F719" t="inlineStr">
        <is>
          <t>JÖNKÖPINGS LÄN</t>
        </is>
      </c>
      <c r="G719" t="inlineStr">
        <is>
          <t>JÖNKÖPING</t>
        </is>
      </c>
      <c r="I719" t="n">
        <v>1.2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9883-2024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45363</v>
      </c>
      <c r="E720" s="1" t="n">
        <v>46310</v>
      </c>
      <c r="F720" t="inlineStr">
        <is>
          <t>JÖNKÖPINGS LÄN</t>
        </is>
      </c>
      <c r="G720" t="inlineStr">
        <is>
          <t>JÖNKÖPING</t>
        </is>
      </c>
      <c r="I720" t="n">
        <v>0.7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56051-2023</t>
        </is>
      </c>
      <c r="B721" t="inlineStr">
        <is>
          <t>avverkningsanmälan</t>
        </is>
      </c>
      <c r="C721" t="inlineStr">
        <is>
          <t>Avverkning för annat ändamål</t>
        </is>
      </c>
      <c r="D721" s="1" t="n">
        <v>45240</v>
      </c>
      <c r="E721" s="1" t="n">
        <v>46310</v>
      </c>
      <c r="F721" t="inlineStr">
        <is>
          <t>JÖNKÖPINGS LÄN</t>
        </is>
      </c>
      <c r="G721" t="inlineStr">
        <is>
          <t>JÖNKÖPING</t>
        </is>
      </c>
      <c r="I721" t="n">
        <v>1.3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6634-2023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44966</v>
      </c>
      <c r="E722" s="1" t="n">
        <v>46310</v>
      </c>
      <c r="F722" t="inlineStr">
        <is>
          <t>JÖNKÖPINGS LÄN</t>
        </is>
      </c>
      <c r="G722" t="inlineStr">
        <is>
          <t>JÖNKÖPING</t>
        </is>
      </c>
      <c r="H722" t="inlineStr">
        <is>
          <t>Kyrkan</t>
        </is>
      </c>
      <c r="I722" t="n">
        <v>2.9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45408-2023</t>
        </is>
      </c>
      <c r="B723" t="inlineStr">
        <is>
          <t>avverkningsanmälan</t>
        </is>
      </c>
      <c r="C723" t="inlineStr">
        <is>
          <t>Avverkning för annat ändamål</t>
        </is>
      </c>
      <c r="D723" s="1" t="n">
        <v>45194</v>
      </c>
      <c r="E723" s="1" t="n">
        <v>46310</v>
      </c>
      <c r="F723" t="inlineStr">
        <is>
          <t>JÖNKÖPINGS LÄN</t>
        </is>
      </c>
      <c r="G723" t="inlineStr">
        <is>
          <t>JÖNKÖPING</t>
        </is>
      </c>
      <c r="I723" t="n">
        <v>0.5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30583-2023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45112</v>
      </c>
      <c r="E724" s="1" t="n">
        <v>46310</v>
      </c>
      <c r="F724" t="inlineStr">
        <is>
          <t>JÖNKÖPINGS LÄN</t>
        </is>
      </c>
      <c r="G724" t="inlineStr">
        <is>
          <t>JÖNKÖPING</t>
        </is>
      </c>
      <c r="I724" t="n">
        <v>0.7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29880-2023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45107</v>
      </c>
      <c r="E725" s="1" t="n">
        <v>46310</v>
      </c>
      <c r="F725" t="inlineStr">
        <is>
          <t>JÖNKÖPINGS LÄN</t>
        </is>
      </c>
      <c r="G725" t="inlineStr">
        <is>
          <t>JÖNKÖPING</t>
        </is>
      </c>
      <c r="I725" t="n">
        <v>1.5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15134-2023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45015</v>
      </c>
      <c r="E726" s="1" t="n">
        <v>46310</v>
      </c>
      <c r="F726" t="inlineStr">
        <is>
          <t>JÖNKÖPINGS LÄN</t>
        </is>
      </c>
      <c r="G726" t="inlineStr">
        <is>
          <t>JÖNKÖPING</t>
        </is>
      </c>
      <c r="I726" t="n">
        <v>0.5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59218-2022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44904</v>
      </c>
      <c r="E727" s="1" t="n">
        <v>46310</v>
      </c>
      <c r="F727" t="inlineStr">
        <is>
          <t>JÖNKÖPINGS LÄN</t>
        </is>
      </c>
      <c r="G727" t="inlineStr">
        <is>
          <t>JÖNKÖPING</t>
        </is>
      </c>
      <c r="I727" t="n">
        <v>1.2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19356-2023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45049</v>
      </c>
      <c r="E728" s="1" t="n">
        <v>46310</v>
      </c>
      <c r="F728" t="inlineStr">
        <is>
          <t>JÖNKÖPINGS LÄN</t>
        </is>
      </c>
      <c r="G728" t="inlineStr">
        <is>
          <t>JÖNKÖPING</t>
        </is>
      </c>
      <c r="I728" t="n">
        <v>1.8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6458-2024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45338</v>
      </c>
      <c r="E729" s="1" t="n">
        <v>46310</v>
      </c>
      <c r="F729" t="inlineStr">
        <is>
          <t>JÖNKÖPINGS LÄN</t>
        </is>
      </c>
      <c r="G729" t="inlineStr">
        <is>
          <t>JÖNKÖPING</t>
        </is>
      </c>
      <c r="H729" t="inlineStr">
        <is>
          <t>Kyrkan</t>
        </is>
      </c>
      <c r="I729" t="n">
        <v>1.9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32866-2026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46244</v>
      </c>
      <c r="E730" s="1" t="n">
        <v>46310</v>
      </c>
      <c r="F730" t="inlineStr">
        <is>
          <t>JÖNKÖPINGS LÄN</t>
        </is>
      </c>
      <c r="G730" t="inlineStr">
        <is>
          <t>JÖNKÖPING</t>
        </is>
      </c>
      <c r="I730" t="n">
        <v>1.4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38910-2026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46286</v>
      </c>
      <c r="E731" s="1" t="n">
        <v>46310</v>
      </c>
      <c r="F731" t="inlineStr">
        <is>
          <t>JÖNKÖPINGS LÄN</t>
        </is>
      </c>
      <c r="G731" t="inlineStr">
        <is>
          <t>JÖNKÖPING</t>
        </is>
      </c>
      <c r="H731" t="inlineStr">
        <is>
          <t>Sveaskog</t>
        </is>
      </c>
      <c r="I731" t="n">
        <v>0.8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32836-2026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46244</v>
      </c>
      <c r="E732" s="1" t="n">
        <v>46310</v>
      </c>
      <c r="F732" t="inlineStr">
        <is>
          <t>JÖNKÖPINGS LÄN</t>
        </is>
      </c>
      <c r="G732" t="inlineStr">
        <is>
          <t>JÖNKÖPING</t>
        </is>
      </c>
      <c r="I732" t="n">
        <v>2.5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38862-2026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46286</v>
      </c>
      <c r="E733" s="1" t="n">
        <v>46310</v>
      </c>
      <c r="F733" t="inlineStr">
        <is>
          <t>JÖNKÖPINGS LÄN</t>
        </is>
      </c>
      <c r="G733" t="inlineStr">
        <is>
          <t>JÖNKÖPING</t>
        </is>
      </c>
      <c r="I733" t="n">
        <v>1.1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56747-2022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44894</v>
      </c>
      <c r="E734" s="1" t="n">
        <v>46310</v>
      </c>
      <c r="F734" t="inlineStr">
        <is>
          <t>JÖNKÖPINGS LÄN</t>
        </is>
      </c>
      <c r="G734" t="inlineStr">
        <is>
          <t>JÖNKÖPING</t>
        </is>
      </c>
      <c r="I734" t="n">
        <v>2.6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56569-2022</t>
        </is>
      </c>
      <c r="B735" t="inlineStr">
        <is>
          <t>avverkningsanmälan</t>
        </is>
      </c>
      <c r="C735" t="inlineStr">
        <is>
          <t>Avverkning för att bevara och utveckla /försöksver</t>
        </is>
      </c>
      <c r="D735" s="1" t="n">
        <v>44893</v>
      </c>
      <c r="E735" s="1" t="n">
        <v>46310</v>
      </c>
      <c r="F735" t="inlineStr">
        <is>
          <t>JÖNKÖPINGS LÄN</t>
        </is>
      </c>
      <c r="G735" t="inlineStr">
        <is>
          <t>JÖNKÖPING</t>
        </is>
      </c>
      <c r="H735" t="inlineStr">
        <is>
          <t>Sveaskog</t>
        </is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7177-2022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44605</v>
      </c>
      <c r="E736" s="1" t="n">
        <v>46310</v>
      </c>
      <c r="F736" t="inlineStr">
        <is>
          <t>JÖNKÖPINGS LÄN</t>
        </is>
      </c>
      <c r="G736" t="inlineStr">
        <is>
          <t>JÖNKÖPING</t>
        </is>
      </c>
      <c r="I736" t="n">
        <v>1.9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46460-2023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45197</v>
      </c>
      <c r="E737" s="1" t="n">
        <v>46310</v>
      </c>
      <c r="F737" t="inlineStr">
        <is>
          <t>JÖNKÖPINGS LÄN</t>
        </is>
      </c>
      <c r="G737" t="inlineStr">
        <is>
          <t>JÖNKÖPING</t>
        </is>
      </c>
      <c r="H737" t="inlineStr">
        <is>
          <t>Sveaskog</t>
        </is>
      </c>
      <c r="I737" t="n">
        <v>0.7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16214-2024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45406</v>
      </c>
      <c r="E738" s="1" t="n">
        <v>46310</v>
      </c>
      <c r="F738" t="inlineStr">
        <is>
          <t>JÖNKÖPINGS LÄN</t>
        </is>
      </c>
      <c r="G738" t="inlineStr">
        <is>
          <t>JÖNKÖPING</t>
        </is>
      </c>
      <c r="I738" t="n">
        <v>0.3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9897-2023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44985</v>
      </c>
      <c r="E739" s="1" t="n">
        <v>46310</v>
      </c>
      <c r="F739" t="inlineStr">
        <is>
          <t>JÖNKÖPINGS LÄN</t>
        </is>
      </c>
      <c r="G739" t="inlineStr">
        <is>
          <t>JÖNKÖPING</t>
        </is>
      </c>
      <c r="I739" t="n">
        <v>0.7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19665-2023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45051</v>
      </c>
      <c r="E740" s="1" t="n">
        <v>46310</v>
      </c>
      <c r="F740" t="inlineStr">
        <is>
          <t>JÖNKÖPINGS LÄN</t>
        </is>
      </c>
      <c r="G740" t="inlineStr">
        <is>
          <t>JÖNKÖPING</t>
        </is>
      </c>
      <c r="I740" t="n">
        <v>0.9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57715-2021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44484</v>
      </c>
      <c r="E741" s="1" t="n">
        <v>46310</v>
      </c>
      <c r="F741" t="inlineStr">
        <is>
          <t>JÖNKÖPINGS LÄN</t>
        </is>
      </c>
      <c r="G741" t="inlineStr">
        <is>
          <t>JÖNKÖPING</t>
        </is>
      </c>
      <c r="I741" t="n">
        <v>0.8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7847-2025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45706</v>
      </c>
      <c r="E742" s="1" t="n">
        <v>46310</v>
      </c>
      <c r="F742" t="inlineStr">
        <is>
          <t>JÖNKÖPINGS LÄN</t>
        </is>
      </c>
      <c r="G742" t="inlineStr">
        <is>
          <t>JÖNKÖPING</t>
        </is>
      </c>
      <c r="H742" t="inlineStr">
        <is>
          <t>Sveaskog</t>
        </is>
      </c>
      <c r="I742" t="n">
        <v>0.8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1780-2025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45671</v>
      </c>
      <c r="E743" s="1" t="n">
        <v>46310</v>
      </c>
      <c r="F743" t="inlineStr">
        <is>
          <t>JÖNKÖPINGS LÄN</t>
        </is>
      </c>
      <c r="G743" t="inlineStr">
        <is>
          <t>JÖNKÖPING</t>
        </is>
      </c>
      <c r="I743" t="n">
        <v>1.4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7401-2025</t>
        </is>
      </c>
      <c r="B744" t="inlineStr">
        <is>
          <t>avverkningsanmälan</t>
        </is>
      </c>
      <c r="C744" t="inlineStr">
        <is>
          <t>Avverkning för annat ändamål</t>
        </is>
      </c>
      <c r="D744" s="1" t="n">
        <v>45705</v>
      </c>
      <c r="E744" s="1" t="n">
        <v>46310</v>
      </c>
      <c r="F744" t="inlineStr">
        <is>
          <t>JÖNKÖPINGS LÄN</t>
        </is>
      </c>
      <c r="G744" t="inlineStr">
        <is>
          <t>JÖNKÖPING</t>
        </is>
      </c>
      <c r="I744" t="n">
        <v>1.1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33305-2026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46246</v>
      </c>
      <c r="E745" s="1" t="n">
        <v>46310</v>
      </c>
      <c r="F745" t="inlineStr">
        <is>
          <t>JÖNKÖPINGS LÄN</t>
        </is>
      </c>
      <c r="G745" t="inlineStr">
        <is>
          <t>JÖNKÖPING</t>
        </is>
      </c>
      <c r="I745" t="n">
        <v>0.7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14228-2025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45740</v>
      </c>
      <c r="E746" s="1" t="n">
        <v>46310</v>
      </c>
      <c r="F746" t="inlineStr">
        <is>
          <t>JÖNKÖPINGS LÄN</t>
        </is>
      </c>
      <c r="G746" t="inlineStr">
        <is>
          <t>JÖNKÖPING</t>
        </is>
      </c>
      <c r="I746" t="n">
        <v>2.6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37889-2026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46279</v>
      </c>
      <c r="E747" s="1" t="n">
        <v>46310</v>
      </c>
      <c r="F747" t="inlineStr">
        <is>
          <t>JÖNKÖPINGS LÄN</t>
        </is>
      </c>
      <c r="G747" t="inlineStr">
        <is>
          <t>JÖNKÖPING</t>
        </is>
      </c>
      <c r="H747" t="inlineStr">
        <is>
          <t>Sveaskog</t>
        </is>
      </c>
      <c r="I747" t="n">
        <v>5.6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33308-2026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46246</v>
      </c>
      <c r="E748" s="1" t="n">
        <v>46310</v>
      </c>
      <c r="F748" t="inlineStr">
        <is>
          <t>JÖNKÖPINGS LÄN</t>
        </is>
      </c>
      <c r="G748" t="inlineStr">
        <is>
          <t>JÖNKÖPING</t>
        </is>
      </c>
      <c r="I748" t="n">
        <v>4.6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33309-2026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46246</v>
      </c>
      <c r="E749" s="1" t="n">
        <v>46310</v>
      </c>
      <c r="F749" t="inlineStr">
        <is>
          <t>JÖNKÖPINGS LÄN</t>
        </is>
      </c>
      <c r="G749" t="inlineStr">
        <is>
          <t>JÖNKÖPING</t>
        </is>
      </c>
      <c r="I749" t="n">
        <v>2.6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5661-2025</t>
        </is>
      </c>
      <c r="B750" t="inlineStr">
        <is>
          <t>avverkningsanmälan</t>
        </is>
      </c>
      <c r="C750" t="inlineStr">
        <is>
          <t>Avverkning för annat ändamål</t>
        </is>
      </c>
      <c r="D750" s="1" t="n">
        <v>45693</v>
      </c>
      <c r="E750" s="1" t="n">
        <v>46310</v>
      </c>
      <c r="F750" t="inlineStr">
        <is>
          <t>JÖNKÖPINGS LÄN</t>
        </is>
      </c>
      <c r="G750" t="inlineStr">
        <is>
          <t>JÖNKÖPING</t>
        </is>
      </c>
      <c r="I750" t="n">
        <v>0.9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14227-2023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45009</v>
      </c>
      <c r="E751" s="1" t="n">
        <v>46310</v>
      </c>
      <c r="F751" t="inlineStr">
        <is>
          <t>JÖNKÖPINGS LÄN</t>
        </is>
      </c>
      <c r="G751" t="inlineStr">
        <is>
          <t>JÖNKÖPING</t>
        </is>
      </c>
      <c r="I751" t="n">
        <v>1.3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33256-2023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45127</v>
      </c>
      <c r="E752" s="1" t="n">
        <v>46310</v>
      </c>
      <c r="F752" t="inlineStr">
        <is>
          <t>JÖNKÖPINGS LÄN</t>
        </is>
      </c>
      <c r="G752" t="inlineStr">
        <is>
          <t>JÖNKÖPING</t>
        </is>
      </c>
      <c r="I752" t="n">
        <v>7.1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39844-2026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46290</v>
      </c>
      <c r="E753" s="1" t="n">
        <v>46310</v>
      </c>
      <c r="F753" t="inlineStr">
        <is>
          <t>JÖNKÖPINGS LÄN</t>
        </is>
      </c>
      <c r="G753" t="inlineStr">
        <is>
          <t>JÖNKÖPING</t>
        </is>
      </c>
      <c r="H753" t="inlineStr">
        <is>
          <t>Sveaskog</t>
        </is>
      </c>
      <c r="I753" t="n">
        <v>0.6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17203-2022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44677</v>
      </c>
      <c r="E754" s="1" t="n">
        <v>46310</v>
      </c>
      <c r="F754" t="inlineStr">
        <is>
          <t>JÖNKÖPINGS LÄN</t>
        </is>
      </c>
      <c r="G754" t="inlineStr">
        <is>
          <t>JÖNKÖPING</t>
        </is>
      </c>
      <c r="I754" t="n">
        <v>1.1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17362-2025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45756</v>
      </c>
      <c r="E755" s="1" t="n">
        <v>46310</v>
      </c>
      <c r="F755" t="inlineStr">
        <is>
          <t>JÖNKÖPINGS LÄN</t>
        </is>
      </c>
      <c r="G755" t="inlineStr">
        <is>
          <t>JÖNKÖPING</t>
        </is>
      </c>
      <c r="I755" t="n">
        <v>1.8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33527-2026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46248</v>
      </c>
      <c r="E756" s="1" t="n">
        <v>46310</v>
      </c>
      <c r="F756" t="inlineStr">
        <is>
          <t>JÖNKÖPINGS LÄN</t>
        </is>
      </c>
      <c r="G756" t="inlineStr">
        <is>
          <t>JÖNKÖPING</t>
        </is>
      </c>
      <c r="I756" t="n">
        <v>2.3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39849-2026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46290</v>
      </c>
      <c r="E757" s="1" t="n">
        <v>46310</v>
      </c>
      <c r="F757" t="inlineStr">
        <is>
          <t>JÖNKÖPINGS LÄN</t>
        </is>
      </c>
      <c r="G757" t="inlineStr">
        <is>
          <t>JÖNKÖPING</t>
        </is>
      </c>
      <c r="H757" t="inlineStr">
        <is>
          <t>Sveaskog</t>
        </is>
      </c>
      <c r="I757" t="n">
        <v>9.300000000000001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4309-2024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45324</v>
      </c>
      <c r="E758" s="1" t="n">
        <v>46310</v>
      </c>
      <c r="F758" t="inlineStr">
        <is>
          <t>JÖNKÖPINGS LÄN</t>
        </is>
      </c>
      <c r="G758" t="inlineStr">
        <is>
          <t>JÖNKÖPING</t>
        </is>
      </c>
      <c r="H758" t="inlineStr">
        <is>
          <t>Kyrkan</t>
        </is>
      </c>
      <c r="I758" t="n">
        <v>1.7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4311-2024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45324</v>
      </c>
      <c r="E759" s="1" t="n">
        <v>46310</v>
      </c>
      <c r="F759" t="inlineStr">
        <is>
          <t>JÖNKÖPINGS LÄN</t>
        </is>
      </c>
      <c r="G759" t="inlineStr">
        <is>
          <t>JÖNKÖPING</t>
        </is>
      </c>
      <c r="H759" t="inlineStr">
        <is>
          <t>Kyrkan</t>
        </is>
      </c>
      <c r="I759" t="n">
        <v>2.8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1782-2025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45671</v>
      </c>
      <c r="E760" s="1" t="n">
        <v>46310</v>
      </c>
      <c r="F760" t="inlineStr">
        <is>
          <t>JÖNKÖPINGS LÄN</t>
        </is>
      </c>
      <c r="G760" t="inlineStr">
        <is>
          <t>JÖNKÖPING</t>
        </is>
      </c>
      <c r="I760" t="n">
        <v>0.7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39979-2026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46293</v>
      </c>
      <c r="E761" s="1" t="n">
        <v>46310</v>
      </c>
      <c r="F761" t="inlineStr">
        <is>
          <t>JÖNKÖPINGS LÄN</t>
        </is>
      </c>
      <c r="G761" t="inlineStr">
        <is>
          <t>JÖNKÖPING</t>
        </is>
      </c>
      <c r="H761" t="inlineStr">
        <is>
          <t>Sveaskog</t>
        </is>
      </c>
      <c r="I761" t="n">
        <v>4.1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17299-2024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45414</v>
      </c>
      <c r="E762" s="1" t="n">
        <v>46310</v>
      </c>
      <c r="F762" t="inlineStr">
        <is>
          <t>JÖNKÖPINGS LÄN</t>
        </is>
      </c>
      <c r="G762" t="inlineStr">
        <is>
          <t>JÖNKÖPING</t>
        </is>
      </c>
      <c r="I762" t="n">
        <v>0.7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18069-2025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45761</v>
      </c>
      <c r="E763" s="1" t="n">
        <v>46310</v>
      </c>
      <c r="F763" t="inlineStr">
        <is>
          <t>JÖNKÖPINGS LÄN</t>
        </is>
      </c>
      <c r="G763" t="inlineStr">
        <is>
          <t>JÖNKÖPING</t>
        </is>
      </c>
      <c r="I763" t="n">
        <v>2.6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39850-2026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46290</v>
      </c>
      <c r="E764" s="1" t="n">
        <v>46310</v>
      </c>
      <c r="F764" t="inlineStr">
        <is>
          <t>JÖNKÖPINGS LÄN</t>
        </is>
      </c>
      <c r="G764" t="inlineStr">
        <is>
          <t>JÖNKÖPING</t>
        </is>
      </c>
      <c r="H764" t="inlineStr">
        <is>
          <t>Sveaskog</t>
        </is>
      </c>
      <c r="I764" t="n">
        <v>9.5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39847-2026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46290</v>
      </c>
      <c r="E765" s="1" t="n">
        <v>46310</v>
      </c>
      <c r="F765" t="inlineStr">
        <is>
          <t>JÖNKÖPINGS LÄN</t>
        </is>
      </c>
      <c r="G765" t="inlineStr">
        <is>
          <t>JÖNKÖPING</t>
        </is>
      </c>
      <c r="H765" t="inlineStr">
        <is>
          <t>Sveaskog</t>
        </is>
      </c>
      <c r="I765" t="n">
        <v>0.9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27246-2022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44741</v>
      </c>
      <c r="E766" s="1" t="n">
        <v>46310</v>
      </c>
      <c r="F766" t="inlineStr">
        <is>
          <t>JÖNKÖPINGS LÄN</t>
        </is>
      </c>
      <c r="G766" t="inlineStr">
        <is>
          <t>JÖNKÖPING</t>
        </is>
      </c>
      <c r="I766" t="n">
        <v>3.2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33363-2026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46247</v>
      </c>
      <c r="E767" s="1" t="n">
        <v>46310</v>
      </c>
      <c r="F767" t="inlineStr">
        <is>
          <t>JÖNKÖPINGS LÄN</t>
        </is>
      </c>
      <c r="G767" t="inlineStr">
        <is>
          <t>JÖNKÖPING</t>
        </is>
      </c>
      <c r="I767" t="n">
        <v>2.3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52058-2023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45223</v>
      </c>
      <c r="E768" s="1" t="n">
        <v>46310</v>
      </c>
      <c r="F768" t="inlineStr">
        <is>
          <t>JÖNKÖPINGS LÄN</t>
        </is>
      </c>
      <c r="G768" t="inlineStr">
        <is>
          <t>JÖNKÖPING</t>
        </is>
      </c>
      <c r="I768" t="n">
        <v>0.6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40455-2026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46293</v>
      </c>
      <c r="E769" s="1" t="n">
        <v>46310</v>
      </c>
      <c r="F769" t="inlineStr">
        <is>
          <t>JÖNKÖPINGS LÄN</t>
        </is>
      </c>
      <c r="G769" t="inlineStr">
        <is>
          <t>JÖNKÖPING</t>
        </is>
      </c>
      <c r="I769" t="n">
        <v>3.8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37503-2024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45541</v>
      </c>
      <c r="E770" s="1" t="n">
        <v>46310</v>
      </c>
      <c r="F770" t="inlineStr">
        <is>
          <t>JÖNKÖPINGS LÄN</t>
        </is>
      </c>
      <c r="G770" t="inlineStr">
        <is>
          <t>JÖNKÖPING</t>
        </is>
      </c>
      <c r="I770" t="n">
        <v>0.6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20384-2024</t>
        </is>
      </c>
      <c r="B771" t="inlineStr">
        <is>
          <t>avverkningsanmälan</t>
        </is>
      </c>
      <c r="C771" t="inlineStr">
        <is>
          <t>Avverkning för annat ändamål</t>
        </is>
      </c>
      <c r="D771" s="1" t="n">
        <v>45435</v>
      </c>
      <c r="E771" s="1" t="n">
        <v>46310</v>
      </c>
      <c r="F771" t="inlineStr">
        <is>
          <t>JÖNKÖPINGS LÄN</t>
        </is>
      </c>
      <c r="G771" t="inlineStr">
        <is>
          <t>JÖNKÖPING</t>
        </is>
      </c>
      <c r="H771" t="inlineStr">
        <is>
          <t>Kyrkan</t>
        </is>
      </c>
      <c r="I771" t="n">
        <v>0.2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40557-2026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46294</v>
      </c>
      <c r="E772" s="1" t="n">
        <v>46310</v>
      </c>
      <c r="F772" t="inlineStr">
        <is>
          <t>JÖNKÖPINGS LÄN</t>
        </is>
      </c>
      <c r="G772" t="inlineStr">
        <is>
          <t>JÖNKÖPING</t>
        </is>
      </c>
      <c r="I772" t="n">
        <v>0.3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40294-2026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46294</v>
      </c>
      <c r="E773" s="1" t="n">
        <v>46310</v>
      </c>
      <c r="F773" t="inlineStr">
        <is>
          <t>JÖNKÖPINGS LÄN</t>
        </is>
      </c>
      <c r="G773" t="inlineStr">
        <is>
          <t>JÖNKÖPING</t>
        </is>
      </c>
      <c r="I773" t="n">
        <v>3.4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6970-2023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44967</v>
      </c>
      <c r="E774" s="1" t="n">
        <v>46310</v>
      </c>
      <c r="F774" t="inlineStr">
        <is>
          <t>JÖNKÖPINGS LÄN</t>
        </is>
      </c>
      <c r="G774" t="inlineStr">
        <is>
          <t>JÖNKÖPING</t>
        </is>
      </c>
      <c r="I774" t="n">
        <v>2.3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34038-2026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46252</v>
      </c>
      <c r="E775" s="1" t="n">
        <v>46310</v>
      </c>
      <c r="F775" t="inlineStr">
        <is>
          <t>JÖNKÖPINGS LÄN</t>
        </is>
      </c>
      <c r="G775" t="inlineStr">
        <is>
          <t>JÖNKÖPING</t>
        </is>
      </c>
      <c r="I775" t="n">
        <v>2.2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40548-2026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46294</v>
      </c>
      <c r="E776" s="1" t="n">
        <v>46310</v>
      </c>
      <c r="F776" t="inlineStr">
        <is>
          <t>JÖNKÖPINGS LÄN</t>
        </is>
      </c>
      <c r="G776" t="inlineStr">
        <is>
          <t>JÖNKÖPING</t>
        </is>
      </c>
      <c r="I776" t="n">
        <v>0.9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26208-2022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44734</v>
      </c>
      <c r="E777" s="1" t="n">
        <v>46310</v>
      </c>
      <c r="F777" t="inlineStr">
        <is>
          <t>JÖNKÖPINGS LÄN</t>
        </is>
      </c>
      <c r="G777" t="inlineStr">
        <is>
          <t>JÖNKÖPING</t>
        </is>
      </c>
      <c r="H777" t="inlineStr">
        <is>
          <t>Kyrkan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40477-2026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46295</v>
      </c>
      <c r="E778" s="1" t="n">
        <v>46310</v>
      </c>
      <c r="F778" t="inlineStr">
        <is>
          <t>JÖNKÖPINGS LÄN</t>
        </is>
      </c>
      <c r="G778" t="inlineStr">
        <is>
          <t>JÖNKÖPING</t>
        </is>
      </c>
      <c r="H778" t="inlineStr">
        <is>
          <t>Sveaskog</t>
        </is>
      </c>
      <c r="I778" t="n">
        <v>5.4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15315-2025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45747</v>
      </c>
      <c r="E779" s="1" t="n">
        <v>46310</v>
      </c>
      <c r="F779" t="inlineStr">
        <is>
          <t>JÖNKÖPINGS LÄN</t>
        </is>
      </c>
      <c r="G779" t="inlineStr">
        <is>
          <t>JÖNKÖPING</t>
        </is>
      </c>
      <c r="I779" t="n">
        <v>1.9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35949-2024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45533</v>
      </c>
      <c r="E780" s="1" t="n">
        <v>46310</v>
      </c>
      <c r="F780" t="inlineStr">
        <is>
          <t>JÖNKÖPINGS LÄN</t>
        </is>
      </c>
      <c r="G780" t="inlineStr">
        <is>
          <t>JÖNKÖPING</t>
        </is>
      </c>
      <c r="I780" t="n">
        <v>2.6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40826-2026</t>
        </is>
      </c>
      <c r="B781" t="inlineStr">
        <is>
          <t>avverkningsanmälan</t>
        </is>
      </c>
      <c r="C781" t="inlineStr">
        <is>
          <t>Avverkning för annat ändamål</t>
        </is>
      </c>
      <c r="D781" s="1" t="n">
        <v>46295</v>
      </c>
      <c r="E781" s="1" t="n">
        <v>46310</v>
      </c>
      <c r="F781" t="inlineStr">
        <is>
          <t>JÖNKÖPINGS LÄN</t>
        </is>
      </c>
      <c r="G781" t="inlineStr">
        <is>
          <t>JÖNKÖPING</t>
        </is>
      </c>
      <c r="I781" t="n">
        <v>2.3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32841-2026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46244</v>
      </c>
      <c r="E782" s="1" t="n">
        <v>46310</v>
      </c>
      <c r="F782" t="inlineStr">
        <is>
          <t>JÖNKÖPINGS LÄN</t>
        </is>
      </c>
      <c r="G782" t="inlineStr">
        <is>
          <t>JÖNKÖPING</t>
        </is>
      </c>
      <c r="I782" t="n">
        <v>1.8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58437-2024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45635</v>
      </c>
      <c r="E783" s="1" t="n">
        <v>46310</v>
      </c>
      <c r="F783" t="inlineStr">
        <is>
          <t>JÖNKÖPINGS LÄN</t>
        </is>
      </c>
      <c r="G783" t="inlineStr">
        <is>
          <t>JÖNKÖPING</t>
        </is>
      </c>
      <c r="I783" t="n">
        <v>0.5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37510-2024</t>
        </is>
      </c>
      <c r="B784" t="inlineStr">
        <is>
          <t>avverkningsanmälan</t>
        </is>
      </c>
      <c r="C784" t="inlineStr">
        <is>
          <t>Avverkning för annat ändamål</t>
        </is>
      </c>
      <c r="D784" s="1" t="n">
        <v>45541</v>
      </c>
      <c r="E784" s="1" t="n">
        <v>46310</v>
      </c>
      <c r="F784" t="inlineStr">
        <is>
          <t>JÖNKÖPINGS LÄN</t>
        </is>
      </c>
      <c r="G784" t="inlineStr">
        <is>
          <t>JÖNKÖPING</t>
        </is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47067-2023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45201</v>
      </c>
      <c r="E785" s="1" t="n">
        <v>46310</v>
      </c>
      <c r="F785" t="inlineStr">
        <is>
          <t>JÖNKÖPINGS LÄN</t>
        </is>
      </c>
      <c r="G785" t="inlineStr">
        <is>
          <t>JÖNKÖPING</t>
        </is>
      </c>
      <c r="I785" t="n">
        <v>2.4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6663-2024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45341</v>
      </c>
      <c r="E786" s="1" t="n">
        <v>46310</v>
      </c>
      <c r="F786" t="inlineStr">
        <is>
          <t>JÖNKÖPINGS LÄN</t>
        </is>
      </c>
      <c r="G786" t="inlineStr">
        <is>
          <t>JÖNKÖPING</t>
        </is>
      </c>
      <c r="I786" t="n">
        <v>1.3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3516-2023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44950</v>
      </c>
      <c r="E787" s="1" t="n">
        <v>46310</v>
      </c>
      <c r="F787" t="inlineStr">
        <is>
          <t>JÖNKÖPINGS LÄN</t>
        </is>
      </c>
      <c r="G787" t="inlineStr">
        <is>
          <t>JÖNKÖPING</t>
        </is>
      </c>
      <c r="I787" t="n">
        <v>0.7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28337-2023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45099</v>
      </c>
      <c r="E788" s="1" t="n">
        <v>46310</v>
      </c>
      <c r="F788" t="inlineStr">
        <is>
          <t>JÖNKÖPINGS LÄN</t>
        </is>
      </c>
      <c r="G788" t="inlineStr">
        <is>
          <t>JÖNKÖPING</t>
        </is>
      </c>
      <c r="I788" t="n">
        <v>0.5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3746-2025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45681</v>
      </c>
      <c r="E789" s="1" t="n">
        <v>46310</v>
      </c>
      <c r="F789" t="inlineStr">
        <is>
          <t>JÖNKÖPINGS LÄN</t>
        </is>
      </c>
      <c r="G789" t="inlineStr">
        <is>
          <t>JÖNKÖPING</t>
        </is>
      </c>
      <c r="I789" t="n">
        <v>1.9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9604-2025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45715</v>
      </c>
      <c r="E790" s="1" t="n">
        <v>46310</v>
      </c>
      <c r="F790" t="inlineStr">
        <is>
          <t>JÖNKÖPINGS LÄN</t>
        </is>
      </c>
      <c r="G790" t="inlineStr">
        <is>
          <t>JÖNKÖPING</t>
        </is>
      </c>
      <c r="I790" t="n">
        <v>1.5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10760-2022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44627</v>
      </c>
      <c r="E791" s="1" t="n">
        <v>46310</v>
      </c>
      <c r="F791" t="inlineStr">
        <is>
          <t>JÖNKÖPINGS LÄN</t>
        </is>
      </c>
      <c r="G791" t="inlineStr">
        <is>
          <t>JÖNKÖPING</t>
        </is>
      </c>
      <c r="I791" t="n">
        <v>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20425-2023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45056</v>
      </c>
      <c r="E792" s="1" t="n">
        <v>46310</v>
      </c>
      <c r="F792" t="inlineStr">
        <is>
          <t>JÖNKÖPINGS LÄN</t>
        </is>
      </c>
      <c r="G792" t="inlineStr">
        <is>
          <t>JÖNKÖPING</t>
        </is>
      </c>
      <c r="I792" t="n">
        <v>0.5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34622-2026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46255</v>
      </c>
      <c r="E793" s="1" t="n">
        <v>46310</v>
      </c>
      <c r="F793" t="inlineStr">
        <is>
          <t>JÖNKÖPINGS LÄN</t>
        </is>
      </c>
      <c r="G793" t="inlineStr">
        <is>
          <t>JÖNKÖPING</t>
        </is>
      </c>
      <c r="I793" t="n">
        <v>0.5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41444-2026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46301</v>
      </c>
      <c r="E794" s="1" t="n">
        <v>46310</v>
      </c>
      <c r="F794" t="inlineStr">
        <is>
          <t>JÖNKÖPINGS LÄN</t>
        </is>
      </c>
      <c r="G794" t="inlineStr">
        <is>
          <t>JÖNKÖPING</t>
        </is>
      </c>
      <c r="I794" t="n">
        <v>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8554-2024</t>
        </is>
      </c>
      <c r="B795" t="inlineStr">
        <is>
          <t>avverkningsanmälan</t>
        </is>
      </c>
      <c r="C795" t="inlineStr">
        <is>
          <t>Avverkning för annat ändamål</t>
        </is>
      </c>
      <c r="D795" s="1" t="n">
        <v>45355</v>
      </c>
      <c r="E795" s="1" t="n">
        <v>46310</v>
      </c>
      <c r="F795" t="inlineStr">
        <is>
          <t>JÖNKÖPINGS LÄN</t>
        </is>
      </c>
      <c r="G795" t="inlineStr">
        <is>
          <t>JÖNKÖPING</t>
        </is>
      </c>
      <c r="I795" t="n">
        <v>0.3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6601-2023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44966</v>
      </c>
      <c r="E796" s="1" t="n">
        <v>46310</v>
      </c>
      <c r="F796" t="inlineStr">
        <is>
          <t>JÖNKÖPINGS LÄN</t>
        </is>
      </c>
      <c r="G796" t="inlineStr">
        <is>
          <t>JÖNKÖPING</t>
        </is>
      </c>
      <c r="H796" t="inlineStr">
        <is>
          <t>Kyrkan</t>
        </is>
      </c>
      <c r="I796" t="n">
        <v>2.2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4154-2022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44588</v>
      </c>
      <c r="E797" s="1" t="n">
        <v>46310</v>
      </c>
      <c r="F797" t="inlineStr">
        <is>
          <t>JÖNKÖPINGS LÄN</t>
        </is>
      </c>
      <c r="G797" t="inlineStr">
        <is>
          <t>JÖNKÖPING</t>
        </is>
      </c>
      <c r="I797" t="n">
        <v>0.8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58559-2021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44488</v>
      </c>
      <c r="E798" s="1" t="n">
        <v>46310</v>
      </c>
      <c r="F798" t="inlineStr">
        <is>
          <t>JÖNKÖPINGS LÄN</t>
        </is>
      </c>
      <c r="G798" t="inlineStr">
        <is>
          <t>JÖNKÖPING</t>
        </is>
      </c>
      <c r="I798" t="n">
        <v>4.8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46462-2023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45197</v>
      </c>
      <c r="E799" s="1" t="n">
        <v>46310</v>
      </c>
      <c r="F799" t="inlineStr">
        <is>
          <t>JÖNKÖPINGS LÄN</t>
        </is>
      </c>
      <c r="G799" t="inlineStr">
        <is>
          <t>JÖNKÖPING</t>
        </is>
      </c>
      <c r="I799" t="n">
        <v>3.3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38919-2024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45547</v>
      </c>
      <c r="E800" s="1" t="n">
        <v>46310</v>
      </c>
      <c r="F800" t="inlineStr">
        <is>
          <t>JÖNKÖPINGS LÄN</t>
        </is>
      </c>
      <c r="G800" t="inlineStr">
        <is>
          <t>JÖNKÖPING</t>
        </is>
      </c>
      <c r="H800" t="inlineStr">
        <is>
          <t>Sveaskog</t>
        </is>
      </c>
      <c r="I800" t="n">
        <v>0.7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41774-2026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46302</v>
      </c>
      <c r="E801" s="1" t="n">
        <v>46310</v>
      </c>
      <c r="F801" t="inlineStr">
        <is>
          <t>JÖNKÖPINGS LÄN</t>
        </is>
      </c>
      <c r="G801" t="inlineStr">
        <is>
          <t>JÖNKÖPING</t>
        </is>
      </c>
      <c r="I801" t="n">
        <v>1.9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43573-2024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45569</v>
      </c>
      <c r="E802" s="1" t="n">
        <v>46310</v>
      </c>
      <c r="F802" t="inlineStr">
        <is>
          <t>JÖNKÖPINGS LÄN</t>
        </is>
      </c>
      <c r="G802" t="inlineStr">
        <is>
          <t>JÖNKÖPING</t>
        </is>
      </c>
      <c r="I802" t="n">
        <v>0.8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57620-2022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44897</v>
      </c>
      <c r="E803" s="1" t="n">
        <v>46310</v>
      </c>
      <c r="F803" t="inlineStr">
        <is>
          <t>JÖNKÖPINGS LÄN</t>
        </is>
      </c>
      <c r="G803" t="inlineStr">
        <is>
          <t>JÖNKÖPING</t>
        </is>
      </c>
      <c r="H803" t="inlineStr">
        <is>
          <t>Kyrkan</t>
        </is>
      </c>
      <c r="I803" t="n">
        <v>4.5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18836-2025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45764</v>
      </c>
      <c r="E804" s="1" t="n">
        <v>46310</v>
      </c>
      <c r="F804" t="inlineStr">
        <is>
          <t>JÖNKÖPINGS LÄN</t>
        </is>
      </c>
      <c r="G804" t="inlineStr">
        <is>
          <t>JÖNKÖPING</t>
        </is>
      </c>
      <c r="I804" t="n">
        <v>1.5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41615-2026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46302</v>
      </c>
      <c r="E805" s="1" t="n">
        <v>46310</v>
      </c>
      <c r="F805" t="inlineStr">
        <is>
          <t>JÖNKÖPINGS LÄN</t>
        </is>
      </c>
      <c r="G805" t="inlineStr">
        <is>
          <t>JÖNKÖPING</t>
        </is>
      </c>
      <c r="I805" t="n">
        <v>2.1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41617-2026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46302</v>
      </c>
      <c r="E806" s="1" t="n">
        <v>46310</v>
      </c>
      <c r="F806" t="inlineStr">
        <is>
          <t>JÖNKÖPINGS LÄN</t>
        </is>
      </c>
      <c r="G806" t="inlineStr">
        <is>
          <t>JÖNKÖPING</t>
        </is>
      </c>
      <c r="I806" t="n">
        <v>1.2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46741-2023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45198</v>
      </c>
      <c r="E807" s="1" t="n">
        <v>46310</v>
      </c>
      <c r="F807" t="inlineStr">
        <is>
          <t>JÖNKÖPINGS LÄN</t>
        </is>
      </c>
      <c r="G807" t="inlineStr">
        <is>
          <t>JÖNKÖPING</t>
        </is>
      </c>
      <c r="I807" t="n">
        <v>0.5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20410-2023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45056</v>
      </c>
      <c r="E808" s="1" t="n">
        <v>46310</v>
      </c>
      <c r="F808" t="inlineStr">
        <is>
          <t>JÖNKÖPINGS LÄN</t>
        </is>
      </c>
      <c r="G808" t="inlineStr">
        <is>
          <t>JÖNKÖPING</t>
        </is>
      </c>
      <c r="I808" t="n">
        <v>1.2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16212-2024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45406</v>
      </c>
      <c r="E809" s="1" t="n">
        <v>46310</v>
      </c>
      <c r="F809" t="inlineStr">
        <is>
          <t>JÖNKÖPINGS LÄN</t>
        </is>
      </c>
      <c r="G809" t="inlineStr">
        <is>
          <t>JÖNKÖPING</t>
        </is>
      </c>
      <c r="I809" t="n">
        <v>0.9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16213-2024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45406</v>
      </c>
      <c r="E810" s="1" t="n">
        <v>46310</v>
      </c>
      <c r="F810" t="inlineStr">
        <is>
          <t>JÖNKÖPINGS LÄN</t>
        </is>
      </c>
      <c r="G810" t="inlineStr">
        <is>
          <t>JÖNKÖPING</t>
        </is>
      </c>
      <c r="I810" t="n">
        <v>0.6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21132-2024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45440</v>
      </c>
      <c r="E811" s="1" t="n">
        <v>46310</v>
      </c>
      <c r="F811" t="inlineStr">
        <is>
          <t>JÖNKÖPINGS LÄN</t>
        </is>
      </c>
      <c r="G811" t="inlineStr">
        <is>
          <t>JÖNKÖPING</t>
        </is>
      </c>
      <c r="I811" t="n">
        <v>5.8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33674-2026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46248</v>
      </c>
      <c r="E812" s="1" t="n">
        <v>46310</v>
      </c>
      <c r="F812" t="inlineStr">
        <is>
          <t>JÖNKÖPINGS LÄN</t>
        </is>
      </c>
      <c r="G812" t="inlineStr">
        <is>
          <t>JÖNKÖPING</t>
        </is>
      </c>
      <c r="I812" t="n">
        <v>2.6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50293-2023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45216</v>
      </c>
      <c r="E813" s="1" t="n">
        <v>46310</v>
      </c>
      <c r="F813" t="inlineStr">
        <is>
          <t>JÖNKÖPINGS LÄN</t>
        </is>
      </c>
      <c r="G813" t="inlineStr">
        <is>
          <t>JÖNKÖPING</t>
        </is>
      </c>
      <c r="I813" t="n">
        <v>1.3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1365-2025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45667</v>
      </c>
      <c r="E814" s="1" t="n">
        <v>46310</v>
      </c>
      <c r="F814" t="inlineStr">
        <is>
          <t>JÖNKÖPINGS LÄN</t>
        </is>
      </c>
      <c r="G814" t="inlineStr">
        <is>
          <t>JÖNKÖPING</t>
        </is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38337-2026</t>
        </is>
      </c>
      <c r="B815" t="inlineStr">
        <is>
          <t>avverkningsanmälan</t>
        </is>
      </c>
      <c r="C815" t="inlineStr">
        <is>
          <t>Avverkning för annat ändamål</t>
        </is>
      </c>
      <c r="D815" s="1" t="n">
        <v>46282</v>
      </c>
      <c r="E815" s="1" t="n">
        <v>46310</v>
      </c>
      <c r="F815" t="inlineStr">
        <is>
          <t>JÖNKÖPINGS LÄN</t>
        </is>
      </c>
      <c r="G815" t="inlineStr">
        <is>
          <t>JÖNKÖPING</t>
        </is>
      </c>
      <c r="I815" t="n">
        <v>2.6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6893-2025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45701</v>
      </c>
      <c r="E816" s="1" t="n">
        <v>46310</v>
      </c>
      <c r="F816" t="inlineStr">
        <is>
          <t>JÖNKÖPINGS LÄN</t>
        </is>
      </c>
      <c r="G816" t="inlineStr">
        <is>
          <t>JÖNKÖPING</t>
        </is>
      </c>
      <c r="I816" t="n">
        <v>1.5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33398-2024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45519</v>
      </c>
      <c r="E817" s="1" t="n">
        <v>46310</v>
      </c>
      <c r="F817" t="inlineStr">
        <is>
          <t>JÖNKÖPINGS LÄN</t>
        </is>
      </c>
      <c r="G817" t="inlineStr">
        <is>
          <t>JÖNKÖPING</t>
        </is>
      </c>
      <c r="I817" t="n">
        <v>2.4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35599-2026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46262</v>
      </c>
      <c r="E818" s="1" t="n">
        <v>46310</v>
      </c>
      <c r="F818" t="inlineStr">
        <is>
          <t>JÖNKÖPINGS LÄN</t>
        </is>
      </c>
      <c r="G818" t="inlineStr">
        <is>
          <t>JÖNKÖPING</t>
        </is>
      </c>
      <c r="I818" t="n">
        <v>1.2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42014-2026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46303</v>
      </c>
      <c r="E819" s="1" t="n">
        <v>46310</v>
      </c>
      <c r="F819" t="inlineStr">
        <is>
          <t>JÖNKÖPINGS LÄN</t>
        </is>
      </c>
      <c r="G819" t="inlineStr">
        <is>
          <t>JÖNKÖPING</t>
        </is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47190-2024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45586</v>
      </c>
      <c r="E820" s="1" t="n">
        <v>46310</v>
      </c>
      <c r="F820" t="inlineStr">
        <is>
          <t>JÖNKÖPINGS LÄN</t>
        </is>
      </c>
      <c r="G820" t="inlineStr">
        <is>
          <t>JÖNKÖPING</t>
        </is>
      </c>
      <c r="I820" t="n">
        <v>4.3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35776-2026</t>
        </is>
      </c>
      <c r="B821" t="inlineStr">
        <is>
          <t>avverkningsanmälan</t>
        </is>
      </c>
      <c r="C821" t="inlineStr">
        <is>
          <t>Avverkning för annat ändamål</t>
        </is>
      </c>
      <c r="D821" s="1" t="n">
        <v>46265</v>
      </c>
      <c r="E821" s="1" t="n">
        <v>46310</v>
      </c>
      <c r="F821" t="inlineStr">
        <is>
          <t>JÖNKÖPINGS LÄN</t>
        </is>
      </c>
      <c r="G821" t="inlineStr">
        <is>
          <t>JÖNKÖPING</t>
        </is>
      </c>
      <c r="I821" t="n">
        <v>2.7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42437-2026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46308</v>
      </c>
      <c r="E822" s="1" t="n">
        <v>46310</v>
      </c>
      <c r="F822" t="inlineStr">
        <is>
          <t>JÖNKÖPINGS LÄN</t>
        </is>
      </c>
      <c r="G822" t="inlineStr">
        <is>
          <t>JÖNKÖPING</t>
        </is>
      </c>
      <c r="I822" t="n">
        <v>1.7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42440-2026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46308</v>
      </c>
      <c r="E823" s="1" t="n">
        <v>46310</v>
      </c>
      <c r="F823" t="inlineStr">
        <is>
          <t>JÖNKÖPINGS LÄN</t>
        </is>
      </c>
      <c r="G823" t="inlineStr">
        <is>
          <t>JÖNKÖPING</t>
        </is>
      </c>
      <c r="I823" t="n">
        <v>3.7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42436-2026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46308</v>
      </c>
      <c r="E824" s="1" t="n">
        <v>46310</v>
      </c>
      <c r="F824" t="inlineStr">
        <is>
          <t>JÖNKÖPINGS LÄN</t>
        </is>
      </c>
      <c r="G824" t="inlineStr">
        <is>
          <t>JÖNKÖPING</t>
        </is>
      </c>
      <c r="I824" t="n">
        <v>3.2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37515-2024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45541</v>
      </c>
      <c r="E825" s="1" t="n">
        <v>46310</v>
      </c>
      <c r="F825" t="inlineStr">
        <is>
          <t>JÖNKÖPINGS LÄN</t>
        </is>
      </c>
      <c r="G825" t="inlineStr">
        <is>
          <t>JÖNKÖPING</t>
        </is>
      </c>
      <c r="I825" t="n">
        <v>0.9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39280-2024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45551</v>
      </c>
      <c r="E826" s="1" t="n">
        <v>46310</v>
      </c>
      <c r="F826" t="inlineStr">
        <is>
          <t>JÖNKÖPINGS LÄN</t>
        </is>
      </c>
      <c r="G826" t="inlineStr">
        <is>
          <t>JÖNKÖPING</t>
        </is>
      </c>
      <c r="I826" t="n">
        <v>1.6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42439-2026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46308</v>
      </c>
      <c r="E827" s="1" t="n">
        <v>46310</v>
      </c>
      <c r="F827" t="inlineStr">
        <is>
          <t>JÖNKÖPINGS LÄN</t>
        </is>
      </c>
      <c r="G827" t="inlineStr">
        <is>
          <t>JÖNKÖPING</t>
        </is>
      </c>
      <c r="I827" t="n">
        <v>3.6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7959-2024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45350</v>
      </c>
      <c r="E828" s="1" t="n">
        <v>46310</v>
      </c>
      <c r="F828" t="inlineStr">
        <is>
          <t>JÖNKÖPINGS LÄN</t>
        </is>
      </c>
      <c r="G828" t="inlineStr">
        <is>
          <t>JÖNKÖPING</t>
        </is>
      </c>
      <c r="I828" t="n">
        <v>1.1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61523-2024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45646</v>
      </c>
      <c r="E829" s="1" t="n">
        <v>46310</v>
      </c>
      <c r="F829" t="inlineStr">
        <is>
          <t>JÖNKÖPINGS LÄN</t>
        </is>
      </c>
      <c r="G829" t="inlineStr">
        <is>
          <t>JÖNKÖPING</t>
        </is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42803-2026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46309</v>
      </c>
      <c r="E830" s="1" t="n">
        <v>46310</v>
      </c>
      <c r="F830" t="inlineStr">
        <is>
          <t>JÖNKÖPINGS LÄN</t>
        </is>
      </c>
      <c r="G830" t="inlineStr">
        <is>
          <t>JÖNKÖPING</t>
        </is>
      </c>
      <c r="I830" t="n">
        <v>1.5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S 177-2024</t>
        </is>
      </c>
      <c r="B831" t="inlineStr">
        <is>
          <t>samrådsanmälan</t>
        </is>
      </c>
      <c r="C831" t="inlineStr">
        <is>
          <t>Askåterföring</t>
        </is>
      </c>
      <c r="D831" s="1" t="n">
        <v>45313</v>
      </c>
      <c r="E831" s="1" t="n">
        <v>46310</v>
      </c>
      <c r="F831" t="inlineStr">
        <is>
          <t>JÖNKÖPINGS LÄN</t>
        </is>
      </c>
      <c r="G831" t="inlineStr">
        <is>
          <t>JÖNKÖPING</t>
        </is>
      </c>
      <c r="H831" t="inlineStr">
        <is>
          <t>Sveaskog</t>
        </is>
      </c>
      <c r="I831" t="n">
        <v>84.90000000000001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S 1870-2022</t>
        </is>
      </c>
      <c r="B832" t="inlineStr">
        <is>
          <t>samrådsanmälan</t>
        </is>
      </c>
      <c r="C832" t="inlineStr">
        <is>
          <t>Askåterföring</t>
        </is>
      </c>
      <c r="D832" s="1" t="n">
        <v>44658</v>
      </c>
      <c r="E832" s="1" t="n">
        <v>46310</v>
      </c>
      <c r="F832" t="inlineStr">
        <is>
          <t>JÖNKÖPINGS LÄN</t>
        </is>
      </c>
      <c r="G832" t="inlineStr">
        <is>
          <t>JÖNKÖPING</t>
        </is>
      </c>
      <c r="I832" t="n">
        <v>6.6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S 884-2022</t>
        </is>
      </c>
      <c r="B833" t="inlineStr">
        <is>
          <t>samrådsanmälan</t>
        </is>
      </c>
      <c r="C833" t="inlineStr">
        <is>
          <t>Annan skogsbruksåtgärd</t>
        </is>
      </c>
      <c r="D833" s="1" t="n">
        <v>44607</v>
      </c>
      <c r="E833" s="1" t="n">
        <v>46310</v>
      </c>
      <c r="F833" t="inlineStr">
        <is>
          <t>JÖNKÖPINGS LÄN</t>
        </is>
      </c>
      <c r="G833" t="inlineStr">
        <is>
          <t>JÖNKÖPING</t>
        </is>
      </c>
      <c r="I833" t="n">
        <v>2.5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S 2480-2023</t>
        </is>
      </c>
      <c r="B834" t="inlineStr">
        <is>
          <t>samrådsanmälan</t>
        </is>
      </c>
      <c r="C834" t="inlineStr">
        <is>
          <t>Askåterföring</t>
        </is>
      </c>
      <c r="D834" s="1" t="n">
        <v>45131</v>
      </c>
      <c r="E834" s="1" t="n">
        <v>46310</v>
      </c>
      <c r="F834" t="inlineStr">
        <is>
          <t>JÖNKÖPINGS LÄN</t>
        </is>
      </c>
      <c r="G834" t="inlineStr">
        <is>
          <t>JÖNKÖPING</t>
        </is>
      </c>
      <c r="H834" t="inlineStr">
        <is>
          <t>Kyrkan</t>
        </is>
      </c>
      <c r="I834" t="n">
        <v>66.7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S 589-2022</t>
        </is>
      </c>
      <c r="B835" t="inlineStr">
        <is>
          <t>samrådsanmälan</t>
        </is>
      </c>
      <c r="C835" t="inlineStr">
        <is>
          <t>Annan skogsbruksåtgärd</t>
        </is>
      </c>
      <c r="D835" s="1" t="n">
        <v>44593</v>
      </c>
      <c r="E835" s="1" t="n">
        <v>46310</v>
      </c>
      <c r="F835" t="inlineStr">
        <is>
          <t>JÖNKÖPINGS LÄN</t>
        </is>
      </c>
      <c r="G835" t="inlineStr">
        <is>
          <t>JÖNKÖPING</t>
        </is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S 9015-2021</t>
        </is>
      </c>
      <c r="B836" t="inlineStr">
        <is>
          <t>samrådsanmälan</t>
        </is>
      </c>
      <c r="C836" t="inlineStr">
        <is>
          <t>Åtgärd i nyckelbiotop</t>
        </is>
      </c>
      <c r="D836" s="1" t="n">
        <v>44510</v>
      </c>
      <c r="E836" s="1" t="n">
        <v>46310</v>
      </c>
      <c r="F836" t="inlineStr">
        <is>
          <t>JÖNKÖPINGS LÄN</t>
        </is>
      </c>
      <c r="G836" t="inlineStr">
        <is>
          <t>JÖNKÖPING</t>
        </is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S 274-2023</t>
        </is>
      </c>
      <c r="B837" t="inlineStr">
        <is>
          <t>samrådsanmälan</t>
        </is>
      </c>
      <c r="C837" t="inlineStr">
        <is>
          <t>Askåterföring</t>
        </is>
      </c>
      <c r="D837" s="1" t="n">
        <v>44956</v>
      </c>
      <c r="E837" s="1" t="n">
        <v>46310</v>
      </c>
      <c r="F837" t="inlineStr">
        <is>
          <t>JÖNKÖPINGS LÄN</t>
        </is>
      </c>
      <c r="G837" t="inlineStr">
        <is>
          <t>JÖNKÖPING</t>
        </is>
      </c>
      <c r="H837" t="inlineStr">
        <is>
          <t>Sveaskog</t>
        </is>
      </c>
      <c r="I837" t="n">
        <v>50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S 1347-2024</t>
        </is>
      </c>
      <c r="B838" t="inlineStr">
        <is>
          <t>samrådsanmälan</t>
        </is>
      </c>
      <c r="C838" t="inlineStr">
        <is>
          <t>Askåterföring</t>
        </is>
      </c>
      <c r="D838" s="1" t="n">
        <v>45407</v>
      </c>
      <c r="E838" s="1" t="n">
        <v>46310</v>
      </c>
      <c r="F838" t="inlineStr">
        <is>
          <t>JÖNKÖPINGS LÄN</t>
        </is>
      </c>
      <c r="G838" t="inlineStr">
        <is>
          <t>JÖNKÖPING</t>
        </is>
      </c>
      <c r="H838" t="inlineStr">
        <is>
          <t>Övriga Aktiebolag</t>
        </is>
      </c>
      <c r="I838" t="n">
        <v>40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S 324-2024</t>
        </is>
      </c>
      <c r="B839" t="inlineStr">
        <is>
          <t>samrådsanmälan</t>
        </is>
      </c>
      <c r="C839" t="inlineStr">
        <is>
          <t>Annan skogsbruksåtgärd</t>
        </is>
      </c>
      <c r="D839" s="1" t="n">
        <v>45327</v>
      </c>
      <c r="E839" s="1" t="n">
        <v>46310</v>
      </c>
      <c r="F839" t="inlineStr">
        <is>
          <t>JÖNKÖPINGS LÄN</t>
        </is>
      </c>
      <c r="G839" t="inlineStr">
        <is>
          <t>JÖNKÖPING</t>
        </is>
      </c>
      <c r="I839" t="n">
        <v>1.9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S 2909-2022</t>
        </is>
      </c>
      <c r="B840" t="inlineStr">
        <is>
          <t>samrådsanmälan</t>
        </is>
      </c>
      <c r="C840" t="inlineStr">
        <is>
          <t>Askåterföring</t>
        </is>
      </c>
      <c r="D840" s="1" t="n">
        <v>44711</v>
      </c>
      <c r="E840" s="1" t="n">
        <v>46310</v>
      </c>
      <c r="F840" t="inlineStr">
        <is>
          <t>JÖNKÖPINGS LÄN</t>
        </is>
      </c>
      <c r="G840" t="inlineStr">
        <is>
          <t>JÖNKÖPING</t>
        </is>
      </c>
      <c r="I840" t="n">
        <v>11.2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S 3979-2022</t>
        </is>
      </c>
      <c r="B841" t="inlineStr">
        <is>
          <t>samrådsanmälan</t>
        </is>
      </c>
      <c r="C841" t="inlineStr">
        <is>
          <t>Askåterföring</t>
        </is>
      </c>
      <c r="D841" s="1" t="n">
        <v>44753</v>
      </c>
      <c r="E841" s="1" t="n">
        <v>46310</v>
      </c>
      <c r="F841" t="inlineStr">
        <is>
          <t>JÖNKÖPINGS LÄN</t>
        </is>
      </c>
      <c r="G841" t="inlineStr">
        <is>
          <t>JÖNKÖPING</t>
        </is>
      </c>
      <c r="I841" t="n">
        <v>55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S 893-2023</t>
        </is>
      </c>
      <c r="B842" t="inlineStr">
        <is>
          <t>samrådsanmälan</t>
        </is>
      </c>
      <c r="C842" t="inlineStr">
        <is>
          <t>Askåterföring</t>
        </is>
      </c>
      <c r="D842" s="1" t="n">
        <v>44998</v>
      </c>
      <c r="E842" s="1" t="n">
        <v>46310</v>
      </c>
      <c r="F842" t="inlineStr">
        <is>
          <t>JÖNKÖPINGS LÄN</t>
        </is>
      </c>
      <c r="G842" t="inlineStr">
        <is>
          <t>JÖNKÖPING</t>
        </is>
      </c>
      <c r="I842" t="n">
        <v>129.2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S 1566-2025</t>
        </is>
      </c>
      <c r="B843" t="inlineStr">
        <is>
          <t>samrådsanmälan</t>
        </is>
      </c>
      <c r="C843" t="inlineStr">
        <is>
          <t>Askåterföring</t>
        </is>
      </c>
      <c r="D843" s="1" t="n">
        <v>45794</v>
      </c>
      <c r="E843" s="1" t="n">
        <v>46310</v>
      </c>
      <c r="F843" t="inlineStr">
        <is>
          <t>JÖNKÖPINGS LÄN</t>
        </is>
      </c>
      <c r="G843" t="inlineStr">
        <is>
          <t>JÖNKÖPING</t>
        </is>
      </c>
      <c r="I843" t="n">
        <v>24.3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S 1618-2025</t>
        </is>
      </c>
      <c r="B844" t="inlineStr">
        <is>
          <t>samrådsanmälan</t>
        </is>
      </c>
      <c r="C844" t="inlineStr">
        <is>
          <t>Askåterföring</t>
        </is>
      </c>
      <c r="D844" s="1" t="n">
        <v>45798</v>
      </c>
      <c r="E844" s="1" t="n">
        <v>46310</v>
      </c>
      <c r="F844" t="inlineStr">
        <is>
          <t>JÖNKÖPINGS LÄN</t>
        </is>
      </c>
      <c r="G844" t="inlineStr">
        <is>
          <t>JÖNKÖPING</t>
        </is>
      </c>
      <c r="I844" t="n">
        <v>20.6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S 581-2025</t>
        </is>
      </c>
      <c r="B845" t="inlineStr">
        <is>
          <t>samrådsanmälan</t>
        </is>
      </c>
      <c r="C845" t="inlineStr">
        <is>
          <t>Askåterföring</t>
        </is>
      </c>
      <c r="D845" s="1" t="n">
        <v>45712</v>
      </c>
      <c r="E845" s="1" t="n">
        <v>46310</v>
      </c>
      <c r="F845" t="inlineStr">
        <is>
          <t>JÖNKÖPINGS LÄN</t>
        </is>
      </c>
      <c r="G845" t="inlineStr">
        <is>
          <t>JÖNKÖPING</t>
        </is>
      </c>
      <c r="I845" t="n">
        <v>11.8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  <c r="Z845">
        <f>HYPERLINK("https://klasma.github.io/Logging_0680/knärot/S 581-2025 karta knärot.png", "S 581-2025")</f>
        <v/>
      </c>
      <c r="AA845">
        <f>HYPERLINK("https://klasma.github.io/Logging_0680/klagomål/S 581-2025 FSC-klagomål.docx", "S 581-2025")</f>
        <v/>
      </c>
      <c r="AB845">
        <f>HYPERLINK("https://klasma.github.io/Logging_0680/klagomålsmail/S 581-2025 FSC-klagomål mail.docx", "S 581-2025")</f>
        <v/>
      </c>
      <c r="AC845">
        <f>HYPERLINK("https://klasma.github.io/Logging_0680/tillsyn/S 581-2025 tillsynsbegäran.docx", "S 581-2025")</f>
        <v/>
      </c>
      <c r="AD845">
        <f>HYPERLINK("https://klasma.github.io/Logging_0680/tillsynsmail/S 581-2025 tillsynsbegäran mail.docx", "S 581-2025")</f>
        <v/>
      </c>
    </row>
    <row r="846" ht="15" customHeight="1">
      <c r="A846" t="inlineStr">
        <is>
          <t>S 1610-2025</t>
        </is>
      </c>
      <c r="B846" t="inlineStr">
        <is>
          <t>samrådsanmälan</t>
        </is>
      </c>
      <c r="C846" t="inlineStr">
        <is>
          <t>Askåterföring</t>
        </is>
      </c>
      <c r="D846" s="1" t="n">
        <v>45798</v>
      </c>
      <c r="E846" s="1" t="n">
        <v>46310</v>
      </c>
      <c r="F846" t="inlineStr">
        <is>
          <t>JÖNKÖPINGS LÄN</t>
        </is>
      </c>
      <c r="G846" t="inlineStr">
        <is>
          <t>JÖNKÖPING</t>
        </is>
      </c>
      <c r="I846" t="n">
        <v>65.3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S 577-2025</t>
        </is>
      </c>
      <c r="B847" t="inlineStr">
        <is>
          <t>samrådsanmälan</t>
        </is>
      </c>
      <c r="C847" t="inlineStr">
        <is>
          <t>Askåterföring</t>
        </is>
      </c>
      <c r="D847" s="1" t="n">
        <v>45712</v>
      </c>
      <c r="E847" s="1" t="n">
        <v>46310</v>
      </c>
      <c r="F847" t="inlineStr">
        <is>
          <t>JÖNKÖPINGS LÄN</t>
        </is>
      </c>
      <c r="G847" t="inlineStr">
        <is>
          <t>JÖNKÖPING</t>
        </is>
      </c>
      <c r="I847" t="n">
        <v>39.5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S 1803-2025</t>
        </is>
      </c>
      <c r="B848" t="inlineStr">
        <is>
          <t>samrådsanmälan</t>
        </is>
      </c>
      <c r="C848" t="inlineStr">
        <is>
          <t>Annan skogsbruksåtgärd</t>
        </is>
      </c>
      <c r="D848" s="1" t="n">
        <v>45817</v>
      </c>
      <c r="E848" s="1" t="n">
        <v>46310</v>
      </c>
      <c r="F848" t="inlineStr">
        <is>
          <t>JÖNKÖPINGS LÄN</t>
        </is>
      </c>
      <c r="G848" t="inlineStr">
        <is>
          <t>JÖNKÖPING</t>
        </is>
      </c>
      <c r="H848" t="inlineStr">
        <is>
          <t>Kommuner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S 2245-2025</t>
        </is>
      </c>
      <c r="B849" t="inlineStr">
        <is>
          <t>samrådsanmälan</t>
        </is>
      </c>
      <c r="C849" t="inlineStr">
        <is>
          <t>Annan skogsbruksåtgärd</t>
        </is>
      </c>
      <c r="D849" s="1" t="n">
        <v>45870</v>
      </c>
      <c r="E849" s="1" t="n">
        <v>46310</v>
      </c>
      <c r="F849" t="inlineStr">
        <is>
          <t>JÖNKÖPINGS LÄN</t>
        </is>
      </c>
      <c r="G849" t="inlineStr">
        <is>
          <t>JÖNKÖPING</t>
        </is>
      </c>
      <c r="I849" t="n">
        <v>1.1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S 3374-2025</t>
        </is>
      </c>
      <c r="B850" t="inlineStr">
        <is>
          <t>samrådsanmälan</t>
        </is>
      </c>
      <c r="C850" t="inlineStr">
        <is>
          <t>Annan skogsbruksåtgärd</t>
        </is>
      </c>
      <c r="D850" s="1" t="n">
        <v>45994</v>
      </c>
      <c r="E850" s="1" t="n">
        <v>46310</v>
      </c>
      <c r="F850" t="inlineStr">
        <is>
          <t>JÖNKÖPINGS LÄN</t>
        </is>
      </c>
      <c r="G850" t="inlineStr">
        <is>
          <t>JÖNKÖPING</t>
        </is>
      </c>
      <c r="I850" t="n">
        <v>3.4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S 180-2026</t>
        </is>
      </c>
      <c r="B851" t="inlineStr">
        <is>
          <t>samrådsanmälan</t>
        </is>
      </c>
      <c r="C851" t="inlineStr">
        <is>
          <t>Annan skogsbruksåtgärd</t>
        </is>
      </c>
      <c r="D851" s="1" t="n">
        <v>46047</v>
      </c>
      <c r="E851" s="1" t="n">
        <v>46310</v>
      </c>
      <c r="F851" t="inlineStr">
        <is>
          <t>JÖNKÖPINGS LÄN</t>
        </is>
      </c>
      <c r="G851" t="inlineStr">
        <is>
          <t>JÖNKÖPING</t>
        </is>
      </c>
      <c r="I851" t="n">
        <v>0.5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>
      <c r="A852" t="inlineStr">
        <is>
          <t>S 2641-2026</t>
        </is>
      </c>
      <c r="B852" t="inlineStr">
        <is>
          <t>samrådsanmälan</t>
        </is>
      </c>
      <c r="C852" t="inlineStr">
        <is>
          <t>Annan skogsbruksåtgärd</t>
        </is>
      </c>
      <c r="D852" s="1" t="n">
        <v>46304</v>
      </c>
      <c r="E852" s="1" t="n">
        <v>46310</v>
      </c>
      <c r="F852" t="inlineStr">
        <is>
          <t>JÖNKÖPINGS LÄN</t>
        </is>
      </c>
      <c r="G852" t="inlineStr">
        <is>
          <t>JÖNKÖPING</t>
        </is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2026-10-15T02:00:54Z</dcterms:created>
  <dcterms:modified xmlns:dcterms="http://purl.org/dc/terms/" xmlns:xsi="http://www.w3.org/2001/XMLSchema-instance" xsi:type="dcterms:W3CDTF">2026-10-15T02:00:55Z</dcterms:modified>
</cp:coreProperties>
</file>