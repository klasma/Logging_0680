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46228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46228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46228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46228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46228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46228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46228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46228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46228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46228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46228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46228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46228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46228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46228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46228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46228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46228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46228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46228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46228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46228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46228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46228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46228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46228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46228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46228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46228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46228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46228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46228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46228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46228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46228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46228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46228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46228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46228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46228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46228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46228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46228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46228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46228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46228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38072-2021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46228</v>
      </c>
      <c r="F53" t="inlineStr">
        <is>
          <t>JÖNKÖPINGS LÄN</t>
        </is>
      </c>
      <c r="G53" t="inlineStr">
        <is>
          <t>JÖNKÖPING</t>
        </is>
      </c>
      <c r="I53" t="n">
        <v>2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Slåttergubbe
Jungfrulin</t>
        </is>
      </c>
      <c r="W53">
        <f>HYPERLINK("https://klasma.github.io/Logging_0680/artfynd/A 38072-2021 artfynd.xlsx", "A 38072-2021")</f>
        <v/>
      </c>
      <c r="X53">
        <f>HYPERLINK("https://klasma.github.io/Logging_0680/kartor/A 38072-2021 karta.png", "A 38072-2021")</f>
        <v/>
      </c>
      <c r="Y53">
        <f>HYPERLINK("https://klasma.github.io/Logging_0680/kartor_geotiff/A 38072-2021 georefererad karta.tif", "A 38072-2021")</f>
        <v/>
      </c>
      <c r="AA53">
        <f>HYPERLINK("https://klasma.github.io/Logging_0680/klagomål/A 38072-2021 FSC-klagomål.docx", "A 38072-2021")</f>
        <v/>
      </c>
      <c r="AB53">
        <f>HYPERLINK("https://klasma.github.io/Logging_0680/klagomålsmail/A 38072-2021 FSC-klagomål mail.docx", "A 38072-2021")</f>
        <v/>
      </c>
      <c r="AC53">
        <f>HYPERLINK("https://klasma.github.io/Logging_0680/tillsyn/A 38072-2021 tillsynsbegäran.docx", "A 38072-2021")</f>
        <v/>
      </c>
      <c r="AD53">
        <f>HYPERLINK("https://klasma.github.io/Logging_0680/tillsynsmail/A 38072-2021 tillsynsbegäran mail.docx", "A 38072-2021")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46228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46228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46228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46228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46228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28211-2026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46228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Backtimjan
Solvända</t>
        </is>
      </c>
      <c r="W59">
        <f>HYPERLINK("https://klasma.github.io/Logging_0680/artfynd/A 28211-2026 artfynd.xlsx", "A 28211-2026")</f>
        <v/>
      </c>
      <c r="X59">
        <f>HYPERLINK("https://klasma.github.io/Logging_0680/kartor/A 28211-2026 karta.png", "A 28211-2026")</f>
        <v/>
      </c>
      <c r="Y59">
        <f>HYPERLINK("https://klasma.github.io/Logging_0680/kartor_geotiff/A 28211-2026 georefererad karta.tif", "A 28211-2026")</f>
        <v/>
      </c>
      <c r="AA59">
        <f>HYPERLINK("https://klasma.github.io/Logging_0680/klagomål/A 28211-2026 FSC-klagomål.docx", "A 28211-2026")</f>
        <v/>
      </c>
      <c r="AB59">
        <f>HYPERLINK("https://klasma.github.io/Logging_0680/klagomålsmail/A 28211-2026 FSC-klagomål mail.docx", "A 28211-2026")</f>
        <v/>
      </c>
      <c r="AC59">
        <f>HYPERLINK("https://klasma.github.io/Logging_0680/tillsyn/A 28211-2026 tillsynsbegäran.docx", "A 28211-2026")</f>
        <v/>
      </c>
      <c r="AD59">
        <f>HYPERLINK("https://klasma.github.io/Logging_0680/tillsynsmail/A 28211-2026 tillsynsbegäran mail.docx", "A 28211-2026")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46228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46228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46228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46228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46228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46228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46228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46228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23066-2025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45790</v>
      </c>
      <c r="E68" s="1" t="n">
        <v>46228</v>
      </c>
      <c r="F68" t="inlineStr">
        <is>
          <t>JÖNKÖPINGS LÄN</t>
        </is>
      </c>
      <c r="G68" t="inlineStr">
        <is>
          <t>JÖNKÖPING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Nattviol</t>
        </is>
      </c>
      <c r="W68">
        <f>HYPERLINK("https://klasma.github.io/Logging_0680/artfynd/A 23066-2025 artfynd.xlsx", "A 23066-2025")</f>
        <v/>
      </c>
      <c r="X68">
        <f>HYPERLINK("https://klasma.github.io/Logging_0680/kartor/A 23066-2025 karta.png", "A 23066-2025")</f>
        <v/>
      </c>
      <c r="Y68">
        <f>HYPERLINK("https://klasma.github.io/Logging_0680/kartor_geotiff/A 23066-2025 georefererad karta.tif", "A 23066-2025")</f>
        <v/>
      </c>
      <c r="AA68">
        <f>HYPERLINK("https://klasma.github.io/Logging_0680/klagomål/A 23066-2025 FSC-klagomål.docx", "A 23066-2025")</f>
        <v/>
      </c>
      <c r="AB68">
        <f>HYPERLINK("https://klasma.github.io/Logging_0680/klagomålsmail/A 23066-2025 FSC-klagomål mail.docx", "A 23066-2025")</f>
        <v/>
      </c>
      <c r="AC68">
        <f>HYPERLINK("https://klasma.github.io/Logging_0680/tillsyn/A 23066-2025 tillsynsbegäran.docx", "A 23066-2025")</f>
        <v/>
      </c>
      <c r="AD68">
        <f>HYPERLINK("https://klasma.github.io/Logging_0680/tillsynsmail/A 23066-2025 tillsynsbegäran mail.docx", "A 23066-2025")</f>
        <v/>
      </c>
    </row>
    <row r="69" ht="15" customHeight="1">
      <c r="A69" t="inlineStr">
        <is>
          <t>A 3361-2025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46228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4</v>
      </c>
      <c r="U69" t="n">
        <v>2</v>
      </c>
      <c r="V69" s="2" t="inlineStr">
        <is>
          <t>Vårärt
Blåsippa</t>
        </is>
      </c>
      <c r="W69">
        <f>HYPERLINK("https://klasma.github.io/Logging_0680/artfynd/A 3361-2025 artfynd.xlsx", "A 3361-2025")</f>
        <v/>
      </c>
      <c r="X69">
        <f>HYPERLINK("https://klasma.github.io/Logging_0680/kartor/A 3361-2025 karta.png", "A 3361-2025")</f>
        <v/>
      </c>
      <c r="Y69">
        <f>HYPERLINK("https://klasma.github.io/Logging_0680/kartor_geotiff/A 3361-2025 georefererad karta.tif", "A 3361-2025")</f>
        <v/>
      </c>
      <c r="AA69">
        <f>HYPERLINK("https://klasma.github.io/Logging_0680/klagomål/A 3361-2025 FSC-klagomål.docx", "A 3361-2025")</f>
        <v/>
      </c>
      <c r="AB69">
        <f>HYPERLINK("https://klasma.github.io/Logging_0680/klagomålsmail/A 3361-2025 FSC-klagomål mail.docx", "A 3361-2025")</f>
        <v/>
      </c>
      <c r="AC69">
        <f>HYPERLINK("https://klasma.github.io/Logging_0680/tillsyn/A 3361-2025 tillsynsbegäran.docx", "A 3361-2025")</f>
        <v/>
      </c>
      <c r="AD69">
        <f>HYPERLINK("https://klasma.github.io/Logging_0680/tillsynsmail/A 3361-2025 tillsynsbegäran mail.docx", "A 3361-2025")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46228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46228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46228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46228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46228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46228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46228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46228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46228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46228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46228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46228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46228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46228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46228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46228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46228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48371-2023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45205</v>
      </c>
      <c r="E87" s="1" t="n">
        <v>46228</v>
      </c>
      <c r="F87" t="inlineStr">
        <is>
          <t>JÖNKÖPINGS LÄN</t>
        </is>
      </c>
      <c r="G87" t="inlineStr">
        <is>
          <t>JÖNKÖPING</t>
        </is>
      </c>
      <c r="I87" t="n">
        <v>4.9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HYPERLINK("https://klasma.github.io/Logging_0680/artfynd/A 48371-2023 artfynd.xlsx", "A 48371-2023")</f>
        <v/>
      </c>
      <c r="X87">
        <f>HYPERLINK("https://klasma.github.io/Logging_0680/kartor/A 48371-2023 karta.png", "A 48371-2023")</f>
        <v/>
      </c>
      <c r="Y87">
        <f>HYPERLINK("https://klasma.github.io/Logging_0680/kartor_geotiff/A 48371-2023 georefererad karta.tif", "A 48371-2023")</f>
        <v/>
      </c>
      <c r="AA87">
        <f>HYPERLINK("https://klasma.github.io/Logging_0680/klagomål/A 48371-2023 FSC-klagomål.docx", "A 48371-2023")</f>
        <v/>
      </c>
      <c r="AB87">
        <f>HYPERLINK("https://klasma.github.io/Logging_0680/klagomålsmail/A 48371-2023 FSC-klagomål mail.docx", "A 48371-2023")</f>
        <v/>
      </c>
      <c r="AC87">
        <f>HYPERLINK("https://klasma.github.io/Logging_0680/tillsyn/A 48371-2023 tillsynsbegäran.docx", "A 48371-2023")</f>
        <v/>
      </c>
      <c r="AD87">
        <f>HYPERLINK("https://klasma.github.io/Logging_0680/tillsynsmail/A 48371-2023 tillsynsbegäran mail.docx", "A 48371-2023")</f>
        <v/>
      </c>
    </row>
    <row r="88" ht="15" customHeight="1">
      <c r="A88" t="inlineStr">
        <is>
          <t>A 34597-2025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46228</v>
      </c>
      <c r="F88" t="inlineStr">
        <is>
          <t>JÖNKÖPINGS LÄN</t>
        </is>
      </c>
      <c r="G88" t="inlineStr">
        <is>
          <t>JÖNKÖPING</t>
        </is>
      </c>
      <c r="H88" t="inlineStr">
        <is>
          <t>Kyrkan</t>
        </is>
      </c>
      <c r="I88" t="n">
        <v>7.3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34597-2025 artfynd.xlsx", "A 34597-2025")</f>
        <v/>
      </c>
      <c r="X88">
        <f>HYPERLINK("https://klasma.github.io/Logging_0680/kartor/A 34597-2025 karta.png", "A 34597-2025")</f>
        <v/>
      </c>
      <c r="Y88">
        <f>HYPERLINK("https://klasma.github.io/Logging_0680/kartor_geotiff/A 34597-2025 georefererad karta.tif", "A 34597-2025")</f>
        <v/>
      </c>
      <c r="Z88">
        <f>HYPERLINK("https://klasma.github.io/Logging_0680/knärot/A 34597-2025 karta knärot.png", "A 34597-2025")</f>
        <v/>
      </c>
      <c r="AA88">
        <f>HYPERLINK("https://klasma.github.io/Logging_0680/klagomål/A 34597-2025 FSC-klagomål.docx", "A 34597-2025")</f>
        <v/>
      </c>
      <c r="AB88">
        <f>HYPERLINK("https://klasma.github.io/Logging_0680/klagomålsmail/A 34597-2025 FSC-klagomål mail.docx", "A 34597-2025")</f>
        <v/>
      </c>
      <c r="AC88">
        <f>HYPERLINK("https://klasma.github.io/Logging_0680/tillsyn/A 34597-2025 tillsynsbegäran.docx", "A 34597-2025")</f>
        <v/>
      </c>
      <c r="AD88">
        <f>HYPERLINK("https://klasma.github.io/Logging_0680/tillsynsmail/A 34597-2025 tillsynsbegäran mail.docx", "A 34597-2025")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46228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46228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46228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46228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46228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46228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43624-2023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46228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Gullpudra</t>
        </is>
      </c>
      <c r="W95">
        <f>HYPERLINK("https://klasma.github.io/Logging_0680/artfynd/A 43624-2023 artfynd.xlsx", "A 43624-2023")</f>
        <v/>
      </c>
      <c r="X95">
        <f>HYPERLINK("https://klasma.github.io/Logging_0680/kartor/A 43624-2023 karta.png", "A 43624-2023")</f>
        <v/>
      </c>
      <c r="Y95">
        <f>HYPERLINK("https://klasma.github.io/Logging_0680/kartor_geotiff/A 43624-2023 georefererad karta.tif", "A 43624-2023")</f>
        <v/>
      </c>
      <c r="AA95">
        <f>HYPERLINK("https://klasma.github.io/Logging_0680/klagomål/A 43624-2023 FSC-klagomål.docx", "A 43624-2023")</f>
        <v/>
      </c>
      <c r="AB95">
        <f>HYPERLINK("https://klasma.github.io/Logging_0680/klagomålsmail/A 43624-2023 FSC-klagomål mail.docx", "A 43624-2023")</f>
        <v/>
      </c>
      <c r="AC95">
        <f>HYPERLINK("https://klasma.github.io/Logging_0680/tillsyn/A 43624-2023 tillsynsbegäran.docx", "A 43624-2023")</f>
        <v/>
      </c>
      <c r="AD95">
        <f>HYPERLINK("https://klasma.github.io/Logging_0680/tillsynsmail/A 43624-2023 tillsynsbegäran mail.docx", "A 43624-2023")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46228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29462-2026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46228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HYPERLINK("https://klasma.github.io/Logging_0680/artfynd/A 29462-2026 artfynd.xlsx", "A 29462-2026")</f>
        <v/>
      </c>
      <c r="X97">
        <f>HYPERLINK("https://klasma.github.io/Logging_0680/kartor/A 29462-2026 karta.png", "A 29462-2026")</f>
        <v/>
      </c>
      <c r="Y97">
        <f>HYPERLINK("https://klasma.github.io/Logging_0680/kartor_geotiff/A 29462-2026 georefererad karta.tif", "A 29462-2026")</f>
        <v/>
      </c>
      <c r="Z97">
        <f>HYPERLINK("https://klasma.github.io/Logging_0680/knärot/A 29462-2026 karta knärot.png", "A 29462-2026")</f>
        <v/>
      </c>
      <c r="AA97">
        <f>HYPERLINK("https://klasma.github.io/Logging_0680/klagomål/A 29462-2026 FSC-klagomål.docx", "A 29462-2026")</f>
        <v/>
      </c>
      <c r="AB97">
        <f>HYPERLINK("https://klasma.github.io/Logging_0680/klagomålsmail/A 29462-2026 FSC-klagomål mail.docx", "A 29462-2026")</f>
        <v/>
      </c>
      <c r="AC97">
        <f>HYPERLINK("https://klasma.github.io/Logging_0680/tillsyn/A 29462-2026 tillsynsbegäran.docx", "A 29462-2026")</f>
        <v/>
      </c>
      <c r="AD97">
        <f>HYPERLINK("https://klasma.github.io/Logging_0680/tillsynsmail/A 29462-2026 tillsynsbegäran mail.docx", "A 29462-2026")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46228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23234-2026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46228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Klasefibbla</t>
        </is>
      </c>
      <c r="W99">
        <f>HYPERLINK("https://klasma.github.io/Logging_0680/artfynd/A 23234-2026 artfynd.xlsx", "A 23234-2026")</f>
        <v/>
      </c>
      <c r="X99">
        <f>HYPERLINK("https://klasma.github.io/Logging_0680/kartor/A 23234-2026 karta.png", "A 23234-2026")</f>
        <v/>
      </c>
      <c r="Y99">
        <f>HYPERLINK("https://klasma.github.io/Logging_0680/kartor_geotiff/A 23234-2026 georefererad karta.tif", "A 23234-2026")</f>
        <v/>
      </c>
      <c r="AA99">
        <f>HYPERLINK("https://klasma.github.io/Logging_0680/klagomål/A 23234-2026 FSC-klagomål.docx", "A 23234-2026")</f>
        <v/>
      </c>
      <c r="AB99">
        <f>HYPERLINK("https://klasma.github.io/Logging_0680/klagomålsmail/A 23234-2026 FSC-klagomål mail.docx", "A 23234-2026")</f>
        <v/>
      </c>
      <c r="AC99">
        <f>HYPERLINK("https://klasma.github.io/Logging_0680/tillsyn/A 23234-2026 tillsynsbegäran.docx", "A 23234-2026")</f>
        <v/>
      </c>
      <c r="AD99">
        <f>HYPERLINK("https://klasma.github.io/Logging_0680/tillsynsmail/A 23234-2026 tillsynsbegäran mail.docx", "A 23234-2026")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46228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23260-2026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46228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23260-2026 artfynd.xlsx", "A 23260-2026")</f>
        <v/>
      </c>
      <c r="X101">
        <f>HYPERLINK("https://klasma.github.io/Logging_0680/kartor/A 23260-2026 karta.png", "A 23260-2026")</f>
        <v/>
      </c>
      <c r="Y101">
        <f>HYPERLINK("https://klasma.github.io/Logging_0680/kartor_geotiff/A 23260-2026 georefererad karta.tif", "A 23260-2026")</f>
        <v/>
      </c>
      <c r="AA101">
        <f>HYPERLINK("https://klasma.github.io/Logging_0680/klagomål/A 23260-2026 FSC-klagomål.docx", "A 23260-2026")</f>
        <v/>
      </c>
      <c r="AB101">
        <f>HYPERLINK("https://klasma.github.io/Logging_0680/klagomålsmail/A 23260-2026 FSC-klagomål mail.docx", "A 23260-2026")</f>
        <v/>
      </c>
      <c r="AC101">
        <f>HYPERLINK("https://klasma.github.io/Logging_0680/tillsyn/A 23260-2026 tillsynsbegäran.docx", "A 23260-2026")</f>
        <v/>
      </c>
      <c r="AD101">
        <f>HYPERLINK("https://klasma.github.io/Logging_0680/tillsynsmail/A 23260-2026 tillsynsbegäran mail.docx", "A 23260-2026")</f>
        <v/>
      </c>
    </row>
    <row r="102" ht="15" customHeight="1">
      <c r="A102" t="inlineStr">
        <is>
          <t>A 5898-2023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46228</v>
      </c>
      <c r="F102" t="inlineStr">
        <is>
          <t>JÖNKÖPINGS LÄN</t>
        </is>
      </c>
      <c r="G102" t="inlineStr">
        <is>
          <t>JÖNKÖPING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Utter</t>
        </is>
      </c>
      <c r="W102">
        <f>HYPERLINK("https://klasma.github.io/Logging_0680/artfynd/A 5898-2023 artfynd.xlsx", "A 5898-2023")</f>
        <v/>
      </c>
      <c r="X102">
        <f>HYPERLINK("https://klasma.github.io/Logging_0680/kartor/A 5898-2023 karta.png", "A 5898-2023")</f>
        <v/>
      </c>
      <c r="Y102">
        <f>HYPERLINK("https://klasma.github.io/Logging_0680/kartor_geotiff/A 5898-2023 georefererad karta.tif", "A 5898-2023")</f>
        <v/>
      </c>
      <c r="AA102">
        <f>HYPERLINK("https://klasma.github.io/Logging_0680/klagomål/A 5898-2023 FSC-klagomål.docx", "A 5898-2023")</f>
        <v/>
      </c>
      <c r="AB102">
        <f>HYPERLINK("https://klasma.github.io/Logging_0680/klagomålsmail/A 5898-2023 FSC-klagomål mail.docx", "A 5898-2023")</f>
        <v/>
      </c>
      <c r="AC102">
        <f>HYPERLINK("https://klasma.github.io/Logging_0680/tillsyn/A 5898-2023 tillsynsbegäran.docx", "A 5898-2023")</f>
        <v/>
      </c>
      <c r="AD102">
        <f>HYPERLINK("https://klasma.github.io/Logging_0680/tillsynsmail/A 5898-2023 tillsynsbegäran mail.docx", "A 5898-2023")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46228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7511-2026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46228</v>
      </c>
      <c r="F104" t="inlineStr">
        <is>
          <t>JÖNKÖPINGS LÄN</t>
        </is>
      </c>
      <c r="G104" t="inlineStr">
        <is>
          <t>JÖNKÖPING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HYPERLINK("https://klasma.github.io/Logging_0680/artfynd/A 7511-2026 artfynd.xlsx", "A 7511-2026")</f>
        <v/>
      </c>
      <c r="X104">
        <f>HYPERLINK("https://klasma.github.io/Logging_0680/kartor/A 7511-2026 karta.png", "A 7511-2026")</f>
        <v/>
      </c>
      <c r="Y104">
        <f>HYPERLINK("https://klasma.github.io/Logging_0680/kartor_geotiff/A 7511-2026 georefererad karta.tif", "A 7511-2026")</f>
        <v/>
      </c>
      <c r="AA104">
        <f>HYPERLINK("https://klasma.github.io/Logging_0680/klagomål/A 7511-2026 FSC-klagomål.docx", "A 7511-2026")</f>
        <v/>
      </c>
      <c r="AB104">
        <f>HYPERLINK("https://klasma.github.io/Logging_0680/klagomålsmail/A 7511-2026 FSC-klagomål mail.docx", "A 7511-2026")</f>
        <v/>
      </c>
      <c r="AC104">
        <f>HYPERLINK("https://klasma.github.io/Logging_0680/tillsyn/A 7511-2026 tillsynsbegäran.docx", "A 7511-2026")</f>
        <v/>
      </c>
      <c r="AD104">
        <f>HYPERLINK("https://klasma.github.io/Logging_0680/tillsynsmail/A 7511-2026 tillsynsbegäran mail.docx", "A 7511-2026")</f>
        <v/>
      </c>
    </row>
    <row r="105" ht="15" customHeight="1">
      <c r="A105" t="inlineStr">
        <is>
          <t>A 30718-2026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46211</v>
      </c>
      <c r="E105" s="1" t="n">
        <v>46228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11.4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Spindelblomster</t>
        </is>
      </c>
      <c r="W105">
        <f>HYPERLINK("https://klasma.github.io/Logging_0680/artfynd/A 30718-2026 artfynd.xlsx", "A 30718-2026")</f>
        <v/>
      </c>
      <c r="X105">
        <f>HYPERLINK("https://klasma.github.io/Logging_0680/kartor/A 30718-2026 karta.png", "A 30718-2026")</f>
        <v/>
      </c>
      <c r="Y105">
        <f>HYPERLINK("https://klasma.github.io/Logging_0680/kartor_geotiff/A 30718-2026 georefererad karta.tif", "A 30718-2026")</f>
        <v/>
      </c>
      <c r="AA105">
        <f>HYPERLINK("https://klasma.github.io/Logging_0680/klagomål/A 30718-2026 FSC-klagomål.docx", "A 30718-2026")</f>
        <v/>
      </c>
      <c r="AB105">
        <f>HYPERLINK("https://klasma.github.io/Logging_0680/klagomålsmail/A 30718-2026 FSC-klagomål mail.docx", "A 30718-2026")</f>
        <v/>
      </c>
      <c r="AC105">
        <f>HYPERLINK("https://klasma.github.io/Logging_0680/tillsyn/A 30718-2026 tillsynsbegäran.docx", "A 30718-2026")</f>
        <v/>
      </c>
      <c r="AD105">
        <f>HYPERLINK("https://klasma.github.io/Logging_0680/tillsynsmail/A 30718-2026 tillsynsbegäran mail.docx", "A 30718-2026")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46228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46228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HYPERLINK("https://klasma.github.io/Logging_0680/artfynd/A 11260-2023 artfynd.xlsx", "A 11260-2023")</f>
        <v/>
      </c>
      <c r="X107">
        <f>HYPERLINK("https://klasma.github.io/Logging_0680/kartor/A 11260-2023 karta.png", "A 11260-2023")</f>
        <v/>
      </c>
      <c r="Y107">
        <f>HYPERLINK("https://klasma.github.io/Logging_0680/kartor_geotiff/A 11260-2023 georefererad karta.tif", "A 11260-2023")</f>
        <v/>
      </c>
      <c r="Z107">
        <f>HYPERLINK("https://klasma.github.io/Logging_0680/knärot/A 11260-2023 karta knärot.png", "A 11260-2023")</f>
        <v/>
      </c>
      <c r="AA107">
        <f>HYPERLINK("https://klasma.github.io/Logging_0680/klagomål/A 11260-2023 FSC-klagomål.docx", "A 11260-2023")</f>
        <v/>
      </c>
      <c r="AB107">
        <f>HYPERLINK("https://klasma.github.io/Logging_0680/klagomålsmail/A 11260-2023 FSC-klagomål mail.docx", "A 11260-2023")</f>
        <v/>
      </c>
      <c r="AC107">
        <f>HYPERLINK("https://klasma.github.io/Logging_0680/tillsyn/A 11260-2023 tillsynsbegäran.docx", "A 11260-2023")</f>
        <v/>
      </c>
      <c r="AD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46228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HYPERLINK("https://klasma.github.io/Logging_0680/artfynd/A 43538-2021 artfynd.xlsx", "A 43538-2021")</f>
        <v/>
      </c>
      <c r="X108">
        <f>HYPERLINK("https://klasma.github.io/Logging_0680/kartor/A 43538-2021 karta.png", "A 43538-2021")</f>
        <v/>
      </c>
      <c r="Y108">
        <f>HYPERLINK("https://klasma.github.io/Logging_0680/kartor_geotiff/A 43538-2021 georefererad karta.tif", "A 43538-2021")</f>
        <v/>
      </c>
      <c r="AA108">
        <f>HYPERLINK("https://klasma.github.io/Logging_0680/klagomål/A 43538-2021 FSC-klagomål.docx", "A 43538-2021")</f>
        <v/>
      </c>
      <c r="AB108">
        <f>HYPERLINK("https://klasma.github.io/Logging_0680/klagomålsmail/A 43538-2021 FSC-klagomål mail.docx", "A 43538-2021")</f>
        <v/>
      </c>
      <c r="AC108">
        <f>HYPERLINK("https://klasma.github.io/Logging_0680/tillsyn/A 43538-2021 tillsynsbegäran.docx", "A 43538-2021")</f>
        <v/>
      </c>
      <c r="AD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46228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46228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46228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7092-2024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46228</v>
      </c>
      <c r="F112" t="inlineStr">
        <is>
          <t>JÖNKÖPINGS LÄN</t>
        </is>
      </c>
      <c r="G112" t="inlineStr">
        <is>
          <t>JÖNKÖPING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HYPERLINK("https://klasma.github.io/Logging_0680/artfynd/A 7092-2024 artfynd.xlsx", "A 7092-2024")</f>
        <v/>
      </c>
      <c r="X112">
        <f>HYPERLINK("https://klasma.github.io/Logging_0680/kartor/A 7092-2024 karta.png", "A 7092-2024")</f>
        <v/>
      </c>
      <c r="Y112">
        <f>HYPERLINK("https://klasma.github.io/Logging_0680/kartor_geotiff/A 7092-2024 georefererad karta.tif", "A 7092-2024")</f>
        <v/>
      </c>
      <c r="AA112">
        <f>HYPERLINK("https://klasma.github.io/Logging_0680/klagomål/A 7092-2024 FSC-klagomål.docx", "A 7092-2024")</f>
        <v/>
      </c>
      <c r="AB112">
        <f>HYPERLINK("https://klasma.github.io/Logging_0680/klagomålsmail/A 7092-2024 FSC-klagomål mail.docx", "A 7092-2024")</f>
        <v/>
      </c>
      <c r="AC112">
        <f>HYPERLINK("https://klasma.github.io/Logging_0680/tillsyn/A 7092-2024 tillsynsbegäran.docx", "A 7092-2024")</f>
        <v/>
      </c>
      <c r="AD112">
        <f>HYPERLINK("https://klasma.github.io/Logging_0680/tillsynsmail/A 7092-2024 tillsynsbegäran mail.docx", "A 7092-2024")</f>
        <v/>
      </c>
    </row>
    <row r="113" ht="15" customHeight="1">
      <c r="A113" t="inlineStr">
        <is>
          <t>A 58346-2022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46228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Övriga statliga verk och myndigheter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Gyllensopp</t>
        </is>
      </c>
      <c r="W113">
        <f>HYPERLINK("https://klasma.github.io/Logging_0680/artfynd/A 58346-2022 artfynd.xlsx", "A 58346-2022")</f>
        <v/>
      </c>
      <c r="X113">
        <f>HYPERLINK("https://klasma.github.io/Logging_0680/kartor/A 58346-2022 karta.png", "A 58346-2022")</f>
        <v/>
      </c>
      <c r="Y113">
        <f>HYPERLINK("https://klasma.github.io/Logging_0680/kartor_geotiff/A 58346-2022 georefererad karta.tif", "A 58346-2022")</f>
        <v/>
      </c>
      <c r="AA113">
        <f>HYPERLINK("https://klasma.github.io/Logging_0680/klagomål/A 58346-2022 FSC-klagomål.docx", "A 58346-2022")</f>
        <v/>
      </c>
      <c r="AB113">
        <f>HYPERLINK("https://klasma.github.io/Logging_0680/klagomålsmail/A 58346-2022 FSC-klagomål mail.docx", "A 58346-2022")</f>
        <v/>
      </c>
      <c r="AC113">
        <f>HYPERLINK("https://klasma.github.io/Logging_0680/tillsyn/A 58346-2022 tillsynsbegäran.docx", "A 58346-2022")</f>
        <v/>
      </c>
      <c r="AD113">
        <f>HYPERLINK("https://klasma.github.io/Logging_0680/tillsynsmail/A 58346-2022 tillsynsbegäran mail.docx", "A 58346-2022")</f>
        <v/>
      </c>
    </row>
    <row r="114" ht="15" customHeight="1">
      <c r="A114" t="inlineStr">
        <is>
          <t>A 40795-2024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46228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Kattfotslav</t>
        </is>
      </c>
      <c r="W114">
        <f>HYPERLINK("https://klasma.github.io/Logging_0680/artfynd/A 40795-2024 artfynd.xlsx", "A 40795-2024")</f>
        <v/>
      </c>
      <c r="X114">
        <f>HYPERLINK("https://klasma.github.io/Logging_0680/kartor/A 40795-2024 karta.png", "A 40795-2024")</f>
        <v/>
      </c>
      <c r="Y114">
        <f>HYPERLINK("https://klasma.github.io/Logging_0680/kartor_geotiff/A 40795-2024 georefererad karta.tif", "A 40795-2024")</f>
        <v/>
      </c>
      <c r="AA114">
        <f>HYPERLINK("https://klasma.github.io/Logging_0680/klagomål/A 40795-2024 FSC-klagomål.docx", "A 40795-2024")</f>
        <v/>
      </c>
      <c r="AB114">
        <f>HYPERLINK("https://klasma.github.io/Logging_0680/klagomålsmail/A 40795-2024 FSC-klagomål mail.docx", "A 40795-2024")</f>
        <v/>
      </c>
      <c r="AC114">
        <f>HYPERLINK("https://klasma.github.io/Logging_0680/tillsyn/A 40795-2024 tillsynsbegäran.docx", "A 40795-2024")</f>
        <v/>
      </c>
      <c r="AD114">
        <f>HYPERLINK("https://klasma.github.io/Logging_0680/tillsynsmail/A 40795-2024 tillsynsbegäran mail.docx", "A 40795-2024")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46228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HYPERLINK("https://klasma.github.io/Logging_0680/artfynd/A 50190-2024 artfynd.xlsx", "A 50190-2024")</f>
        <v/>
      </c>
      <c r="X115">
        <f>HYPERLINK("https://klasma.github.io/Logging_0680/kartor/A 50190-2024 karta.png", "A 50190-2024")</f>
        <v/>
      </c>
      <c r="Y115">
        <f>HYPERLINK("https://klasma.github.io/Logging_0680/kartor_geotiff/A 50190-2024 georefererad karta.tif", "A 50190-2024")</f>
        <v/>
      </c>
      <c r="AA115">
        <f>HYPERLINK("https://klasma.github.io/Logging_0680/klagomål/A 50190-2024 FSC-klagomål.docx", "A 50190-2024")</f>
        <v/>
      </c>
      <c r="AB115">
        <f>HYPERLINK("https://klasma.github.io/Logging_0680/klagomålsmail/A 50190-2024 FSC-klagomål mail.docx", "A 50190-2024")</f>
        <v/>
      </c>
      <c r="AC115">
        <f>HYPERLINK("https://klasma.github.io/Logging_0680/tillsyn/A 50190-2024 tillsynsbegäran.docx", "A 50190-2024")</f>
        <v/>
      </c>
      <c r="AD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54424-2024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46228</v>
      </c>
      <c r="F116" t="inlineStr">
        <is>
          <t>JÖNKÖPINGS LÄN</t>
        </is>
      </c>
      <c r="G116" t="inlineStr">
        <is>
          <t>JÖNKÖPING</t>
        </is>
      </c>
      <c r="I116" t="n">
        <v>6.2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HYPERLINK("https://klasma.github.io/Logging_0680/artfynd/A 54424-2024 artfynd.xlsx", "A 54424-2024")</f>
        <v/>
      </c>
      <c r="X116">
        <f>HYPERLINK("https://klasma.github.io/Logging_0680/kartor/A 54424-2024 karta.png", "A 54424-2024")</f>
        <v/>
      </c>
      <c r="Y116">
        <f>HYPERLINK("https://klasma.github.io/Logging_0680/kartor_geotiff/A 54424-2024 georefererad karta.tif", "A 54424-2024")</f>
        <v/>
      </c>
      <c r="AA116">
        <f>HYPERLINK("https://klasma.github.io/Logging_0680/klagomål/A 54424-2024 FSC-klagomål.docx", "A 54424-2024")</f>
        <v/>
      </c>
      <c r="AB116">
        <f>HYPERLINK("https://klasma.github.io/Logging_0680/klagomålsmail/A 54424-2024 FSC-klagomål mail.docx", "A 54424-2024")</f>
        <v/>
      </c>
      <c r="AC116">
        <f>HYPERLINK("https://klasma.github.io/Logging_0680/tillsyn/A 54424-2024 tillsynsbegäran.docx", "A 54424-2024")</f>
        <v/>
      </c>
      <c r="AD116">
        <f>HYPERLINK("https://klasma.github.io/Logging_0680/tillsynsmail/A 54424-2024 tillsynsbegäran mail.docx", "A 54424-2024")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46228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71504-2021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44540</v>
      </c>
      <c r="E118" s="1" t="n">
        <v>46228</v>
      </c>
      <c r="F118" t="inlineStr">
        <is>
          <t>JÖNKÖPINGS LÄN</t>
        </is>
      </c>
      <c r="G118" t="inlineStr">
        <is>
          <t>JÖNKÖPING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HYPERLINK("https://klasma.github.io/Logging_0680/artfynd/A 71504-2021 artfynd.xlsx", "A 71504-2021")</f>
        <v/>
      </c>
      <c r="X118">
        <f>HYPERLINK("https://klasma.github.io/Logging_0680/kartor/A 71504-2021 karta.png", "A 71504-2021")</f>
        <v/>
      </c>
      <c r="Y118">
        <f>HYPERLINK("https://klasma.github.io/Logging_0680/kartor_geotiff/A 71504-2021 georefererad karta.tif", "A 71504-2021")</f>
        <v/>
      </c>
      <c r="AA118">
        <f>HYPERLINK("https://klasma.github.io/Logging_0680/klagomål/A 71504-2021 FSC-klagomål.docx", "A 71504-2021")</f>
        <v/>
      </c>
      <c r="AB118">
        <f>HYPERLINK("https://klasma.github.io/Logging_0680/klagomålsmail/A 71504-2021 FSC-klagomål mail.docx", "A 71504-2021")</f>
        <v/>
      </c>
      <c r="AC118">
        <f>HYPERLINK("https://klasma.github.io/Logging_0680/tillsyn/A 71504-2021 tillsynsbegäran.docx", "A 71504-2021")</f>
        <v/>
      </c>
      <c r="AD118">
        <f>HYPERLINK("https://klasma.github.io/Logging_0680/tillsynsmail/A 71504-2021 tillsynsbegäran mail.docx", "A 71504-2021")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46228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46228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A 33405-2025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46228</v>
      </c>
      <c r="F121" t="inlineStr">
        <is>
          <t>JÖNKÖPINGS LÄN</t>
        </is>
      </c>
      <c r="G121" t="inlineStr">
        <is>
          <t>JÖNKÖPING</t>
        </is>
      </c>
      <c r="I121" t="n">
        <v>3.9</v>
      </c>
      <c r="J121" t="n">
        <v>1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Läkeögontröst</t>
        </is>
      </c>
      <c r="W121">
        <f>HYPERLINK("https://klasma.github.io/Logging_0680/artfynd/A 33405-2025 artfynd.xlsx", "A 33405-2025")</f>
        <v/>
      </c>
      <c r="X121">
        <f>HYPERLINK("https://klasma.github.io/Logging_0680/kartor/A 33405-2025 karta.png", "A 33405-2025")</f>
        <v/>
      </c>
      <c r="Y121">
        <f>HYPERLINK("https://klasma.github.io/Logging_0680/kartor_geotiff/A 33405-2025 georefererad karta.tif", "A 33405-2025")</f>
        <v/>
      </c>
      <c r="AA121">
        <f>HYPERLINK("https://klasma.github.io/Logging_0680/klagomål/A 33405-2025 FSC-klagomål.docx", "A 33405-2025")</f>
        <v/>
      </c>
      <c r="AB121">
        <f>HYPERLINK("https://klasma.github.io/Logging_0680/klagomålsmail/A 33405-2025 FSC-klagomål mail.docx", "A 33405-2025")</f>
        <v/>
      </c>
      <c r="AC121">
        <f>HYPERLINK("https://klasma.github.io/Logging_0680/tillsyn/A 33405-2025 tillsynsbegäran.docx", "A 33405-2025")</f>
        <v/>
      </c>
      <c r="AD121">
        <f>HYPERLINK("https://klasma.github.io/Logging_0680/tillsynsmail/A 33405-2025 tillsynsbegäran mail.docx", "A 33405-2025")</f>
        <v/>
      </c>
    </row>
    <row r="122" ht="15" customHeight="1">
      <c r="A122" t="inlineStr">
        <is>
          <t>A 54325-2024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46228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HYPERLINK("https://klasma.github.io/Logging_0680/artfynd/A 54325-2024 artfynd.xlsx", "A 54325-2024")</f>
        <v/>
      </c>
      <c r="X122">
        <f>HYPERLINK("https://klasma.github.io/Logging_0680/kartor/A 54325-2024 karta.png", "A 54325-2024")</f>
        <v/>
      </c>
      <c r="Y122">
        <f>HYPERLINK("https://klasma.github.io/Logging_0680/kartor_geotiff/A 54325-2024 georefererad karta.tif", "A 54325-2024")</f>
        <v/>
      </c>
      <c r="AA122">
        <f>HYPERLINK("https://klasma.github.io/Logging_0680/klagomål/A 54325-2024 FSC-klagomål.docx", "A 54325-2024")</f>
        <v/>
      </c>
      <c r="AB122">
        <f>HYPERLINK("https://klasma.github.io/Logging_0680/klagomålsmail/A 54325-2024 FSC-klagomål mail.docx", "A 54325-2024")</f>
        <v/>
      </c>
      <c r="AC122">
        <f>HYPERLINK("https://klasma.github.io/Logging_0680/tillsyn/A 54325-2024 tillsynsbegäran.docx", "A 54325-2024")</f>
        <v/>
      </c>
      <c r="AD122">
        <f>HYPERLINK("https://klasma.github.io/Logging_0680/tillsynsmail/A 54325-2024 tillsynsbegäran mail.docx", "A 54325-2024")</f>
        <v/>
      </c>
      <c r="AE122">
        <f>HYPERLINK("https://klasma.github.io/Logging_0680/fåglar/A 54325-2024 prioriterade fågelarter.docx", "A 54325-2024")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46228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46228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46228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46228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46228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46228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46228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46228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46228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46228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46228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46228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44404</v>
      </c>
      <c r="E135" s="1" t="n">
        <v>46228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46228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46228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46228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46228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46228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44411</v>
      </c>
      <c r="E141" s="1" t="n">
        <v>46228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46228</v>
      </c>
      <c r="F142" t="inlineStr">
        <is>
          <t>JÖNKÖPINGS LÄN</t>
        </is>
      </c>
      <c r="G142" t="inlineStr">
        <is>
          <t>JÖNKÖPING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46228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46228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46228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46228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44404</v>
      </c>
      <c r="E147" s="1" t="n">
        <v>46228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46228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44665</v>
      </c>
      <c r="E149" s="1" t="n">
        <v>46228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46228</v>
      </c>
      <c r="F150" t="inlineStr">
        <is>
          <t>JÖNKÖPINGS LÄN</t>
        </is>
      </c>
      <c r="G150" t="inlineStr">
        <is>
          <t>JÖNKÖPING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46228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57933-2021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44487</v>
      </c>
      <c r="E152" s="1" t="n">
        <v>46228</v>
      </c>
      <c r="F152" t="inlineStr">
        <is>
          <t>JÖNKÖPINGS LÄN</t>
        </is>
      </c>
      <c r="G152" t="inlineStr">
        <is>
          <t>JÖNKÖPING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46228</v>
      </c>
      <c r="F153" t="inlineStr">
        <is>
          <t>JÖNKÖPINGS LÄN</t>
        </is>
      </c>
      <c r="G153" t="inlineStr">
        <is>
          <t>JÖNKÖPING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46228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46228</v>
      </c>
      <c r="F155" t="inlineStr">
        <is>
          <t>JÖNKÖPINGS LÄN</t>
        </is>
      </c>
      <c r="G155" t="inlineStr">
        <is>
          <t>JÖNKÖPING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46228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44673</v>
      </c>
      <c r="E157" s="1" t="n">
        <v>46228</v>
      </c>
      <c r="F157" t="inlineStr">
        <is>
          <t>JÖNKÖPINGS LÄN</t>
        </is>
      </c>
      <c r="G157" t="inlineStr">
        <is>
          <t>JÖNKÖPING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46228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46228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46228</v>
      </c>
      <c r="F160" t="inlineStr">
        <is>
          <t>JÖNKÖPINGS LÄN</t>
        </is>
      </c>
      <c r="G160" t="inlineStr">
        <is>
          <t>JÖNKÖPING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46228</v>
      </c>
      <c r="F161" t="inlineStr">
        <is>
          <t>JÖNKÖPINGS LÄN</t>
        </is>
      </c>
      <c r="G161" t="inlineStr">
        <is>
          <t>JÖNKÖPING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46228</v>
      </c>
      <c r="F162" t="inlineStr">
        <is>
          <t>JÖNKÖPINGS LÄN</t>
        </is>
      </c>
      <c r="G162" t="inlineStr">
        <is>
          <t>JÖNKÖPING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44440</v>
      </c>
      <c r="E163" s="1" t="n">
        <v>46228</v>
      </c>
      <c r="F163" t="inlineStr">
        <is>
          <t>JÖNKÖPINGS LÄN</t>
        </is>
      </c>
      <c r="G163" t="inlineStr">
        <is>
          <t>JÖNKÖPING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46228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46228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46228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46228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46228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46228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46228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46228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46228</v>
      </c>
      <c r="F172" t="inlineStr">
        <is>
          <t>JÖNKÖPINGS LÄN</t>
        </is>
      </c>
      <c r="G172" t="inlineStr">
        <is>
          <t>JÖNKÖPING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46228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46228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46228</v>
      </c>
      <c r="F175" t="inlineStr">
        <is>
          <t>JÖNKÖPINGS LÄN</t>
        </is>
      </c>
      <c r="G175" t="inlineStr">
        <is>
          <t>JÖNKÖPING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74120-2021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44557</v>
      </c>
      <c r="E176" s="1" t="n">
        <v>46228</v>
      </c>
      <c r="F176" t="inlineStr">
        <is>
          <t>JÖNKÖPINGS LÄN</t>
        </is>
      </c>
      <c r="G176" t="inlineStr">
        <is>
          <t>JÖNKÖPING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46228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46228</v>
      </c>
      <c r="F178" t="inlineStr">
        <is>
          <t>JÖNKÖPINGS LÄN</t>
        </is>
      </c>
      <c r="G178" t="inlineStr">
        <is>
          <t>JÖNKÖPING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44575</v>
      </c>
      <c r="E179" s="1" t="n">
        <v>46228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46228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46228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46228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46228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46228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46228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67306-2021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46228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44605</v>
      </c>
      <c r="E187" s="1" t="n">
        <v>46228</v>
      </c>
      <c r="F187" t="inlineStr">
        <is>
          <t>JÖNKÖPINGS LÄN</t>
        </is>
      </c>
      <c r="G187" t="inlineStr">
        <is>
          <t>JÖNKÖPING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46228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46228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46228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46228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46228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46228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46228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46228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44614</v>
      </c>
      <c r="E196" s="1" t="n">
        <v>46228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46228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46228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46228</v>
      </c>
      <c r="F199" t="inlineStr">
        <is>
          <t>JÖNKÖPINGS LÄN</t>
        </is>
      </c>
      <c r="G199" t="inlineStr">
        <is>
          <t>JÖNKÖPING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46228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46228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46228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46228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46228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46228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44805</v>
      </c>
      <c r="E206" s="1" t="n">
        <v>46228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46228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46228</v>
      </c>
      <c r="F208" t="inlineStr">
        <is>
          <t>JÖNKÖPINGS LÄN</t>
        </is>
      </c>
      <c r="G208" t="inlineStr">
        <is>
          <t>JÖNKÖPING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46228</v>
      </c>
      <c r="F209" t="inlineStr">
        <is>
          <t>JÖNKÖPINGS LÄN</t>
        </is>
      </c>
      <c r="G209" t="inlineStr">
        <is>
          <t>JÖNKÖPING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44711</v>
      </c>
      <c r="E210" s="1" t="n">
        <v>46228</v>
      </c>
      <c r="F210" t="inlineStr">
        <is>
          <t>JÖNKÖPINGS LÄN</t>
        </is>
      </c>
      <c r="G210" t="inlineStr">
        <is>
          <t>JÖNKÖPING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46228</v>
      </c>
      <c r="F211" t="inlineStr">
        <is>
          <t>JÖNKÖPINGS LÄN</t>
        </is>
      </c>
      <c r="G211" t="inlineStr">
        <is>
          <t>JÖNKÖPING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46228</v>
      </c>
      <c r="F212" t="inlineStr">
        <is>
          <t>JÖNKÖPINGS LÄN</t>
        </is>
      </c>
      <c r="G212" t="inlineStr">
        <is>
          <t>JÖNKÖPING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46228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46228</v>
      </c>
      <c r="F214" t="inlineStr">
        <is>
          <t>JÖNKÖPINGS LÄN</t>
        </is>
      </c>
      <c r="G214" t="inlineStr">
        <is>
          <t>JÖNKÖPING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46228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44853</v>
      </c>
      <c r="E216" s="1" t="n">
        <v>46228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46228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46228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45697</v>
      </c>
      <c r="E219" s="1" t="n">
        <v>46228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46228</v>
      </c>
      <c r="F220" t="inlineStr">
        <is>
          <t>JÖNKÖPINGS LÄN</t>
        </is>
      </c>
      <c r="G220" t="inlineStr">
        <is>
          <t>JÖNKÖPING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45111</v>
      </c>
      <c r="E221" s="1" t="n">
        <v>46228</v>
      </c>
      <c r="F221" t="inlineStr">
        <is>
          <t>JÖNKÖPINGS LÄN</t>
        </is>
      </c>
      <c r="G221" t="inlineStr">
        <is>
          <t>JÖNKÖPING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46228</v>
      </c>
      <c r="F222" t="inlineStr">
        <is>
          <t>JÖNKÖPINGS LÄN</t>
        </is>
      </c>
      <c r="G222" t="inlineStr">
        <is>
          <t>JÖNKÖPING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46228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45605</v>
      </c>
      <c r="E224" s="1" t="n">
        <v>46228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46228</v>
      </c>
      <c r="F225" t="inlineStr">
        <is>
          <t>JÖNKÖPINGS LÄN</t>
        </is>
      </c>
      <c r="G225" t="inlineStr">
        <is>
          <t>JÖNKÖPING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44589</v>
      </c>
      <c r="E226" s="1" t="n">
        <v>46228</v>
      </c>
      <c r="F226" t="inlineStr">
        <is>
          <t>JÖNKÖPINGS LÄN</t>
        </is>
      </c>
      <c r="G226" t="inlineStr">
        <is>
          <t>JÖNKÖPING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46228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46228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46228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46228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46228</v>
      </c>
      <c r="F231" t="inlineStr">
        <is>
          <t>JÖNKÖPINGS LÄN</t>
        </is>
      </c>
      <c r="G231" t="inlineStr">
        <is>
          <t>JÖNKÖPING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46228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46228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46228</v>
      </c>
      <c r="F234" t="inlineStr">
        <is>
          <t>JÖNKÖPINGS LÄN</t>
        </is>
      </c>
      <c r="G234" t="inlineStr">
        <is>
          <t>JÖNKÖPING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46228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46228</v>
      </c>
      <c r="F236" t="inlineStr">
        <is>
          <t>JÖNKÖPINGS LÄN</t>
        </is>
      </c>
      <c r="G236" t="inlineStr">
        <is>
          <t>JÖNKÖPING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45295</v>
      </c>
      <c r="E237" s="1" t="n">
        <v>46228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45621</v>
      </c>
      <c r="E238" s="1" t="n">
        <v>46228</v>
      </c>
      <c r="F238" t="inlineStr">
        <is>
          <t>JÖNKÖPINGS LÄN</t>
        </is>
      </c>
      <c r="G238" t="inlineStr">
        <is>
          <t>JÖNKÖPING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46228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46228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46228</v>
      </c>
      <c r="F241" t="inlineStr">
        <is>
          <t>JÖNKÖPINGS LÄN</t>
        </is>
      </c>
      <c r="G241" t="inlineStr">
        <is>
          <t>JÖNKÖPING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46228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46228</v>
      </c>
      <c r="F243" t="inlineStr">
        <is>
          <t>JÖNKÖPINGS LÄN</t>
        </is>
      </c>
      <c r="G243" t="inlineStr">
        <is>
          <t>JÖNKÖPING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44938</v>
      </c>
      <c r="E244" s="1" t="n">
        <v>46228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46228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46228</v>
      </c>
      <c r="F246" t="inlineStr">
        <is>
          <t>JÖNKÖPINGS LÄN</t>
        </is>
      </c>
      <c r="G246" t="inlineStr">
        <is>
          <t>JÖNKÖPING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46228</v>
      </c>
      <c r="F247" t="inlineStr">
        <is>
          <t>JÖNKÖPINGS LÄN</t>
        </is>
      </c>
      <c r="G247" t="inlineStr">
        <is>
          <t>JÖNKÖPING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46228</v>
      </c>
      <c r="F248" t="inlineStr">
        <is>
          <t>JÖNKÖPINGS LÄN</t>
        </is>
      </c>
      <c r="G248" t="inlineStr">
        <is>
          <t>JÖNKÖPING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46228</v>
      </c>
      <c r="F249" t="inlineStr">
        <is>
          <t>JÖNKÖPINGS LÄN</t>
        </is>
      </c>
      <c r="G249" t="inlineStr">
        <is>
          <t>JÖNKÖPING</t>
        </is>
      </c>
      <c r="I249" t="n">
        <v>14.5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46228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46228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Kommuner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46228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46228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Kommuner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46228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44861</v>
      </c>
      <c r="E255" s="1" t="n">
        <v>46228</v>
      </c>
      <c r="F255" t="inlineStr">
        <is>
          <t>JÖNKÖPINGS LÄN</t>
        </is>
      </c>
      <c r="G255" t="inlineStr">
        <is>
          <t>JÖNKÖPING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46228</v>
      </c>
      <c r="F256" t="inlineStr">
        <is>
          <t>JÖNKÖPINGS LÄN</t>
        </is>
      </c>
      <c r="G256" t="inlineStr">
        <is>
          <t>JÖNKÖPING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46228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44662</v>
      </c>
      <c r="E258" s="1" t="n">
        <v>46228</v>
      </c>
      <c r="F258" t="inlineStr">
        <is>
          <t>JÖNKÖPINGS LÄN</t>
        </is>
      </c>
      <c r="G258" t="inlineStr">
        <is>
          <t>JÖNKÖPING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45406</v>
      </c>
      <c r="E259" s="1" t="n">
        <v>46228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46228</v>
      </c>
      <c r="F260" t="inlineStr">
        <is>
          <t>JÖNKÖPINGS LÄN</t>
        </is>
      </c>
      <c r="G260" t="inlineStr">
        <is>
          <t>JÖNKÖPING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46228</v>
      </c>
      <c r="F261" t="inlineStr">
        <is>
          <t>JÖNKÖPINGS LÄN</t>
        </is>
      </c>
      <c r="G261" t="inlineStr">
        <is>
          <t>JÖNKÖPING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37003-2024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46228</v>
      </c>
      <c r="F262" t="inlineStr">
        <is>
          <t>JÖNKÖPINGS LÄN</t>
        </is>
      </c>
      <c r="G262" t="inlineStr">
        <is>
          <t>JÖNKÖPING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44423</v>
      </c>
      <c r="E263" s="1" t="n">
        <v>46228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46228</v>
      </c>
      <c r="F264" t="inlineStr">
        <is>
          <t>JÖNKÖPINGS LÄN</t>
        </is>
      </c>
      <c r="G264" t="inlineStr">
        <is>
          <t>JÖNKÖPING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44571</v>
      </c>
      <c r="E265" s="1" t="n">
        <v>46228</v>
      </c>
      <c r="F265" t="inlineStr">
        <is>
          <t>JÖNKÖPINGS LÄN</t>
        </is>
      </c>
      <c r="G265" t="inlineStr">
        <is>
          <t>JÖNKÖPING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46228</v>
      </c>
      <c r="F266" t="inlineStr">
        <is>
          <t>JÖNKÖPINGS LÄN</t>
        </is>
      </c>
      <c r="G266" t="inlineStr">
        <is>
          <t>JÖNKÖPING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46228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46228</v>
      </c>
      <c r="F268" t="inlineStr">
        <is>
          <t>JÖNKÖPINGS LÄN</t>
        </is>
      </c>
      <c r="G268" t="inlineStr">
        <is>
          <t>JÖNKÖPING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46228</v>
      </c>
      <c r="F269" t="inlineStr">
        <is>
          <t>JÖNKÖPINGS LÄN</t>
        </is>
      </c>
      <c r="G269" t="inlineStr">
        <is>
          <t>JÖNKÖPING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44622</v>
      </c>
      <c r="E270" s="1" t="n">
        <v>46228</v>
      </c>
      <c r="F270" t="inlineStr">
        <is>
          <t>JÖNKÖPINGS LÄN</t>
        </is>
      </c>
      <c r="G270" t="inlineStr">
        <is>
          <t>JÖNKÖPING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46228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Övriga statliga verk och myndigheter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46228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45037</v>
      </c>
      <c r="E273" s="1" t="n">
        <v>46228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50192-2024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45600</v>
      </c>
      <c r="E274" s="1" t="n">
        <v>46228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50193-2024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45600</v>
      </c>
      <c r="E275" s="1" t="n">
        <v>46228</v>
      </c>
      <c r="F275" t="inlineStr">
        <is>
          <t>JÖNKÖPINGS LÄN</t>
        </is>
      </c>
      <c r="G275" t="inlineStr">
        <is>
          <t>JÖNKÖPING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46228</v>
      </c>
      <c r="F276" t="inlineStr">
        <is>
          <t>JÖNKÖPINGS LÄN</t>
        </is>
      </c>
      <c r="G276" t="inlineStr">
        <is>
          <t>JÖNKÖPING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46228</v>
      </c>
      <c r="F277" t="inlineStr">
        <is>
          <t>JÖNKÖPINGS LÄN</t>
        </is>
      </c>
      <c r="G277" t="inlineStr">
        <is>
          <t>JÖNKÖPING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46228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11236-2024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45371</v>
      </c>
      <c r="E279" s="1" t="n">
        <v>46228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46228</v>
      </c>
      <c r="F280" t="inlineStr">
        <is>
          <t>JÖNKÖPINGS LÄN</t>
        </is>
      </c>
      <c r="G280" t="inlineStr">
        <is>
          <t>JÖNKÖPING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46228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45682</v>
      </c>
      <c r="E282" s="1" t="n">
        <v>46228</v>
      </c>
      <c r="F282" t="inlineStr">
        <is>
          <t>JÖNKÖPINGS LÄN</t>
        </is>
      </c>
      <c r="G282" t="inlineStr">
        <is>
          <t>JÖNKÖPING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46228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46228</v>
      </c>
      <c r="F284" t="inlineStr">
        <is>
          <t>JÖNKÖPINGS LÄN</t>
        </is>
      </c>
      <c r="G284" t="inlineStr">
        <is>
          <t>JÖNKÖPING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44585</v>
      </c>
      <c r="E285" s="1" t="n">
        <v>46228</v>
      </c>
      <c r="F285" t="inlineStr">
        <is>
          <t>JÖNKÖPINGS LÄN</t>
        </is>
      </c>
      <c r="G285" t="inlineStr">
        <is>
          <t>JÖNKÖPING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46228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46228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46228</v>
      </c>
      <c r="F288" t="inlineStr">
        <is>
          <t>JÖNKÖPINGS LÄN</t>
        </is>
      </c>
      <c r="G288" t="inlineStr">
        <is>
          <t>JÖNKÖPING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46228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45502</v>
      </c>
      <c r="E290" s="1" t="n">
        <v>46228</v>
      </c>
      <c r="F290" t="inlineStr">
        <is>
          <t>JÖNKÖPINGS LÄN</t>
        </is>
      </c>
      <c r="G290" t="inlineStr">
        <is>
          <t>JÖNKÖPING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63207-2021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44507</v>
      </c>
      <c r="E291" s="1" t="n">
        <v>46228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44846</v>
      </c>
      <c r="E292" s="1" t="n">
        <v>46228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45358</v>
      </c>
      <c r="E293" s="1" t="n">
        <v>46228</v>
      </c>
      <c r="F293" t="inlineStr">
        <is>
          <t>JÖNKÖPINGS LÄN</t>
        </is>
      </c>
      <c r="G293" t="inlineStr">
        <is>
          <t>JÖNKÖPING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46228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44449</v>
      </c>
      <c r="E295" s="1" t="n">
        <v>46228</v>
      </c>
      <c r="F295" t="inlineStr">
        <is>
          <t>JÖNKÖPINGS LÄN</t>
        </is>
      </c>
      <c r="G295" t="inlineStr">
        <is>
          <t>JÖNKÖPING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46228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46228</v>
      </c>
      <c r="F297" t="inlineStr">
        <is>
          <t>JÖNKÖPINGS LÄN</t>
        </is>
      </c>
      <c r="G297" t="inlineStr">
        <is>
          <t>JÖNKÖPING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45788</v>
      </c>
      <c r="E298" s="1" t="n">
        <v>46228</v>
      </c>
      <c r="F298" t="inlineStr">
        <is>
          <t>JÖNKÖPINGS LÄN</t>
        </is>
      </c>
      <c r="G298" t="inlineStr">
        <is>
          <t>JÖNKÖPING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45870</v>
      </c>
      <c r="E299" s="1" t="n">
        <v>46228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46228</v>
      </c>
      <c r="F300" t="inlineStr">
        <is>
          <t>JÖNKÖPINGS LÄN</t>
        </is>
      </c>
      <c r="G300" t="inlineStr">
        <is>
          <t>JÖNKÖPING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45240</v>
      </c>
      <c r="E301" s="1" t="n">
        <v>46228</v>
      </c>
      <c r="F301" t="inlineStr">
        <is>
          <t>JÖNKÖPINGS LÄN</t>
        </is>
      </c>
      <c r="G301" t="inlineStr">
        <is>
          <t>JÖNKÖPING</t>
        </is>
      </c>
      <c r="I301" t="n">
        <v>13.6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46228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45875</v>
      </c>
      <c r="E303" s="1" t="n">
        <v>46228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46228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46228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46228</v>
      </c>
      <c r="F306" t="inlineStr">
        <is>
          <t>JÖNKÖPINGS LÄN</t>
        </is>
      </c>
      <c r="G306" t="inlineStr">
        <is>
          <t>JÖNKÖPING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46228</v>
      </c>
      <c r="F307" t="inlineStr">
        <is>
          <t>JÖNKÖPINGS LÄN</t>
        </is>
      </c>
      <c r="G307" t="inlineStr">
        <is>
          <t>JÖNKÖPING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46228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46228</v>
      </c>
      <c r="F309" t="inlineStr">
        <is>
          <t>JÖNKÖPINGS LÄN</t>
        </is>
      </c>
      <c r="G309" t="inlineStr">
        <is>
          <t>JÖNKÖPING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46228</v>
      </c>
      <c r="F310" t="inlineStr">
        <is>
          <t>JÖNKÖPINGS LÄN</t>
        </is>
      </c>
      <c r="G310" t="inlineStr">
        <is>
          <t>JÖNKÖPING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46228</v>
      </c>
      <c r="F311" t="inlineStr">
        <is>
          <t>JÖNKÖPINGS LÄN</t>
        </is>
      </c>
      <c r="G311" t="inlineStr">
        <is>
          <t>JÖNKÖPING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46228</v>
      </c>
      <c r="F312" t="inlineStr">
        <is>
          <t>JÖNKÖPINGS LÄN</t>
        </is>
      </c>
      <c r="G312" t="inlineStr">
        <is>
          <t>JÖNKÖPING</t>
        </is>
      </c>
      <c r="I312" t="n">
        <v>8.6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45883</v>
      </c>
      <c r="E313" s="1" t="n">
        <v>46228</v>
      </c>
      <c r="F313" t="inlineStr">
        <is>
          <t>JÖNKÖPINGS LÄN</t>
        </is>
      </c>
      <c r="G313" t="inlineStr">
        <is>
          <t>JÖNKÖPING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46228</v>
      </c>
      <c r="F314" t="inlineStr">
        <is>
          <t>JÖNKÖPINGS LÄN</t>
        </is>
      </c>
      <c r="G314" t="inlineStr">
        <is>
          <t>JÖNKÖPING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46228</v>
      </c>
      <c r="F315" t="inlineStr">
        <is>
          <t>JÖNKÖPINGS LÄN</t>
        </is>
      </c>
      <c r="G315" t="inlineStr">
        <is>
          <t>JÖNKÖPING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43668-2022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44837</v>
      </c>
      <c r="E316" s="1" t="n">
        <v>46228</v>
      </c>
      <c r="F316" t="inlineStr">
        <is>
          <t>JÖNKÖPINGS LÄN</t>
        </is>
      </c>
      <c r="G316" t="inlineStr">
        <is>
          <t>JÖNKÖPING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46228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46228</v>
      </c>
      <c r="F318" t="inlineStr">
        <is>
          <t>JÖNKÖPINGS LÄN</t>
        </is>
      </c>
      <c r="G318" t="inlineStr">
        <is>
          <t>JÖNKÖPING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8864-2022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44614</v>
      </c>
      <c r="E319" s="1" t="n">
        <v>46228</v>
      </c>
      <c r="F319" t="inlineStr">
        <is>
          <t>JÖNKÖPINGS LÄN</t>
        </is>
      </c>
      <c r="G319" t="inlineStr">
        <is>
          <t>JÖNKÖPING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46228</v>
      </c>
      <c r="F320" t="inlineStr">
        <is>
          <t>JÖNKÖPINGS LÄN</t>
        </is>
      </c>
      <c r="G320" t="inlineStr">
        <is>
          <t>JÖNKÖPING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46228</v>
      </c>
      <c r="F321" t="inlineStr">
        <is>
          <t>JÖNKÖPINGS LÄN</t>
        </is>
      </c>
      <c r="G321" t="inlineStr">
        <is>
          <t>JÖNKÖPING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46228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46228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46228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46228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45892</v>
      </c>
      <c r="E326" s="1" t="n">
        <v>46228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45892</v>
      </c>
      <c r="E327" s="1" t="n">
        <v>46228</v>
      </c>
      <c r="F327" t="inlineStr">
        <is>
          <t>JÖNKÖPINGS LÄN</t>
        </is>
      </c>
      <c r="G327" t="inlineStr">
        <is>
          <t>JÖNKÖPING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45892</v>
      </c>
      <c r="E328" s="1" t="n">
        <v>46228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46228</v>
      </c>
      <c r="F329" t="inlineStr">
        <is>
          <t>JÖNKÖPINGS LÄN</t>
        </is>
      </c>
      <c r="G329" t="inlineStr">
        <is>
          <t>JÖNKÖPING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46228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46228</v>
      </c>
      <c r="F331" t="inlineStr">
        <is>
          <t>JÖNKÖPINGS LÄN</t>
        </is>
      </c>
      <c r="G331" t="inlineStr">
        <is>
          <t>JÖNKÖPING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46228</v>
      </c>
      <c r="F332" t="inlineStr">
        <is>
          <t>JÖNKÖPINGS LÄN</t>
        </is>
      </c>
      <c r="G332" t="inlineStr">
        <is>
          <t>JÖNKÖPING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45887</v>
      </c>
      <c r="E333" s="1" t="n">
        <v>46228</v>
      </c>
      <c r="F333" t="inlineStr">
        <is>
          <t>JÖNKÖPINGS LÄN</t>
        </is>
      </c>
      <c r="G333" t="inlineStr">
        <is>
          <t>JÖNKÖPING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46228</v>
      </c>
      <c r="F334" t="inlineStr">
        <is>
          <t>JÖNKÖPINGS LÄN</t>
        </is>
      </c>
      <c r="G334" t="inlineStr">
        <is>
          <t>JÖNKÖPING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46228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45558</v>
      </c>
      <c r="E336" s="1" t="n">
        <v>46228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46228</v>
      </c>
      <c r="F337" t="inlineStr">
        <is>
          <t>JÖNKÖPINGS LÄN</t>
        </is>
      </c>
      <c r="G337" t="inlineStr">
        <is>
          <t>JÖNKÖPING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46002</v>
      </c>
      <c r="E338" s="1" t="n">
        <v>46228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46228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46228</v>
      </c>
      <c r="F340" t="inlineStr">
        <is>
          <t>JÖNKÖPINGS LÄN</t>
        </is>
      </c>
      <c r="G340" t="inlineStr">
        <is>
          <t>JÖNKÖPING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46228</v>
      </c>
      <c r="F341" t="inlineStr">
        <is>
          <t>JÖNKÖPINGS LÄN</t>
        </is>
      </c>
      <c r="G341" t="inlineStr">
        <is>
          <t>JÖNKÖPING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46228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46228</v>
      </c>
      <c r="F343" t="inlineStr">
        <is>
          <t>JÖNKÖPINGS LÄN</t>
        </is>
      </c>
      <c r="G343" t="inlineStr">
        <is>
          <t>JÖNKÖPING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46228</v>
      </c>
      <c r="F344" t="inlineStr">
        <is>
          <t>JÖNKÖPINGS LÄN</t>
        </is>
      </c>
      <c r="G344" t="inlineStr">
        <is>
          <t>JÖNKÖPING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46228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45124</v>
      </c>
      <c r="E346" s="1" t="n">
        <v>46228</v>
      </c>
      <c r="F346" t="inlineStr">
        <is>
          <t>JÖNKÖPINGS LÄN</t>
        </is>
      </c>
      <c r="G346" t="inlineStr">
        <is>
          <t>JÖNKÖPING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46228</v>
      </c>
      <c r="F347" t="inlineStr">
        <is>
          <t>JÖNKÖPINGS LÄN</t>
        </is>
      </c>
      <c r="G347" t="inlineStr">
        <is>
          <t>JÖNKÖPING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46228</v>
      </c>
      <c r="F348" t="inlineStr">
        <is>
          <t>JÖNKÖPINGS LÄN</t>
        </is>
      </c>
      <c r="G348" t="inlineStr">
        <is>
          <t>JÖNKÖPING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45759</v>
      </c>
      <c r="E349" s="1" t="n">
        <v>46228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45051</v>
      </c>
      <c r="E350" s="1" t="n">
        <v>46228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46228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46228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57930-2021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44487</v>
      </c>
      <c r="E353" s="1" t="n">
        <v>46228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46228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46228</v>
      </c>
      <c r="F355" t="inlineStr">
        <is>
          <t>JÖNKÖPINGS LÄN</t>
        </is>
      </c>
      <c r="G355" t="inlineStr">
        <is>
          <t>JÖNKÖPING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46228</v>
      </c>
      <c r="F356" t="inlineStr">
        <is>
          <t>JÖNKÖPINGS LÄN</t>
        </is>
      </c>
      <c r="G356" t="inlineStr">
        <is>
          <t>JÖNKÖPING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46228</v>
      </c>
      <c r="F357" t="inlineStr">
        <is>
          <t>JÖNKÖPINGS LÄN</t>
        </is>
      </c>
      <c r="G357" t="inlineStr">
        <is>
          <t>JÖNKÖPING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44631</v>
      </c>
      <c r="E358" s="1" t="n">
        <v>46228</v>
      </c>
      <c r="F358" t="inlineStr">
        <is>
          <t>JÖNKÖPINGS LÄN</t>
        </is>
      </c>
      <c r="G358" t="inlineStr">
        <is>
          <t>JÖNKÖPING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46228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46228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46228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57413-2021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44483</v>
      </c>
      <c r="E362" s="1" t="n">
        <v>46228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46228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45947</v>
      </c>
      <c r="E364" s="1" t="n">
        <v>46228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46228</v>
      </c>
      <c r="F365" t="inlineStr">
        <is>
          <t>JÖNKÖPINGS LÄN</t>
        </is>
      </c>
      <c r="G365" t="inlineStr">
        <is>
          <t>JÖNKÖPING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46228</v>
      </c>
      <c r="F366" t="inlineStr">
        <is>
          <t>JÖNKÖPINGS LÄN</t>
        </is>
      </c>
      <c r="G366" t="inlineStr">
        <is>
          <t>JÖNKÖPING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46228</v>
      </c>
      <c r="F367" t="inlineStr">
        <is>
          <t>JÖNKÖPINGS LÄN</t>
        </is>
      </c>
      <c r="G367" t="inlineStr">
        <is>
          <t>JÖNKÖPING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44412</v>
      </c>
      <c r="E368" s="1" t="n">
        <v>46228</v>
      </c>
      <c r="F368" t="inlineStr">
        <is>
          <t>JÖNKÖPINGS LÄN</t>
        </is>
      </c>
      <c r="G368" t="inlineStr">
        <is>
          <t>JÖNKÖPING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62332-2022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44923</v>
      </c>
      <c r="E369" s="1" t="n">
        <v>46228</v>
      </c>
      <c r="F369" t="inlineStr">
        <is>
          <t>JÖNKÖPINGS LÄN</t>
        </is>
      </c>
      <c r="G369" t="inlineStr">
        <is>
          <t>JÖNKÖPING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46228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46228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46228</v>
      </c>
      <c r="F372" t="inlineStr">
        <is>
          <t>JÖNKÖPINGS LÄN</t>
        </is>
      </c>
      <c r="G372" t="inlineStr">
        <is>
          <t>JÖNKÖPING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46228</v>
      </c>
      <c r="F373" t="inlineStr">
        <is>
          <t>JÖNKÖPINGS LÄN</t>
        </is>
      </c>
      <c r="G373" t="inlineStr">
        <is>
          <t>JÖNKÖPING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44659</v>
      </c>
      <c r="E374" s="1" t="n">
        <v>46228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45934</v>
      </c>
      <c r="E375" s="1" t="n">
        <v>46228</v>
      </c>
      <c r="F375" t="inlineStr">
        <is>
          <t>JÖNKÖPINGS LÄN</t>
        </is>
      </c>
      <c r="G375" t="inlineStr">
        <is>
          <t>JÖNKÖPING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45455</v>
      </c>
      <c r="E376" s="1" t="n">
        <v>46228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56131-2022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44889</v>
      </c>
      <c r="E377" s="1" t="n">
        <v>46228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48308-2022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46228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46228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46228</v>
      </c>
      <c r="F380" t="inlineStr">
        <is>
          <t>JÖNKÖPINGS LÄN</t>
        </is>
      </c>
      <c r="G380" t="inlineStr">
        <is>
          <t>JÖNKÖPING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46228</v>
      </c>
      <c r="F381" t="inlineStr">
        <is>
          <t>JÖNKÖPINGS LÄN</t>
        </is>
      </c>
      <c r="G381" t="inlineStr">
        <is>
          <t>JÖNKÖPING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46228</v>
      </c>
      <c r="F382" t="inlineStr">
        <is>
          <t>JÖNKÖPINGS LÄN</t>
        </is>
      </c>
      <c r="G382" t="inlineStr">
        <is>
          <t>JÖNKÖPING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46228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39443-2021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44414</v>
      </c>
      <c r="E384" s="1" t="n">
        <v>46228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46228</v>
      </c>
      <c r="F385" t="inlineStr">
        <is>
          <t>JÖNKÖPINGS LÄN</t>
        </is>
      </c>
      <c r="G385" t="inlineStr">
        <is>
          <t>JÖNKÖPING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46228</v>
      </c>
      <c r="F386" t="inlineStr">
        <is>
          <t>JÖNKÖPINGS LÄN</t>
        </is>
      </c>
      <c r="G386" t="inlineStr">
        <is>
          <t>JÖNKÖPING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46228</v>
      </c>
      <c r="F387" t="inlineStr">
        <is>
          <t>JÖNKÖPINGS LÄN</t>
        </is>
      </c>
      <c r="G387" t="inlineStr">
        <is>
          <t>JÖNKÖPING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46228</v>
      </c>
      <c r="F388" t="inlineStr">
        <is>
          <t>JÖNKÖPINGS LÄN</t>
        </is>
      </c>
      <c r="G388" t="inlineStr">
        <is>
          <t>JÖNKÖPING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8809-2024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45356</v>
      </c>
      <c r="E389" s="1" t="n">
        <v>46228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46228</v>
      </c>
      <c r="F390" t="inlineStr">
        <is>
          <t>JÖNKÖPINGS LÄN</t>
        </is>
      </c>
      <c r="G390" t="inlineStr">
        <is>
          <t>JÖNKÖPING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46228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42634-2023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46228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46228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46228</v>
      </c>
      <c r="F394" t="inlineStr">
        <is>
          <t>JÖNKÖPINGS LÄN</t>
        </is>
      </c>
      <c r="G394" t="inlineStr">
        <is>
          <t>JÖNKÖPING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46228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44965</v>
      </c>
      <c r="E396" s="1" t="n">
        <v>46228</v>
      </c>
      <c r="F396" t="inlineStr">
        <is>
          <t>JÖNKÖPINGS LÄN</t>
        </is>
      </c>
      <c r="G396" t="inlineStr">
        <is>
          <t>JÖNKÖPING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45749</v>
      </c>
      <c r="E397" s="1" t="n">
        <v>46228</v>
      </c>
      <c r="F397" t="inlineStr">
        <is>
          <t>JÖNKÖPINGS LÄN</t>
        </is>
      </c>
      <c r="G397" t="inlineStr">
        <is>
          <t>JÖNKÖPING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44648</v>
      </c>
      <c r="E398" s="1" t="n">
        <v>46228</v>
      </c>
      <c r="F398" t="inlineStr">
        <is>
          <t>JÖNKÖPINGS LÄN</t>
        </is>
      </c>
      <c r="G398" t="inlineStr">
        <is>
          <t>JÖNKÖPING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46228</v>
      </c>
      <c r="F399" t="inlineStr">
        <is>
          <t>JÖNKÖPINGS LÄN</t>
        </is>
      </c>
      <c r="G399" t="inlineStr">
        <is>
          <t>JÖNKÖPING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46228</v>
      </c>
      <c r="F400" t="inlineStr">
        <is>
          <t>JÖNKÖPINGS LÄN</t>
        </is>
      </c>
      <c r="G400" t="inlineStr">
        <is>
          <t>JÖNKÖPING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46228</v>
      </c>
      <c r="F401" t="inlineStr">
        <is>
          <t>JÖNKÖPINGS LÄN</t>
        </is>
      </c>
      <c r="G401" t="inlineStr">
        <is>
          <t>JÖNKÖPING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45406-2023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45194</v>
      </c>
      <c r="E402" s="1" t="n">
        <v>46228</v>
      </c>
      <c r="F402" t="inlineStr">
        <is>
          <t>JÖNKÖPINGS LÄN</t>
        </is>
      </c>
      <c r="G402" t="inlineStr">
        <is>
          <t>JÖNKÖPING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46228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46228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46228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45587</v>
      </c>
      <c r="E406" s="1" t="n">
        <v>46228</v>
      </c>
      <c r="F406" t="inlineStr">
        <is>
          <t>JÖNKÖPINGS LÄN</t>
        </is>
      </c>
      <c r="G406" t="inlineStr">
        <is>
          <t>JÖNKÖPING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46228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45642</v>
      </c>
      <c r="E408" s="1" t="n">
        <v>46228</v>
      </c>
      <c r="F408" t="inlineStr">
        <is>
          <t>JÖNKÖPINGS LÄN</t>
        </is>
      </c>
      <c r="G408" t="inlineStr">
        <is>
          <t>JÖNKÖPING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46228</v>
      </c>
      <c r="F409" t="inlineStr">
        <is>
          <t>JÖNKÖPINGS LÄN</t>
        </is>
      </c>
      <c r="G409" t="inlineStr">
        <is>
          <t>JÖNKÖPING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46228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46228</v>
      </c>
      <c r="F411" t="inlineStr">
        <is>
          <t>JÖNKÖPINGS LÄN</t>
        </is>
      </c>
      <c r="G411" t="inlineStr">
        <is>
          <t>JÖNKÖPING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46228</v>
      </c>
      <c r="F412" t="inlineStr">
        <is>
          <t>JÖNKÖPINGS LÄN</t>
        </is>
      </c>
      <c r="G412" t="inlineStr">
        <is>
          <t>JÖNKÖPING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46228</v>
      </c>
      <c r="F413" t="inlineStr">
        <is>
          <t>JÖNKÖPINGS LÄN</t>
        </is>
      </c>
      <c r="G413" t="inlineStr">
        <is>
          <t>JÖNKÖPING</t>
        </is>
      </c>
      <c r="I413" t="n">
        <v>9.699999999999999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46228</v>
      </c>
      <c r="F414" t="inlineStr">
        <is>
          <t>JÖNKÖPINGS LÄN</t>
        </is>
      </c>
      <c r="G414" t="inlineStr">
        <is>
          <t>JÖNKÖPING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46228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45043</v>
      </c>
      <c r="E416" s="1" t="n">
        <v>46228</v>
      </c>
      <c r="F416" t="inlineStr">
        <is>
          <t>JÖNKÖPINGS LÄN</t>
        </is>
      </c>
      <c r="G416" t="inlineStr">
        <is>
          <t>JÖNKÖPING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38854-2021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44411</v>
      </c>
      <c r="E417" s="1" t="n">
        <v>46228</v>
      </c>
      <c r="F417" t="inlineStr">
        <is>
          <t>JÖNKÖPINGS LÄN</t>
        </is>
      </c>
      <c r="G417" t="inlineStr">
        <is>
          <t>JÖNKÖPING</t>
        </is>
      </c>
      <c r="I417" t="n">
        <v>10.1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46228</v>
      </c>
      <c r="F418" t="inlineStr">
        <is>
          <t>JÖNKÖPINGS LÄN</t>
        </is>
      </c>
      <c r="G418" t="inlineStr">
        <is>
          <t>JÖNKÖPING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45392</v>
      </c>
      <c r="E419" s="1" t="n">
        <v>46228</v>
      </c>
      <c r="F419" t="inlineStr">
        <is>
          <t>JÖNKÖPINGS LÄN</t>
        </is>
      </c>
      <c r="G419" t="inlineStr">
        <is>
          <t>JÖNKÖPING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45968</v>
      </c>
      <c r="E420" s="1" t="n">
        <v>46228</v>
      </c>
      <c r="F420" t="inlineStr">
        <is>
          <t>JÖNKÖPINGS LÄN</t>
        </is>
      </c>
      <c r="G420" t="inlineStr">
        <is>
          <t>JÖNKÖPING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46228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46228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46228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46228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46228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46228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46228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46228</v>
      </c>
      <c r="F428" t="inlineStr">
        <is>
          <t>JÖNKÖPINGS LÄN</t>
        </is>
      </c>
      <c r="G428" t="inlineStr">
        <is>
          <t>JÖNKÖPING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46228</v>
      </c>
      <c r="F429" t="inlineStr">
        <is>
          <t>JÖNKÖPINGS LÄN</t>
        </is>
      </c>
      <c r="G429" t="inlineStr">
        <is>
          <t>JÖNKÖPING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46228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46228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46228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46228</v>
      </c>
      <c r="F433" t="inlineStr">
        <is>
          <t>JÖNKÖPINGS LÄN</t>
        </is>
      </c>
      <c r="G433" t="inlineStr">
        <is>
          <t>JÖNKÖPING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45673</v>
      </c>
      <c r="E434" s="1" t="n">
        <v>46228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46228</v>
      </c>
      <c r="F435" t="inlineStr">
        <is>
          <t>JÖNKÖPINGS LÄN</t>
        </is>
      </c>
      <c r="G435" t="inlineStr">
        <is>
          <t>JÖNKÖPING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44957</v>
      </c>
      <c r="E436" s="1" t="n">
        <v>46228</v>
      </c>
      <c r="F436" t="inlineStr">
        <is>
          <t>JÖNKÖPINGS LÄN</t>
        </is>
      </c>
      <c r="G436" t="inlineStr">
        <is>
          <t>JÖNKÖPING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45460</v>
      </c>
      <c r="E437" s="1" t="n">
        <v>46228</v>
      </c>
      <c r="F437" t="inlineStr">
        <is>
          <t>JÖNKÖPINGS LÄN</t>
        </is>
      </c>
      <c r="G437" t="inlineStr">
        <is>
          <t>JÖNKÖPING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46228</v>
      </c>
      <c r="F438" t="inlineStr">
        <is>
          <t>JÖNKÖPINGS LÄN</t>
        </is>
      </c>
      <c r="G438" t="inlineStr">
        <is>
          <t>JÖNKÖPING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46228</v>
      </c>
      <c r="F439" t="inlineStr">
        <is>
          <t>JÖNKÖPINGS LÄN</t>
        </is>
      </c>
      <c r="G439" t="inlineStr">
        <is>
          <t>JÖNKÖPING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45034</v>
      </c>
      <c r="E440" s="1" t="n">
        <v>46228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53256-2021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44468</v>
      </c>
      <c r="E441" s="1" t="n">
        <v>46228</v>
      </c>
      <c r="F441" t="inlineStr">
        <is>
          <t>JÖNKÖPINGS LÄN</t>
        </is>
      </c>
      <c r="G441" t="inlineStr">
        <is>
          <t>JÖNKÖPING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46228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46228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46228</v>
      </c>
      <c r="F444" t="inlineStr">
        <is>
          <t>JÖNKÖPINGS LÄN</t>
        </is>
      </c>
      <c r="G444" t="inlineStr">
        <is>
          <t>JÖNKÖPING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46228</v>
      </c>
      <c r="F445" t="inlineStr">
        <is>
          <t>JÖNKÖPINGS LÄN</t>
        </is>
      </c>
      <c r="G445" t="inlineStr">
        <is>
          <t>JÖNKÖPING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46228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46228</v>
      </c>
      <c r="F447" t="inlineStr">
        <is>
          <t>JÖNKÖPINGS LÄN</t>
        </is>
      </c>
      <c r="G447" t="inlineStr">
        <is>
          <t>JÖNKÖPING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46228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21149-2022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44704</v>
      </c>
      <c r="E449" s="1" t="n">
        <v>46228</v>
      </c>
      <c r="F449" t="inlineStr">
        <is>
          <t>JÖNKÖPINGS LÄN</t>
        </is>
      </c>
      <c r="G449" t="inlineStr">
        <is>
          <t>JÖNKÖPING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15455-2024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46228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Kommuner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45414</v>
      </c>
      <c r="E451" s="1" t="n">
        <v>46228</v>
      </c>
      <c r="F451" t="inlineStr">
        <is>
          <t>JÖNKÖPINGS LÄN</t>
        </is>
      </c>
      <c r="G451" t="inlineStr">
        <is>
          <t>JÖNKÖPING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46228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Kyrkan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46228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45198</v>
      </c>
      <c r="E454" s="1" t="n">
        <v>46228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46228</v>
      </c>
      <c r="F455" t="inlineStr">
        <is>
          <t>JÖNKÖPINGS LÄN</t>
        </is>
      </c>
      <c r="G455" t="inlineStr">
        <is>
          <t>JÖNKÖPING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74117-2021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44557</v>
      </c>
      <c r="E456" s="1" t="n">
        <v>46228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46228</v>
      </c>
      <c r="F457" t="inlineStr">
        <is>
          <t>JÖNKÖPINGS LÄN</t>
        </is>
      </c>
      <c r="G457" t="inlineStr">
        <is>
          <t>JÖNKÖPING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44886</v>
      </c>
      <c r="E458" s="1" t="n">
        <v>46228</v>
      </c>
      <c r="F458" t="inlineStr">
        <is>
          <t>JÖNKÖPINGS LÄN</t>
        </is>
      </c>
      <c r="G458" t="inlineStr">
        <is>
          <t>JÖNKÖPING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15190-2022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44658</v>
      </c>
      <c r="E459" s="1" t="n">
        <v>46228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46228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45580</v>
      </c>
      <c r="E461" s="1" t="n">
        <v>46228</v>
      </c>
      <c r="F461" t="inlineStr">
        <is>
          <t>JÖNKÖPINGS LÄN</t>
        </is>
      </c>
      <c r="G461" t="inlineStr">
        <is>
          <t>JÖNKÖPING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73003-2021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44550</v>
      </c>
      <c r="E462" s="1" t="n">
        <v>46228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45455</v>
      </c>
      <c r="E463" s="1" t="n">
        <v>46228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45130</v>
      </c>
      <c r="E464" s="1" t="n">
        <v>46228</v>
      </c>
      <c r="F464" t="inlineStr">
        <is>
          <t>JÖNKÖPINGS LÄN</t>
        </is>
      </c>
      <c r="G464" t="inlineStr">
        <is>
          <t>JÖNKÖPING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45477</v>
      </c>
      <c r="E465" s="1" t="n">
        <v>46228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45547</v>
      </c>
      <c r="E466" s="1" t="n">
        <v>46228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46228</v>
      </c>
      <c r="F467" t="inlineStr">
        <is>
          <t>JÖNKÖPINGS LÄN</t>
        </is>
      </c>
      <c r="G467" t="inlineStr">
        <is>
          <t>JÖNKÖPING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46228</v>
      </c>
      <c r="F468" t="inlineStr">
        <is>
          <t>JÖNKÖPINGS LÄN</t>
        </is>
      </c>
      <c r="G468" t="inlineStr">
        <is>
          <t>JÖNKÖPING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45174</v>
      </c>
      <c r="E469" s="1" t="n">
        <v>46228</v>
      </c>
      <c r="F469" t="inlineStr">
        <is>
          <t>JÖNKÖPINGS LÄN</t>
        </is>
      </c>
      <c r="G469" t="inlineStr">
        <is>
          <t>JÖNKÖPING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46228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45557</v>
      </c>
      <c r="E471" s="1" t="n">
        <v>46228</v>
      </c>
      <c r="F471" t="inlineStr">
        <is>
          <t>JÖNKÖPINGS LÄN</t>
        </is>
      </c>
      <c r="G471" t="inlineStr">
        <is>
          <t>JÖNKÖPING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46228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45470</v>
      </c>
      <c r="E473" s="1" t="n">
        <v>46228</v>
      </c>
      <c r="F473" t="inlineStr">
        <is>
          <t>JÖNKÖPINGS LÄN</t>
        </is>
      </c>
      <c r="G473" t="inlineStr">
        <is>
          <t>JÖNKÖPING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8752-2022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46228</v>
      </c>
      <c r="F474" t="inlineStr">
        <is>
          <t>JÖNKÖPINGS LÄN</t>
        </is>
      </c>
      <c r="G474" t="inlineStr">
        <is>
          <t>JÖNKÖPING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46228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49392-2022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44861</v>
      </c>
      <c r="E476" s="1" t="n">
        <v>46228</v>
      </c>
      <c r="F476" t="inlineStr">
        <is>
          <t>JÖNKÖPINGS LÄN</t>
        </is>
      </c>
      <c r="G476" t="inlineStr">
        <is>
          <t>JÖNKÖPING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62876-2025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46228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46228</v>
      </c>
      <c r="F478" t="inlineStr">
        <is>
          <t>JÖNKÖPINGS LÄN</t>
        </is>
      </c>
      <c r="G478" t="inlineStr">
        <is>
          <t>JÖNKÖPING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45958</v>
      </c>
      <c r="E479" s="1" t="n">
        <v>46228</v>
      </c>
      <c r="F479" t="inlineStr">
        <is>
          <t>JÖNKÖPINGS LÄN</t>
        </is>
      </c>
      <c r="G479" t="inlineStr">
        <is>
          <t>JÖNKÖPING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63564-2025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46228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63346-2025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46228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45324</v>
      </c>
      <c r="E482" s="1" t="n">
        <v>46228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45270</v>
      </c>
      <c r="E483" s="1" t="n">
        <v>46228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46228</v>
      </c>
      <c r="F484" t="inlineStr">
        <is>
          <t>JÖNKÖPINGS LÄN</t>
        </is>
      </c>
      <c r="G484" t="inlineStr">
        <is>
          <t>JÖNKÖPING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63542-2025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46228</v>
      </c>
      <c r="F485" t="inlineStr">
        <is>
          <t>JÖNKÖPINGS LÄN</t>
        </is>
      </c>
      <c r="G485" t="inlineStr">
        <is>
          <t>JÖNKÖPING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46228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46228</v>
      </c>
      <c r="F487" t="inlineStr">
        <is>
          <t>JÖNKÖPINGS LÄN</t>
        </is>
      </c>
      <c r="G487" t="inlineStr">
        <is>
          <t>JÖNKÖPING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63127-2025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46228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46228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46228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46228</v>
      </c>
      <c r="F491" t="inlineStr">
        <is>
          <t>JÖNKÖPINGS LÄN</t>
        </is>
      </c>
      <c r="G491" t="inlineStr">
        <is>
          <t>JÖNKÖPING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45179</v>
      </c>
      <c r="E492" s="1" t="n">
        <v>46228</v>
      </c>
      <c r="F492" t="inlineStr">
        <is>
          <t>JÖNKÖPINGS LÄN</t>
        </is>
      </c>
      <c r="G492" t="inlineStr">
        <is>
          <t>JÖNKÖPING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46228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46228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63176-2021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44507</v>
      </c>
      <c r="E495" s="1" t="n">
        <v>46228</v>
      </c>
      <c r="F495" t="inlineStr">
        <is>
          <t>JÖNKÖPINGS LÄN</t>
        </is>
      </c>
      <c r="G495" t="inlineStr">
        <is>
          <t>JÖNKÖPING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45618</v>
      </c>
      <c r="E496" s="1" t="n">
        <v>46228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46228</v>
      </c>
      <c r="F497" t="inlineStr">
        <is>
          <t>JÖNKÖPINGS LÄN</t>
        </is>
      </c>
      <c r="G497" t="inlineStr">
        <is>
          <t>JÖNKÖPING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63551-2023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46228</v>
      </c>
      <c r="F498" t="inlineStr">
        <is>
          <t>JÖNKÖPINGS LÄN</t>
        </is>
      </c>
      <c r="G498" t="inlineStr">
        <is>
          <t>JÖNKÖPING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46228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46026</v>
      </c>
      <c r="E500" s="1" t="n">
        <v>46228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46228</v>
      </c>
      <c r="F501" t="inlineStr">
        <is>
          <t>JÖNKÖPINGS LÄN</t>
        </is>
      </c>
      <c r="G501" t="inlineStr">
        <is>
          <t>JÖNKÖPING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46201</v>
      </c>
      <c r="E502" s="1" t="n">
        <v>46228</v>
      </c>
      <c r="F502" t="inlineStr">
        <is>
          <t>JÖNKÖPINGS LÄN</t>
        </is>
      </c>
      <c r="G502" t="inlineStr">
        <is>
          <t>JÖNKÖPING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46201</v>
      </c>
      <c r="E503" s="1" t="n">
        <v>46228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46228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44936</v>
      </c>
      <c r="E505" s="1" t="n">
        <v>46228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46228</v>
      </c>
      <c r="F506" t="inlineStr">
        <is>
          <t>JÖNKÖPINGS LÄN</t>
        </is>
      </c>
      <c r="G506" t="inlineStr">
        <is>
          <t>JÖNKÖPING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46228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46228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46228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46228</v>
      </c>
      <c r="F510" t="inlineStr">
        <is>
          <t>JÖNKÖPINGS LÄN</t>
        </is>
      </c>
      <c r="G510" t="inlineStr">
        <is>
          <t>JÖNKÖPING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46228</v>
      </c>
      <c r="F511" t="inlineStr">
        <is>
          <t>JÖNKÖPINGS LÄN</t>
        </is>
      </c>
      <c r="G511" t="inlineStr">
        <is>
          <t>JÖNKÖPING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17019-2024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46228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Övriga Aktiebolag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46228</v>
      </c>
      <c r="F513" t="inlineStr">
        <is>
          <t>JÖNKÖPINGS LÄN</t>
        </is>
      </c>
      <c r="G513" t="inlineStr">
        <is>
          <t>JÖNKÖPING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46228</v>
      </c>
      <c r="F514" t="inlineStr">
        <is>
          <t>JÖNKÖPINGS LÄN</t>
        </is>
      </c>
      <c r="G514" t="inlineStr">
        <is>
          <t>JÖNKÖPING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45267</v>
      </c>
      <c r="E515" s="1" t="n">
        <v>46228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46228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44943</v>
      </c>
      <c r="E517" s="1" t="n">
        <v>46228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46228</v>
      </c>
      <c r="F518" t="inlineStr">
        <is>
          <t>JÖNKÖPINGS LÄN</t>
        </is>
      </c>
      <c r="G518" t="inlineStr">
        <is>
          <t>JÖNKÖPING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46228</v>
      </c>
      <c r="F519" t="inlineStr">
        <is>
          <t>JÖNKÖPINGS LÄN</t>
        </is>
      </c>
      <c r="G519" t="inlineStr">
        <is>
          <t>JÖNKÖPING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46228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46228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46201</v>
      </c>
      <c r="E522" s="1" t="n">
        <v>46228</v>
      </c>
      <c r="F522" t="inlineStr">
        <is>
          <t>JÖNKÖPINGS LÄN</t>
        </is>
      </c>
      <c r="G522" t="inlineStr">
        <is>
          <t>JÖNKÖPING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46228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46228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46228</v>
      </c>
      <c r="F525" t="inlineStr">
        <is>
          <t>JÖNKÖPINGS LÄN</t>
        </is>
      </c>
      <c r="G525" t="inlineStr">
        <is>
          <t>JÖNKÖPING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46228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3667-2026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46043</v>
      </c>
      <c r="E527" s="1" t="n">
        <v>46228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29292-2026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46197</v>
      </c>
      <c r="E528" s="1" t="n">
        <v>46228</v>
      </c>
      <c r="F528" t="inlineStr">
        <is>
          <t>JÖNKÖPINGS LÄN</t>
        </is>
      </c>
      <c r="G528" t="inlineStr">
        <is>
          <t>JÖNKÖPING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46059</v>
      </c>
      <c r="E529" s="1" t="n">
        <v>46228</v>
      </c>
      <c r="F529" t="inlineStr">
        <is>
          <t>JÖNKÖPINGS LÄN</t>
        </is>
      </c>
      <c r="G529" t="inlineStr">
        <is>
          <t>JÖNKÖPING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46228</v>
      </c>
      <c r="F530" t="inlineStr">
        <is>
          <t>JÖNKÖPINGS LÄN</t>
        </is>
      </c>
      <c r="G530" t="inlineStr">
        <is>
          <t>JÖNKÖPING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46228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46228</v>
      </c>
      <c r="F532" t="inlineStr">
        <is>
          <t>JÖNKÖPINGS LÄN</t>
        </is>
      </c>
      <c r="G532" t="inlineStr">
        <is>
          <t>JÖNKÖPING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44449</v>
      </c>
      <c r="E533" s="1" t="n">
        <v>46228</v>
      </c>
      <c r="F533" t="inlineStr">
        <is>
          <t>JÖNKÖPINGS LÄN</t>
        </is>
      </c>
      <c r="G533" t="inlineStr">
        <is>
          <t>JÖNKÖPING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46228</v>
      </c>
      <c r="F534" t="inlineStr">
        <is>
          <t>JÖNKÖPINGS LÄN</t>
        </is>
      </c>
      <c r="G534" t="inlineStr">
        <is>
          <t>JÖNKÖPING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46228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23252-2026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46162</v>
      </c>
      <c r="E536" s="1" t="n">
        <v>46228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44944</v>
      </c>
      <c r="E537" s="1" t="n">
        <v>46228</v>
      </c>
      <c r="F537" t="inlineStr">
        <is>
          <t>JÖNKÖPINGS LÄN</t>
        </is>
      </c>
      <c r="G537" t="inlineStr">
        <is>
          <t>JÖNKÖPING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44614</v>
      </c>
      <c r="E538" s="1" t="n">
        <v>46228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46228</v>
      </c>
      <c r="F539" t="inlineStr">
        <is>
          <t>JÖNKÖPINGS LÄN</t>
        </is>
      </c>
      <c r="G539" t="inlineStr">
        <is>
          <t>JÖNKÖPING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46044</v>
      </c>
      <c r="E540" s="1" t="n">
        <v>46228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46228</v>
      </c>
      <c r="F541" t="inlineStr">
        <is>
          <t>JÖNKÖPINGS LÄN</t>
        </is>
      </c>
      <c r="G541" t="inlineStr">
        <is>
          <t>JÖNKÖPING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44735</v>
      </c>
      <c r="E542" s="1" t="n">
        <v>46228</v>
      </c>
      <c r="F542" t="inlineStr">
        <is>
          <t>JÖNKÖPINGS LÄN</t>
        </is>
      </c>
      <c r="G542" t="inlineStr">
        <is>
          <t>JÖNKÖPING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46228</v>
      </c>
      <c r="F543" t="inlineStr">
        <is>
          <t>JÖNKÖPINGS LÄN</t>
        </is>
      </c>
      <c r="G543" t="inlineStr">
        <is>
          <t>JÖNKÖPING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46228</v>
      </c>
      <c r="F544" t="inlineStr">
        <is>
          <t>JÖNKÖPINGS LÄN</t>
        </is>
      </c>
      <c r="G544" t="inlineStr">
        <is>
          <t>JÖNKÖPING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46228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46228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46228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46228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46228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46228</v>
      </c>
      <c r="F550" t="inlineStr">
        <is>
          <t>JÖNKÖPINGS LÄN</t>
        </is>
      </c>
      <c r="G550" t="inlineStr">
        <is>
          <t>JÖNKÖPING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46228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46228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4805-2026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46048</v>
      </c>
      <c r="E553" s="1" t="n">
        <v>46228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46228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Övriga Aktiebolag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46228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46228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5332-2026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46050</v>
      </c>
      <c r="E557" s="1" t="n">
        <v>46228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14566-2022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44655</v>
      </c>
      <c r="E558" s="1" t="n">
        <v>46228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46228</v>
      </c>
      <c r="F559" t="inlineStr">
        <is>
          <t>JÖNKÖPINGS LÄN</t>
        </is>
      </c>
      <c r="G559" t="inlineStr">
        <is>
          <t>JÖNKÖPING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46228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46228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46228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46228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46228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46228</v>
      </c>
      <c r="F565" t="inlineStr">
        <is>
          <t>JÖNKÖPINGS LÄN</t>
        </is>
      </c>
      <c r="G565" t="inlineStr">
        <is>
          <t>JÖNKÖPING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46228</v>
      </c>
      <c r="F566" t="inlineStr">
        <is>
          <t>JÖNKÖPINGS LÄN</t>
        </is>
      </c>
      <c r="G566" t="inlineStr">
        <is>
          <t>JÖNKÖPING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46228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46228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44106-2022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44839</v>
      </c>
      <c r="E569" s="1" t="n">
        <v>46228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46228</v>
      </c>
      <c r="F570" t="inlineStr">
        <is>
          <t>JÖNKÖPINGS LÄN</t>
        </is>
      </c>
      <c r="G570" t="inlineStr">
        <is>
          <t>JÖNKÖPING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46228</v>
      </c>
      <c r="F571" t="inlineStr">
        <is>
          <t>JÖNKÖPINGS LÄN</t>
        </is>
      </c>
      <c r="G571" t="inlineStr">
        <is>
          <t>JÖNKÖPING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46228</v>
      </c>
      <c r="F572" t="inlineStr">
        <is>
          <t>JÖNKÖPINGS LÄN</t>
        </is>
      </c>
      <c r="G572" t="inlineStr">
        <is>
          <t>JÖNKÖPING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46228</v>
      </c>
      <c r="F573" t="inlineStr">
        <is>
          <t>JÖNKÖPINGS LÄN</t>
        </is>
      </c>
      <c r="G573" t="inlineStr">
        <is>
          <t>JÖNKÖPING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56599-2022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46228</v>
      </c>
      <c r="F574" t="inlineStr">
        <is>
          <t>JÖNKÖPINGS LÄN</t>
        </is>
      </c>
      <c r="G574" t="inlineStr">
        <is>
          <t>JÖNKÖPING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46228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46228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46228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46228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46228</v>
      </c>
      <c r="F579" t="inlineStr">
        <is>
          <t>JÖNKÖPINGS LÄN</t>
        </is>
      </c>
      <c r="G579" t="inlineStr">
        <is>
          <t>JÖNKÖPING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46228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46228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46228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46228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46228</v>
      </c>
      <c r="F584" t="inlineStr">
        <is>
          <t>JÖNKÖPINGS LÄN</t>
        </is>
      </c>
      <c r="G584" t="inlineStr">
        <is>
          <t>JÖNKÖPING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46228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46228</v>
      </c>
      <c r="F586" t="inlineStr">
        <is>
          <t>JÖNKÖPINGS LÄN</t>
        </is>
      </c>
      <c r="G586" t="inlineStr">
        <is>
          <t>JÖNKÖPING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8072-2026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46228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10018-2024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45363</v>
      </c>
      <c r="E588" s="1" t="n">
        <v>46228</v>
      </c>
      <c r="F588" t="inlineStr">
        <is>
          <t>JÖNKÖPINGS LÄN</t>
        </is>
      </c>
      <c r="G588" t="inlineStr">
        <is>
          <t>JÖNKÖPING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46228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46228</v>
      </c>
      <c r="F590" t="inlineStr">
        <is>
          <t>JÖNKÖPINGS LÄN</t>
        </is>
      </c>
      <c r="G590" t="inlineStr">
        <is>
          <t>JÖNKÖPING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9067-2026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46069</v>
      </c>
      <c r="E591" s="1" t="n">
        <v>46228</v>
      </c>
      <c r="F591" t="inlineStr">
        <is>
          <t>JÖNKÖPINGS LÄN</t>
        </is>
      </c>
      <c r="G591" t="inlineStr">
        <is>
          <t>JÖNKÖPING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9073-2026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46069</v>
      </c>
      <c r="E592" s="1" t="n">
        <v>46228</v>
      </c>
      <c r="F592" t="inlineStr">
        <is>
          <t>JÖNKÖPINGS LÄN</t>
        </is>
      </c>
      <c r="G592" t="inlineStr">
        <is>
          <t>JÖNKÖPING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9020-2026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46069</v>
      </c>
      <c r="E593" s="1" t="n">
        <v>46228</v>
      </c>
      <c r="F593" t="inlineStr">
        <is>
          <t>JÖNKÖPINGS LÄN</t>
        </is>
      </c>
      <c r="G593" t="inlineStr">
        <is>
          <t>JÖNKÖPING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57719-2021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44484</v>
      </c>
      <c r="E594" s="1" t="n">
        <v>46228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45226</v>
      </c>
      <c r="E595" s="1" t="n">
        <v>46228</v>
      </c>
      <c r="F595" t="inlineStr">
        <is>
          <t>JÖNKÖPINGS LÄN</t>
        </is>
      </c>
      <c r="G595" t="inlineStr">
        <is>
          <t>JÖNKÖPING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44589</v>
      </c>
      <c r="E596" s="1" t="n">
        <v>46228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44578</v>
      </c>
      <c r="E597" s="1" t="n">
        <v>46228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46228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46228</v>
      </c>
      <c r="F599" t="inlineStr">
        <is>
          <t>JÖNKÖPINGS LÄN</t>
        </is>
      </c>
      <c r="G599" t="inlineStr">
        <is>
          <t>JÖNKÖPING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46228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46228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45587</v>
      </c>
      <c r="E602" s="1" t="n">
        <v>46228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44804</v>
      </c>
      <c r="E603" s="1" t="n">
        <v>46228</v>
      </c>
      <c r="F603" t="inlineStr">
        <is>
          <t>JÖNKÖPINGS LÄN</t>
        </is>
      </c>
      <c r="G603" t="inlineStr">
        <is>
          <t>JÖNKÖPING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46228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46228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46228</v>
      </c>
      <c r="F606" t="inlineStr">
        <is>
          <t>JÖNKÖPINGS LÄN</t>
        </is>
      </c>
      <c r="G606" t="inlineStr">
        <is>
          <t>JÖNKÖPING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46228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45043</v>
      </c>
      <c r="E608" s="1" t="n">
        <v>46228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9926-2026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46073</v>
      </c>
      <c r="E609" s="1" t="n">
        <v>46228</v>
      </c>
      <c r="F609" t="inlineStr">
        <is>
          <t>JÖNKÖPINGS LÄN</t>
        </is>
      </c>
      <c r="G609" t="inlineStr">
        <is>
          <t>JÖNKÖPING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46228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46228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46228</v>
      </c>
      <c r="F612" t="inlineStr">
        <is>
          <t>JÖNKÖPINGS LÄN</t>
        </is>
      </c>
      <c r="G612" t="inlineStr">
        <is>
          <t>JÖNKÖPING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24422-2026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46168</v>
      </c>
      <c r="E613" s="1" t="n">
        <v>46228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46228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46228</v>
      </c>
      <c r="F615" t="inlineStr">
        <is>
          <t>JÖNKÖPINGS LÄN</t>
        </is>
      </c>
      <c r="G615" t="inlineStr">
        <is>
          <t>JÖNKÖPING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46228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46228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46228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14.5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46228</v>
      </c>
      <c r="F619" t="inlineStr">
        <is>
          <t>JÖNKÖPINGS LÄN</t>
        </is>
      </c>
      <c r="G619" t="inlineStr">
        <is>
          <t>JÖNKÖPING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46228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60822-2024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45644</v>
      </c>
      <c r="E621" s="1" t="n">
        <v>46228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46228</v>
      </c>
      <c r="F622" t="inlineStr">
        <is>
          <t>JÖNKÖPINGS LÄN</t>
        </is>
      </c>
      <c r="G622" t="inlineStr">
        <is>
          <t>JÖNKÖPING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46228</v>
      </c>
      <c r="F623" t="inlineStr">
        <is>
          <t>JÖNKÖPINGS LÄN</t>
        </is>
      </c>
      <c r="G623" t="inlineStr">
        <is>
          <t>JÖNKÖPING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7865-2022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44608</v>
      </c>
      <c r="E624" s="1" t="n">
        <v>46228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46228</v>
      </c>
      <c r="F625" t="inlineStr">
        <is>
          <t>JÖNKÖPINGS LÄN</t>
        </is>
      </c>
      <c r="G625" t="inlineStr">
        <is>
          <t>JÖNKÖPING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46228</v>
      </c>
      <c r="F626" t="inlineStr">
        <is>
          <t>JÖNKÖPINGS LÄN</t>
        </is>
      </c>
      <c r="G626" t="inlineStr">
        <is>
          <t>JÖNKÖPING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46212</v>
      </c>
      <c r="E627" s="1" t="n">
        <v>46228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46228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46228</v>
      </c>
      <c r="F629" t="inlineStr">
        <is>
          <t>JÖNKÖPINGS LÄN</t>
        </is>
      </c>
      <c r="G629" t="inlineStr">
        <is>
          <t>JÖNKÖPING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44734</v>
      </c>
      <c r="E630" s="1" t="n">
        <v>46228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44734</v>
      </c>
      <c r="E631" s="1" t="n">
        <v>46228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59318-2022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44904</v>
      </c>
      <c r="E632" s="1" t="n">
        <v>46228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46228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12657-2026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46091</v>
      </c>
      <c r="E634" s="1" t="n">
        <v>46228</v>
      </c>
      <c r="F634" t="inlineStr">
        <is>
          <t>JÖNKÖPINGS LÄN</t>
        </is>
      </c>
      <c r="G634" t="inlineStr">
        <is>
          <t>JÖNKÖPING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46228</v>
      </c>
      <c r="F635" t="inlineStr">
        <is>
          <t>JÖNKÖPINGS LÄN</t>
        </is>
      </c>
      <c r="G635" t="inlineStr">
        <is>
          <t>JÖNKÖPING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46321-2023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45197</v>
      </c>
      <c r="E636" s="1" t="n">
        <v>46228</v>
      </c>
      <c r="F636" t="inlineStr">
        <is>
          <t>JÖNKÖPINGS LÄN</t>
        </is>
      </c>
      <c r="G636" t="inlineStr">
        <is>
          <t>JÖNKÖPING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45321</v>
      </c>
      <c r="E637" s="1" t="n">
        <v>46228</v>
      </c>
      <c r="F637" t="inlineStr">
        <is>
          <t>JÖNKÖPINGS LÄN</t>
        </is>
      </c>
      <c r="G637" t="inlineStr">
        <is>
          <t>JÖNKÖPING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18574-2023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45043</v>
      </c>
      <c r="E638" s="1" t="n">
        <v>46228</v>
      </c>
      <c r="F638" t="inlineStr">
        <is>
          <t>JÖNKÖPINGS LÄN</t>
        </is>
      </c>
      <c r="G638" t="inlineStr">
        <is>
          <t>JÖNKÖPING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46228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46228</v>
      </c>
      <c r="F640" t="inlineStr">
        <is>
          <t>JÖNKÖPINGS LÄN</t>
        </is>
      </c>
      <c r="G640" t="inlineStr">
        <is>
          <t>JÖNKÖPING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46228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46228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38258-2024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45545</v>
      </c>
      <c r="E643" s="1" t="n">
        <v>46228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44711</v>
      </c>
      <c r="E644" s="1" t="n">
        <v>46228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46228</v>
      </c>
      <c r="F645" t="inlineStr">
        <is>
          <t>JÖNKÖPINGS LÄN</t>
        </is>
      </c>
      <c r="G645" t="inlineStr">
        <is>
          <t>JÖNKÖPING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46228</v>
      </c>
      <c r="F646" t="inlineStr">
        <is>
          <t>JÖNKÖPINGS LÄN</t>
        </is>
      </c>
      <c r="G646" t="inlineStr">
        <is>
          <t>JÖNKÖPING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46228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46228</v>
      </c>
      <c r="F648" t="inlineStr">
        <is>
          <t>JÖNKÖPINGS LÄN</t>
        </is>
      </c>
      <c r="G648" t="inlineStr">
        <is>
          <t>JÖNKÖPING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45764</v>
      </c>
      <c r="E649" s="1" t="n">
        <v>46228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12301-2023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44998</v>
      </c>
      <c r="E650" s="1" t="n">
        <v>46228</v>
      </c>
      <c r="F650" t="inlineStr">
        <is>
          <t>JÖNKÖPINGS LÄN</t>
        </is>
      </c>
      <c r="G650" t="inlineStr">
        <is>
          <t>JÖNKÖPING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41481-2023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45175</v>
      </c>
      <c r="E651" s="1" t="n">
        <v>46228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45118</v>
      </c>
      <c r="E652" s="1" t="n">
        <v>46228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44591</v>
      </c>
      <c r="E653" s="1" t="n">
        <v>46228</v>
      </c>
      <c r="F653" t="inlineStr">
        <is>
          <t>JÖNKÖPINGS LÄN</t>
        </is>
      </c>
      <c r="G653" t="inlineStr">
        <is>
          <t>JÖNKÖPING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31367-2026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46219</v>
      </c>
      <c r="E654" s="1" t="n">
        <v>46228</v>
      </c>
      <c r="F654" t="inlineStr">
        <is>
          <t>JÖNKÖPINGS LÄN</t>
        </is>
      </c>
      <c r="G654" t="inlineStr">
        <is>
          <t>JÖNKÖPING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46228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49343-2023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46228</v>
      </c>
      <c r="F656" t="inlineStr">
        <is>
          <t>JÖNKÖPINGS LÄN</t>
        </is>
      </c>
      <c r="G656" t="inlineStr">
        <is>
          <t>JÖNKÖPING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30585-2023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46228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45929</v>
      </c>
      <c r="E658" s="1" t="n">
        <v>46228</v>
      </c>
      <c r="F658" t="inlineStr">
        <is>
          <t>JÖNKÖPINGS LÄN</t>
        </is>
      </c>
      <c r="G658" t="inlineStr">
        <is>
          <t>JÖNKÖPING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46219</v>
      </c>
      <c r="E659" s="1" t="n">
        <v>46228</v>
      </c>
      <c r="F659" t="inlineStr">
        <is>
          <t>JÖNKÖPINGS LÄN</t>
        </is>
      </c>
      <c r="G659" t="inlineStr">
        <is>
          <t>JÖNKÖPING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11801-2024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45375</v>
      </c>
      <c r="E660" s="1" t="n">
        <v>46228</v>
      </c>
      <c r="F660" t="inlineStr">
        <is>
          <t>JÖNKÖPINGS LÄN</t>
        </is>
      </c>
      <c r="G660" t="inlineStr">
        <is>
          <t>JÖNKÖPING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37498-2024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46228</v>
      </c>
      <c r="F661" t="inlineStr">
        <is>
          <t>JÖNKÖPINGS LÄN</t>
        </is>
      </c>
      <c r="G661" t="inlineStr">
        <is>
          <t>JÖNKÖPING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48305-2022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44853</v>
      </c>
      <c r="E662" s="1" t="n">
        <v>46228</v>
      </c>
      <c r="F662" t="inlineStr">
        <is>
          <t>JÖNKÖPINGS LÄN</t>
        </is>
      </c>
      <c r="G662" t="inlineStr">
        <is>
          <t>JÖNKÖPING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30547-2024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45492</v>
      </c>
      <c r="E663" s="1" t="n">
        <v>46228</v>
      </c>
      <c r="F663" t="inlineStr">
        <is>
          <t>JÖNKÖPINGS LÄN</t>
        </is>
      </c>
      <c r="G663" t="inlineStr">
        <is>
          <t>JÖNKÖPING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46228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46228</v>
      </c>
      <c r="F665" t="inlineStr">
        <is>
          <t>JÖNKÖPINGS LÄN</t>
        </is>
      </c>
      <c r="G665" t="inlineStr">
        <is>
          <t>JÖNKÖPING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46228</v>
      </c>
      <c r="F666" t="inlineStr">
        <is>
          <t>JÖNKÖPINGS LÄN</t>
        </is>
      </c>
      <c r="G666" t="inlineStr">
        <is>
          <t>JÖNKÖPING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46228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46228</v>
      </c>
      <c r="F668" t="inlineStr">
        <is>
          <t>JÖNKÖPINGS LÄN</t>
        </is>
      </c>
      <c r="G668" t="inlineStr">
        <is>
          <t>JÖNKÖPING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46228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46228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46228</v>
      </c>
      <c r="F671" t="inlineStr">
        <is>
          <t>JÖNKÖPINGS LÄN</t>
        </is>
      </c>
      <c r="G671" t="inlineStr">
        <is>
          <t>JÖNKÖPING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46228</v>
      </c>
      <c r="F672" t="inlineStr">
        <is>
          <t>JÖNKÖPINGS LÄN</t>
        </is>
      </c>
      <c r="G672" t="inlineStr">
        <is>
          <t>JÖNKÖPING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28232-2024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46228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28234-2024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46228</v>
      </c>
      <c r="F674" t="inlineStr">
        <is>
          <t>JÖNKÖPINGS LÄN</t>
        </is>
      </c>
      <c r="G674" t="inlineStr">
        <is>
          <t>JÖNKÖPING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46228</v>
      </c>
      <c r="F675" t="inlineStr">
        <is>
          <t>JÖNKÖPINGS LÄN</t>
        </is>
      </c>
      <c r="G675" t="inlineStr">
        <is>
          <t>JÖNKÖPING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45243</v>
      </c>
      <c r="E676" s="1" t="n">
        <v>46228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Övriga Aktiebolag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44697-2023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45184</v>
      </c>
      <c r="E677" s="1" t="n">
        <v>46228</v>
      </c>
      <c r="F677" t="inlineStr">
        <is>
          <t>JÖNKÖPINGS LÄN</t>
        </is>
      </c>
      <c r="G677" t="inlineStr">
        <is>
          <t>JÖNKÖPING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46228</v>
      </c>
      <c r="F678" t="inlineStr">
        <is>
          <t>JÖNKÖPINGS LÄN</t>
        </is>
      </c>
      <c r="G678" t="inlineStr">
        <is>
          <t>JÖNKÖPING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44950</v>
      </c>
      <c r="E679" s="1" t="n">
        <v>46228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46228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1185-2023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44930</v>
      </c>
      <c r="E681" s="1" t="n">
        <v>46228</v>
      </c>
      <c r="F681" t="inlineStr">
        <is>
          <t>JÖNKÖPINGS LÄN</t>
        </is>
      </c>
      <c r="G681" t="inlineStr">
        <is>
          <t>JÖNKÖPING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45531</v>
      </c>
      <c r="E682" s="1" t="n">
        <v>46228</v>
      </c>
      <c r="F682" t="inlineStr">
        <is>
          <t>JÖNKÖPINGS LÄN</t>
        </is>
      </c>
      <c r="G682" t="inlineStr">
        <is>
          <t>JÖNKÖPING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45757</v>
      </c>
      <c r="E683" s="1" t="n">
        <v>46228</v>
      </c>
      <c r="F683" t="inlineStr">
        <is>
          <t>JÖNKÖPINGS LÄN</t>
        </is>
      </c>
      <c r="G683" t="inlineStr">
        <is>
          <t>JÖNKÖPING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31405-2026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46220</v>
      </c>
      <c r="E684" s="1" t="n">
        <v>46228</v>
      </c>
      <c r="F684" t="inlineStr">
        <is>
          <t>JÖNKÖPINGS LÄN</t>
        </is>
      </c>
      <c r="G684" t="inlineStr">
        <is>
          <t>JÖNKÖPING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45462</v>
      </c>
      <c r="E685" s="1" t="n">
        <v>46228</v>
      </c>
      <c r="F685" t="inlineStr">
        <is>
          <t>JÖNKÖPINGS LÄN</t>
        </is>
      </c>
      <c r="G685" t="inlineStr">
        <is>
          <t>JÖNKÖPING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47070-2023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45201</v>
      </c>
      <c r="E686" s="1" t="n">
        <v>46228</v>
      </c>
      <c r="F686" t="inlineStr">
        <is>
          <t>JÖNKÖPINGS LÄN</t>
        </is>
      </c>
      <c r="G686" t="inlineStr">
        <is>
          <t>JÖNKÖPING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46971-2023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45201</v>
      </c>
      <c r="E687" s="1" t="n">
        <v>46228</v>
      </c>
      <c r="F687" t="inlineStr">
        <is>
          <t>JÖNKÖPINGS LÄN</t>
        </is>
      </c>
      <c r="G687" t="inlineStr">
        <is>
          <t>JÖNKÖPING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23055-2022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44719</v>
      </c>
      <c r="E688" s="1" t="n">
        <v>46228</v>
      </c>
      <c r="F688" t="inlineStr">
        <is>
          <t>JÖNKÖPINGS LÄN</t>
        </is>
      </c>
      <c r="G688" t="inlineStr">
        <is>
          <t>JÖNKÖPING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45335</v>
      </c>
      <c r="E689" s="1" t="n">
        <v>46228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26512-2023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46228</v>
      </c>
      <c r="F690" t="inlineStr">
        <is>
          <t>JÖNKÖPINGS LÄN</t>
        </is>
      </c>
      <c r="G690" t="inlineStr">
        <is>
          <t>JÖNKÖPING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46228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46184</v>
      </c>
      <c r="E692" s="1" t="n">
        <v>46228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46228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48404-2023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46228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9924-2023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44985</v>
      </c>
      <c r="E695" s="1" t="n">
        <v>46228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46228</v>
      </c>
      <c r="F696" t="inlineStr">
        <is>
          <t>JÖNKÖPINGS LÄN</t>
        </is>
      </c>
      <c r="G696" t="inlineStr">
        <is>
          <t>JÖNKÖPING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45107</v>
      </c>
      <c r="E697" s="1" t="n">
        <v>46228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46228</v>
      </c>
      <c r="F698" t="inlineStr">
        <is>
          <t>JÖNKÖPINGS LÄN</t>
        </is>
      </c>
      <c r="G698" t="inlineStr">
        <is>
          <t>JÖNKÖPING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45295</v>
      </c>
      <c r="E699" s="1" t="n">
        <v>46228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45534</v>
      </c>
      <c r="E700" s="1" t="n">
        <v>46228</v>
      </c>
      <c r="F700" t="inlineStr">
        <is>
          <t>JÖNKÖPINGS LÄN</t>
        </is>
      </c>
      <c r="G700" t="inlineStr">
        <is>
          <t>JÖNKÖPING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46228</v>
      </c>
      <c r="F701" t="inlineStr">
        <is>
          <t>JÖNKÖPINGS LÄN</t>
        </is>
      </c>
      <c r="G701" t="inlineStr">
        <is>
          <t>JÖNKÖPING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44564</v>
      </c>
      <c r="E702" s="1" t="n">
        <v>46228</v>
      </c>
      <c r="F702" t="inlineStr">
        <is>
          <t>JÖNKÖPINGS LÄN</t>
        </is>
      </c>
      <c r="G702" t="inlineStr">
        <is>
          <t>JÖNKÖPING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12042-2024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45377</v>
      </c>
      <c r="E703" s="1" t="n">
        <v>46228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51188-2023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45219</v>
      </c>
      <c r="E704" s="1" t="n">
        <v>46228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45363</v>
      </c>
      <c r="E705" s="1" t="n">
        <v>46228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56051-2023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45240</v>
      </c>
      <c r="E706" s="1" t="n">
        <v>46228</v>
      </c>
      <c r="F706" t="inlineStr">
        <is>
          <t>JÖNKÖPINGS LÄN</t>
        </is>
      </c>
      <c r="G706" t="inlineStr">
        <is>
          <t>JÖNKÖPING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6634-2023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44966</v>
      </c>
      <c r="E707" s="1" t="n">
        <v>46228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45408-2023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45194</v>
      </c>
      <c r="E708" s="1" t="n">
        <v>46228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45412-2023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45194</v>
      </c>
      <c r="E709" s="1" t="n">
        <v>46228</v>
      </c>
      <c r="F709" t="inlineStr">
        <is>
          <t>JÖNKÖPINGS LÄN</t>
        </is>
      </c>
      <c r="G709" t="inlineStr">
        <is>
          <t>JÖNKÖPING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46228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29880-2023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46228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45015</v>
      </c>
      <c r="E712" s="1" t="n">
        <v>46228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59218-2022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44904</v>
      </c>
      <c r="E713" s="1" t="n">
        <v>46228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46228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6458-2024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45338</v>
      </c>
      <c r="E715" s="1" t="n">
        <v>46228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44894</v>
      </c>
      <c r="E716" s="1" t="n">
        <v>46228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56569-2022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44893</v>
      </c>
      <c r="E717" s="1" t="n">
        <v>46228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7177-2022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44605</v>
      </c>
      <c r="E718" s="1" t="n">
        <v>46228</v>
      </c>
      <c r="F718" t="inlineStr">
        <is>
          <t>JÖNKÖPINGS LÄN</t>
        </is>
      </c>
      <c r="G718" t="inlineStr">
        <is>
          <t>JÖNKÖPING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46460-2023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46228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45406</v>
      </c>
      <c r="E720" s="1" t="n">
        <v>46228</v>
      </c>
      <c r="F720" t="inlineStr">
        <is>
          <t>JÖNKÖPINGS LÄN</t>
        </is>
      </c>
      <c r="G720" t="inlineStr">
        <is>
          <t>JÖNKÖPING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44985</v>
      </c>
      <c r="E721" s="1" t="n">
        <v>46228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46228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44484</v>
      </c>
      <c r="E723" s="1" t="n">
        <v>46228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46228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45671</v>
      </c>
      <c r="E725" s="1" t="n">
        <v>46228</v>
      </c>
      <c r="F725" t="inlineStr">
        <is>
          <t>JÖNKÖPINGS LÄN</t>
        </is>
      </c>
      <c r="G725" t="inlineStr">
        <is>
          <t>JÖNKÖPING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7401-2025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45705</v>
      </c>
      <c r="E726" s="1" t="n">
        <v>46228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14228-2025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45740</v>
      </c>
      <c r="E727" s="1" t="n">
        <v>46228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5661-2025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45693</v>
      </c>
      <c r="E728" s="1" t="n">
        <v>46228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14227-2023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45009</v>
      </c>
      <c r="E729" s="1" t="n">
        <v>46228</v>
      </c>
      <c r="F729" t="inlineStr">
        <is>
          <t>JÖNKÖPINGS LÄN</t>
        </is>
      </c>
      <c r="G729" t="inlineStr">
        <is>
          <t>JÖNKÖPING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33256-2023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45127</v>
      </c>
      <c r="E730" s="1" t="n">
        <v>46228</v>
      </c>
      <c r="F730" t="inlineStr">
        <is>
          <t>JÖNKÖPINGS LÄN</t>
        </is>
      </c>
      <c r="G730" t="inlineStr">
        <is>
          <t>JÖNKÖPING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46228</v>
      </c>
      <c r="F731" t="inlineStr">
        <is>
          <t>JÖNKÖPINGS LÄN</t>
        </is>
      </c>
      <c r="G731" t="inlineStr">
        <is>
          <t>JÖNKÖPING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45756</v>
      </c>
      <c r="E732" s="1" t="n">
        <v>46228</v>
      </c>
      <c r="F732" t="inlineStr">
        <is>
          <t>JÖNKÖPINGS LÄN</t>
        </is>
      </c>
      <c r="G732" t="inlineStr">
        <is>
          <t>JÖNKÖPING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45324</v>
      </c>
      <c r="E733" s="1" t="n">
        <v>46228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Kyrkan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46228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45671</v>
      </c>
      <c r="E735" s="1" t="n">
        <v>46228</v>
      </c>
      <c r="F735" t="inlineStr">
        <is>
          <t>JÖNKÖPINGS LÄN</t>
        </is>
      </c>
      <c r="G735" t="inlineStr">
        <is>
          <t>JÖNKÖPING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45414</v>
      </c>
      <c r="E736" s="1" t="n">
        <v>46228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45761</v>
      </c>
      <c r="E737" s="1" t="n">
        <v>46228</v>
      </c>
      <c r="F737" t="inlineStr">
        <is>
          <t>JÖNKÖPINGS LÄN</t>
        </is>
      </c>
      <c r="G737" t="inlineStr">
        <is>
          <t>JÖNKÖPING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27246-2022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44741</v>
      </c>
      <c r="E738" s="1" t="n">
        <v>46228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45223</v>
      </c>
      <c r="E739" s="1" t="n">
        <v>46228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45541</v>
      </c>
      <c r="E740" s="1" t="n">
        <v>46228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20384-2024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45435</v>
      </c>
      <c r="E741" s="1" t="n">
        <v>46228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Kyrkan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6970-2023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44967</v>
      </c>
      <c r="E742" s="1" t="n">
        <v>46228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26208-2022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44734</v>
      </c>
      <c r="E743" s="1" t="n">
        <v>46228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15315-2025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45747</v>
      </c>
      <c r="E744" s="1" t="n">
        <v>46228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35949-2024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46228</v>
      </c>
      <c r="F745" t="inlineStr">
        <is>
          <t>JÖNKÖPINGS LÄN</t>
        </is>
      </c>
      <c r="G745" t="inlineStr">
        <is>
          <t>JÖNKÖPING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7846-2025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45706</v>
      </c>
      <c r="E746" s="1" t="n">
        <v>46228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58437-2024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45635</v>
      </c>
      <c r="E747" s="1" t="n">
        <v>46228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37510-2024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45541</v>
      </c>
      <c r="E748" s="1" t="n">
        <v>46228</v>
      </c>
      <c r="F748" t="inlineStr">
        <is>
          <t>JÖNKÖPINGS LÄN</t>
        </is>
      </c>
      <c r="G748" t="inlineStr">
        <is>
          <t>JÖNKÖPING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47067-2023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45201</v>
      </c>
      <c r="E749" s="1" t="n">
        <v>46228</v>
      </c>
      <c r="F749" t="inlineStr">
        <is>
          <t>JÖNKÖPINGS LÄN</t>
        </is>
      </c>
      <c r="G749" t="inlineStr">
        <is>
          <t>JÖNKÖPING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6663-2024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45341</v>
      </c>
      <c r="E750" s="1" t="n">
        <v>46228</v>
      </c>
      <c r="F750" t="inlineStr">
        <is>
          <t>JÖNKÖPINGS LÄN</t>
        </is>
      </c>
      <c r="G750" t="inlineStr">
        <is>
          <t>JÖNKÖPING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44950</v>
      </c>
      <c r="E751" s="1" t="n">
        <v>46228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28337-2023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45099</v>
      </c>
      <c r="E752" s="1" t="n">
        <v>46228</v>
      </c>
      <c r="F752" t="inlineStr">
        <is>
          <t>JÖNKÖPINGS LÄN</t>
        </is>
      </c>
      <c r="G752" t="inlineStr">
        <is>
          <t>JÖNKÖPING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45681</v>
      </c>
      <c r="E753" s="1" t="n">
        <v>46228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9604-2025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45715</v>
      </c>
      <c r="E754" s="1" t="n">
        <v>46228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10760-2022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44627</v>
      </c>
      <c r="E755" s="1" t="n">
        <v>46228</v>
      </c>
      <c r="F755" t="inlineStr">
        <is>
          <t>JÖNKÖPINGS LÄN</t>
        </is>
      </c>
      <c r="G755" t="inlineStr">
        <is>
          <t>JÖNKÖPING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46228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8554-2024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45355</v>
      </c>
      <c r="E757" s="1" t="n">
        <v>46228</v>
      </c>
      <c r="F757" t="inlineStr">
        <is>
          <t>JÖNKÖPINGS LÄN</t>
        </is>
      </c>
      <c r="G757" t="inlineStr">
        <is>
          <t>JÖNKÖPING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44966</v>
      </c>
      <c r="E758" s="1" t="n">
        <v>46228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4154-2022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44588</v>
      </c>
      <c r="E759" s="1" t="n">
        <v>46228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44488</v>
      </c>
      <c r="E760" s="1" t="n">
        <v>46228</v>
      </c>
      <c r="F760" t="inlineStr">
        <is>
          <t>JÖNKÖPINGS LÄN</t>
        </is>
      </c>
      <c r="G760" t="inlineStr">
        <is>
          <t>JÖNKÖPING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46462-2023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45197</v>
      </c>
      <c r="E761" s="1" t="n">
        <v>46228</v>
      </c>
      <c r="F761" t="inlineStr">
        <is>
          <t>JÖNKÖPINGS LÄN</t>
        </is>
      </c>
      <c r="G761" t="inlineStr">
        <is>
          <t>JÖNKÖPING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46228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43573-2024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45569</v>
      </c>
      <c r="E763" s="1" t="n">
        <v>46228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44897</v>
      </c>
      <c r="E764" s="1" t="n">
        <v>46228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Kyrkan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46228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46228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46228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46228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46228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46228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46228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46228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46228</v>
      </c>
      <c r="F773" t="inlineStr">
        <is>
          <t>JÖNKÖPINGS LÄN</t>
        </is>
      </c>
      <c r="G773" t="inlineStr">
        <is>
          <t>JÖNKÖPING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45586</v>
      </c>
      <c r="E774" s="1" t="n">
        <v>46228</v>
      </c>
      <c r="F774" t="inlineStr">
        <is>
          <t>JÖNKÖPINGS LÄN</t>
        </is>
      </c>
      <c r="G774" t="inlineStr">
        <is>
          <t>JÖNKÖPING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46228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39280-2024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45551</v>
      </c>
      <c r="E776" s="1" t="n">
        <v>46228</v>
      </c>
      <c r="F776" t="inlineStr">
        <is>
          <t>JÖNKÖPINGS LÄN</t>
        </is>
      </c>
      <c r="G776" t="inlineStr">
        <is>
          <t>JÖNKÖPING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45350</v>
      </c>
      <c r="E777" s="1" t="n">
        <v>46228</v>
      </c>
      <c r="F777" t="inlineStr">
        <is>
          <t>JÖNKÖPINGS LÄN</t>
        </is>
      </c>
      <c r="G777" t="inlineStr">
        <is>
          <t>JÖNKÖPING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46228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46228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45570</v>
      </c>
      <c r="E780" s="1" t="n">
        <v>46228</v>
      </c>
      <c r="F780" t="inlineStr">
        <is>
          <t>JÖNKÖPINGS LÄN</t>
        </is>
      </c>
      <c r="G780" t="inlineStr">
        <is>
          <t>JÖNKÖPING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46228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46228</v>
      </c>
      <c r="F782" t="inlineStr">
        <is>
          <t>JÖNKÖPINGS LÄN</t>
        </is>
      </c>
      <c r="G782" t="inlineStr">
        <is>
          <t>JÖNKÖPING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45740</v>
      </c>
      <c r="E783" s="1" t="n">
        <v>46228</v>
      </c>
      <c r="F783" t="inlineStr">
        <is>
          <t>JÖNKÖPINGS LÄN</t>
        </is>
      </c>
      <c r="G783" t="inlineStr">
        <is>
          <t>JÖNKÖPING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46228</v>
      </c>
      <c r="F784" t="inlineStr">
        <is>
          <t>JÖNKÖPINGS LÄN</t>
        </is>
      </c>
      <c r="G784" t="inlineStr">
        <is>
          <t>JÖNKÖPING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13144-2025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46228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46228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46228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26274-2025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45805</v>
      </c>
      <c r="E788" s="1" t="n">
        <v>46228</v>
      </c>
      <c r="F788" t="inlineStr">
        <is>
          <t>JÖNKÖPINGS LÄN</t>
        </is>
      </c>
      <c r="G788" t="inlineStr">
        <is>
          <t>JÖNKÖPING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46228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26358-2025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45806</v>
      </c>
      <c r="E790" s="1" t="n">
        <v>46228</v>
      </c>
      <c r="F790" t="inlineStr">
        <is>
          <t>JÖNKÖPINGS LÄN</t>
        </is>
      </c>
      <c r="G790" t="inlineStr">
        <is>
          <t>JÖNKÖPING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49836-2024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46228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46228</v>
      </c>
      <c r="F792" t="inlineStr">
        <is>
          <t>JÖNKÖPINGS LÄN</t>
        </is>
      </c>
      <c r="G792" t="inlineStr">
        <is>
          <t>JÖNKÖPING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60557-2024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45643</v>
      </c>
      <c r="E793" s="1" t="n">
        <v>46228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42053-2024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46228</v>
      </c>
      <c r="F794" t="inlineStr">
        <is>
          <t>JÖNKÖPINGS LÄN</t>
        </is>
      </c>
      <c r="G794" t="inlineStr">
        <is>
          <t>JÖNKÖPING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46228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45826</v>
      </c>
      <c r="E796" s="1" t="n">
        <v>46228</v>
      </c>
      <c r="F796" t="inlineStr">
        <is>
          <t>JÖNKÖPINGS LÄN</t>
        </is>
      </c>
      <c r="G796" t="inlineStr">
        <is>
          <t>JÖNKÖPING</t>
        </is>
      </c>
      <c r="I796" t="n">
        <v>11.9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17363-2025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45756</v>
      </c>
      <c r="E797" s="1" t="n">
        <v>46228</v>
      </c>
      <c r="F797" t="inlineStr">
        <is>
          <t>JÖNKÖPINGS LÄN</t>
        </is>
      </c>
      <c r="G797" t="inlineStr">
        <is>
          <t>JÖNKÖPING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46228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45797</v>
      </c>
      <c r="E799" s="1" t="n">
        <v>46228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46228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46228</v>
      </c>
      <c r="F801" t="inlineStr">
        <is>
          <t>JÖNKÖPINGS LÄN</t>
        </is>
      </c>
      <c r="G801" t="inlineStr">
        <is>
          <t>JÖNKÖPING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47401-2024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46228</v>
      </c>
      <c r="F802" t="inlineStr">
        <is>
          <t>JÖNKÖPINGS LÄN</t>
        </is>
      </c>
      <c r="G802" t="inlineStr">
        <is>
          <t>JÖNKÖPING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34600-2025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45846</v>
      </c>
      <c r="E803" s="1" t="n">
        <v>46228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45846</v>
      </c>
      <c r="E804" s="1" t="n">
        <v>46228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Kyrkan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45751</v>
      </c>
      <c r="E805" s="1" t="n">
        <v>46228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57509-2024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45630</v>
      </c>
      <c r="E806" s="1" t="n">
        <v>46228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45701</v>
      </c>
      <c r="E807" s="1" t="n">
        <v>46228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45788</v>
      </c>
      <c r="E808" s="1" t="n">
        <v>46228</v>
      </c>
      <c r="F808" t="inlineStr">
        <is>
          <t>JÖNKÖPINGS LÄN</t>
        </is>
      </c>
      <c r="G808" t="inlineStr">
        <is>
          <t>JÖNKÖPING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35820-2025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45861</v>
      </c>
      <c r="E809" s="1" t="n">
        <v>46228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46228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46228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46228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46228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589-2022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44593</v>
      </c>
      <c r="E814" s="1" t="n">
        <v>46228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46228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46228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46228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46228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46228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46228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46228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46228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46228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46228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46228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46228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46228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46228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46228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46228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2026-07-25T01:48:08Z</dcterms:created>
  <dcterms:modified xmlns:dcterms="http://purl.org/dc/terms/" xmlns:xsi="http://www.w3.org/2001/XMLSchema-instance" xsi:type="dcterms:W3CDTF">2026-07-25T01:48:09Z</dcterms:modified>
</cp:coreProperties>
</file>