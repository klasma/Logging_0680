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46250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46250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46250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46250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46250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46250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46250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46250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46250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46250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46250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46250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46250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46250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46250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46250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46250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46250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46250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46250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46250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46250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46250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46250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46250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46250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46250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46250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46250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46250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46250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46250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46250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46250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46250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46250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11623-2024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46250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Sexfläckig bastardsvärmare
Ängsmetallvinge</t>
        </is>
      </c>
      <c r="W47">
        <f>HYPERLINK("https://klasma.github.io/Logging_0680/artfynd/A 11623-2024 artfynd.xlsx", "A 11623-2024")</f>
        <v/>
      </c>
      <c r="X47">
        <f>HYPERLINK("https://klasma.github.io/Logging_0680/kartor/A 11623-2024 karta.png", "A 11623-2024")</f>
        <v/>
      </c>
      <c r="Y47">
        <f>HYPERLINK("https://klasma.github.io/Logging_0680/kartor_geotiff/A 11623-2024 georefererad karta.tif", "A 11623-2024")</f>
        <v/>
      </c>
      <c r="AA47">
        <f>HYPERLINK("https://klasma.github.io/Logging_0680/klagomål/A 11623-2024 FSC-klagomål.docx", "A 11623-2024")</f>
        <v/>
      </c>
      <c r="AB47">
        <f>HYPERLINK("https://klasma.github.io/Logging_0680/klagomålsmail/A 11623-2024 FSC-klagomål mail.docx", "A 11623-2024")</f>
        <v/>
      </c>
      <c r="AC47">
        <f>HYPERLINK("https://klasma.github.io/Logging_0680/tillsyn/A 11623-2024 tillsynsbegäran.docx", "A 11623-2024")</f>
        <v/>
      </c>
      <c r="AD47">
        <f>HYPERLINK("https://klasma.github.io/Logging_0680/tillsynsmail/A 11623-2024 tillsynsbegäran mail.docx", "A 11623-2024")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46250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36799-2024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46250</v>
      </c>
      <c r="F49" t="inlineStr">
        <is>
          <t>JÖNKÖPINGS LÄN</t>
        </is>
      </c>
      <c r="G49" t="inlineStr">
        <is>
          <t>JÖNKÖPING</t>
        </is>
      </c>
      <c r="I49" t="n">
        <v>1.1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Svinrot
Grönpyrola</t>
        </is>
      </c>
      <c r="W49">
        <f>HYPERLINK("https://klasma.github.io/Logging_0680/artfynd/A 36799-2024 artfynd.xlsx", "A 36799-2024")</f>
        <v/>
      </c>
      <c r="X49">
        <f>HYPERLINK("https://klasma.github.io/Logging_0680/kartor/A 36799-2024 karta.png", "A 36799-2024")</f>
        <v/>
      </c>
      <c r="Y49">
        <f>HYPERLINK("https://klasma.github.io/Logging_0680/kartor_geotiff/A 36799-2024 georefererad karta.tif", "A 36799-2024")</f>
        <v/>
      </c>
      <c r="AA49">
        <f>HYPERLINK("https://klasma.github.io/Logging_0680/klagomål/A 36799-2024 FSC-klagomål.docx", "A 36799-2024")</f>
        <v/>
      </c>
      <c r="AB49">
        <f>HYPERLINK("https://klasma.github.io/Logging_0680/klagomålsmail/A 36799-2024 FSC-klagomål mail.docx", "A 36799-2024")</f>
        <v/>
      </c>
      <c r="AC49">
        <f>HYPERLINK("https://klasma.github.io/Logging_0680/tillsyn/A 36799-2024 tillsynsbegäran.docx", "A 36799-2024")</f>
        <v/>
      </c>
      <c r="AD49">
        <f>HYPERLINK("https://klasma.github.io/Logging_0680/tillsynsmail/A 36799-2024 tillsynsbegäran mail.docx", "A 36799-2024")</f>
        <v/>
      </c>
    </row>
    <row r="50" ht="15" customHeight="1">
      <c r="A50" t="inlineStr">
        <is>
          <t>A 51385-2025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46250</v>
      </c>
      <c r="F50" t="inlineStr">
        <is>
          <t>JÖNKÖPINGS LÄN</t>
        </is>
      </c>
      <c r="G50" t="inlineStr">
        <is>
          <t>JÖNKÖPING</t>
        </is>
      </c>
      <c r="I50" t="n">
        <v>5.2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Gullklöver
Klofibbla</t>
        </is>
      </c>
      <c r="W50">
        <f>HYPERLINK("https://klasma.github.io/Logging_0680/artfynd/A 51385-2025 artfynd.xlsx", "A 51385-2025")</f>
        <v/>
      </c>
      <c r="X50">
        <f>HYPERLINK("https://klasma.github.io/Logging_0680/kartor/A 51385-2025 karta.png", "A 51385-2025")</f>
        <v/>
      </c>
      <c r="Y50">
        <f>HYPERLINK("https://klasma.github.io/Logging_0680/kartor_geotiff/A 51385-2025 georefererad karta.tif", "A 51385-2025")</f>
        <v/>
      </c>
      <c r="AA50">
        <f>HYPERLINK("https://klasma.github.io/Logging_0680/klagomål/A 51385-2025 FSC-klagomål.docx", "A 51385-2025")</f>
        <v/>
      </c>
      <c r="AB50">
        <f>HYPERLINK("https://klasma.github.io/Logging_0680/klagomålsmail/A 51385-2025 FSC-klagomål mail.docx", "A 51385-2025")</f>
        <v/>
      </c>
      <c r="AC50">
        <f>HYPERLINK("https://klasma.github.io/Logging_0680/tillsyn/A 51385-2025 tillsynsbegäran.docx", "A 51385-2025")</f>
        <v/>
      </c>
      <c r="AD50">
        <f>HYPERLINK("https://klasma.github.io/Logging_0680/tillsynsmail/A 51385-2025 tillsynsbegäran mail.docx", "A 51385-2025")</f>
        <v/>
      </c>
    </row>
    <row r="51" ht="15" customHeight="1">
      <c r="A51" t="inlineStr">
        <is>
          <t>A 1235-2024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45302</v>
      </c>
      <c r="E51" s="1" t="n">
        <v>46250</v>
      </c>
      <c r="F51" t="inlineStr">
        <is>
          <t>JÖNKÖPINGS LÄN</t>
        </is>
      </c>
      <c r="G51" t="inlineStr">
        <is>
          <t>JÖNKÖPING</t>
        </is>
      </c>
      <c r="I51" t="n">
        <v>2.8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Lakritsmusseron
Dropptaggsvamp</t>
        </is>
      </c>
      <c r="W51">
        <f>HYPERLINK("https://klasma.github.io/Logging_0680/artfynd/A 1235-2024 artfynd.xlsx", "A 1235-2024")</f>
        <v/>
      </c>
      <c r="X51">
        <f>HYPERLINK("https://klasma.github.io/Logging_0680/kartor/A 1235-2024 karta.png", "A 1235-2024")</f>
        <v/>
      </c>
      <c r="Y51">
        <f>HYPERLINK("https://klasma.github.io/Logging_0680/kartor_geotiff/A 1235-2024 georefererad karta.tif", "A 1235-2024")</f>
        <v/>
      </c>
      <c r="AA51">
        <f>HYPERLINK("https://klasma.github.io/Logging_0680/klagomål/A 1235-2024 FSC-klagomål.docx", "A 1235-2024")</f>
        <v/>
      </c>
      <c r="AB51">
        <f>HYPERLINK("https://klasma.github.io/Logging_0680/klagomålsmail/A 1235-2024 FSC-klagomål mail.docx", "A 1235-2024")</f>
        <v/>
      </c>
      <c r="AC51">
        <f>HYPERLINK("https://klasma.github.io/Logging_0680/tillsyn/A 1235-2024 tillsynsbegäran.docx", "A 1235-2024")</f>
        <v/>
      </c>
      <c r="AD51">
        <f>HYPERLINK("https://klasma.github.io/Logging_0680/tillsynsmail/A 1235-2024 tillsynsbegäran mail.docx", "A 1235-2024")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46250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2486-2023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44943</v>
      </c>
      <c r="E53" s="1" t="n">
        <v>46250</v>
      </c>
      <c r="F53" t="inlineStr">
        <is>
          <t>JÖNKÖPINGS LÄN</t>
        </is>
      </c>
      <c r="G53" t="inlineStr">
        <is>
          <t>JÖNKÖPING</t>
        </is>
      </c>
      <c r="I53" t="n">
        <v>2.5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Solvända
Fällmossa</t>
        </is>
      </c>
      <c r="W53">
        <f>HYPERLINK("https://klasma.github.io/Logging_0680/artfynd/A 2486-2023 artfynd.xlsx", "A 2486-2023")</f>
        <v/>
      </c>
      <c r="X53">
        <f>HYPERLINK("https://klasma.github.io/Logging_0680/kartor/A 2486-2023 karta.png", "A 2486-2023")</f>
        <v/>
      </c>
      <c r="Y53">
        <f>HYPERLINK("https://klasma.github.io/Logging_0680/kartor_geotiff/A 2486-2023 georefererad karta.tif", "A 2486-2023")</f>
        <v/>
      </c>
      <c r="AA53">
        <f>HYPERLINK("https://klasma.github.io/Logging_0680/klagomål/A 2486-2023 FSC-klagomål.docx", "A 2486-2023")</f>
        <v/>
      </c>
      <c r="AB53">
        <f>HYPERLINK("https://klasma.github.io/Logging_0680/klagomålsmail/A 2486-2023 FSC-klagomål mail.docx", "A 2486-2023")</f>
        <v/>
      </c>
      <c r="AC53">
        <f>HYPERLINK("https://klasma.github.io/Logging_0680/tillsyn/A 2486-2023 tillsynsbegäran.docx", "A 2486-2023")</f>
        <v/>
      </c>
      <c r="AD53">
        <f>HYPERLINK("https://klasma.github.io/Logging_0680/tillsynsmail/A 2486-2023 tillsynsbegäran mail.docx", "A 2486-2023")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46250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46250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10991-2023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46250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Gulnål
Kornig nållav</t>
        </is>
      </c>
      <c r="W56">
        <f>HYPERLINK("https://klasma.github.io/Logging_0680/artfynd/A 10991-2023 artfynd.xlsx", "A 10991-2023")</f>
        <v/>
      </c>
      <c r="X56">
        <f>HYPERLINK("https://klasma.github.io/Logging_0680/kartor/A 10991-2023 karta.png", "A 10991-2023")</f>
        <v/>
      </c>
      <c r="Y56">
        <f>HYPERLINK("https://klasma.github.io/Logging_0680/kartor_geotiff/A 10991-2023 georefererad karta.tif", "A 10991-2023")</f>
        <v/>
      </c>
      <c r="AA56">
        <f>HYPERLINK("https://klasma.github.io/Logging_0680/klagomål/A 10991-2023 FSC-klagomål.docx", "A 10991-2023")</f>
        <v/>
      </c>
      <c r="AB56">
        <f>HYPERLINK("https://klasma.github.io/Logging_0680/klagomålsmail/A 10991-2023 FSC-klagomål mail.docx", "A 10991-2023")</f>
        <v/>
      </c>
      <c r="AC56">
        <f>HYPERLINK("https://klasma.github.io/Logging_0680/tillsyn/A 10991-2023 tillsynsbegäran.docx", "A 10991-2023")</f>
        <v/>
      </c>
      <c r="AD56">
        <f>HYPERLINK("https://klasma.github.io/Logging_0680/tillsynsmail/A 10991-2023 tillsynsbegäran mail.docx", "A 10991-2023")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46250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9974-2023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46250</v>
      </c>
      <c r="F58" t="inlineStr">
        <is>
          <t>JÖNKÖPINGS LÄN</t>
        </is>
      </c>
      <c r="G58" t="inlineStr">
        <is>
          <t>JÖNKÖPING</t>
        </is>
      </c>
      <c r="I58" t="n">
        <v>1.2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Entita
Kungsfågel</t>
        </is>
      </c>
      <c r="W58">
        <f>HYPERLINK("https://klasma.github.io/Logging_0680/artfynd/A 9974-2023 artfynd.xlsx", "A 9974-2023")</f>
        <v/>
      </c>
      <c r="X58">
        <f>HYPERLINK("https://klasma.github.io/Logging_0680/kartor/A 9974-2023 karta.png", "A 9974-2023")</f>
        <v/>
      </c>
      <c r="Y58">
        <f>HYPERLINK("https://klasma.github.io/Logging_0680/kartor_geotiff/A 9974-2023 georefererad karta.tif", "A 9974-2023")</f>
        <v/>
      </c>
      <c r="AA58">
        <f>HYPERLINK("https://klasma.github.io/Logging_0680/klagomål/A 9974-2023 FSC-klagomål.docx", "A 9974-2023")</f>
        <v/>
      </c>
      <c r="AB58">
        <f>HYPERLINK("https://klasma.github.io/Logging_0680/klagomålsmail/A 9974-2023 FSC-klagomål mail.docx", "A 9974-2023")</f>
        <v/>
      </c>
      <c r="AC58">
        <f>HYPERLINK("https://klasma.github.io/Logging_0680/tillsyn/A 9974-2023 tillsynsbegäran.docx", "A 9974-2023")</f>
        <v/>
      </c>
      <c r="AD58">
        <f>HYPERLINK("https://klasma.github.io/Logging_0680/tillsynsmail/A 9974-2023 tillsynsbegäran mail.docx", "A 9974-2023")</f>
        <v/>
      </c>
      <c r="AE58">
        <f>HYPERLINK("https://klasma.github.io/Logging_0680/fåglar/A 9974-2023 prioriterade fågelarter.docx", "A 9974-2023")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46250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23066-2025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45790</v>
      </c>
      <c r="E60" s="1" t="n">
        <v>46250</v>
      </c>
      <c r="F60" t="inlineStr">
        <is>
          <t>JÖNKÖPINGS LÄN</t>
        </is>
      </c>
      <c r="G60" t="inlineStr">
        <is>
          <t>JÖNKÖPING</t>
        </is>
      </c>
      <c r="I60" t="n">
        <v>1.5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Slåttergubbe
Nattviol</t>
        </is>
      </c>
      <c r="W60">
        <f>HYPERLINK("https://klasma.github.io/Logging_0680/artfynd/A 23066-2025 artfynd.xlsx", "A 23066-2025")</f>
        <v/>
      </c>
      <c r="X60">
        <f>HYPERLINK("https://klasma.github.io/Logging_0680/kartor/A 23066-2025 karta.png", "A 23066-2025")</f>
        <v/>
      </c>
      <c r="Y60">
        <f>HYPERLINK("https://klasma.github.io/Logging_0680/kartor_geotiff/A 23066-2025 georefererad karta.tif", "A 23066-2025")</f>
        <v/>
      </c>
      <c r="AA60">
        <f>HYPERLINK("https://klasma.github.io/Logging_0680/klagomål/A 23066-2025 FSC-klagomål.docx", "A 23066-2025")</f>
        <v/>
      </c>
      <c r="AB60">
        <f>HYPERLINK("https://klasma.github.io/Logging_0680/klagomålsmail/A 23066-2025 FSC-klagomål mail.docx", "A 23066-2025")</f>
        <v/>
      </c>
      <c r="AC60">
        <f>HYPERLINK("https://klasma.github.io/Logging_0680/tillsyn/A 23066-2025 tillsynsbegäran.docx", "A 23066-2025")</f>
        <v/>
      </c>
      <c r="AD60">
        <f>HYPERLINK("https://klasma.github.io/Logging_0680/tillsynsmail/A 23066-2025 tillsynsbegäran mail.docx", "A 23066-2025")</f>
        <v/>
      </c>
    </row>
    <row r="61" ht="15" customHeight="1">
      <c r="A61" t="inlineStr">
        <is>
          <t>A 3361-2025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46250</v>
      </c>
      <c r="F61" t="inlineStr">
        <is>
          <t>JÖNKÖPINGS LÄN</t>
        </is>
      </c>
      <c r="G61" t="inlineStr">
        <is>
          <t>JÖNKÖPING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Vårärt
Blåsippa</t>
        </is>
      </c>
      <c r="W61">
        <f>HYPERLINK("https://klasma.github.io/Logging_0680/artfynd/A 3361-2025 artfynd.xlsx", "A 3361-2025")</f>
        <v/>
      </c>
      <c r="X61">
        <f>HYPERLINK("https://klasma.github.io/Logging_0680/kartor/A 3361-2025 karta.png", "A 3361-2025")</f>
        <v/>
      </c>
      <c r="Y61">
        <f>HYPERLINK("https://klasma.github.io/Logging_0680/kartor_geotiff/A 3361-2025 georefererad karta.tif", "A 3361-2025")</f>
        <v/>
      </c>
      <c r="AA61">
        <f>HYPERLINK("https://klasma.github.io/Logging_0680/klagomål/A 3361-2025 FSC-klagomål.docx", "A 3361-2025")</f>
        <v/>
      </c>
      <c r="AB61">
        <f>HYPERLINK("https://klasma.github.io/Logging_0680/klagomålsmail/A 3361-2025 FSC-klagomål mail.docx", "A 3361-2025")</f>
        <v/>
      </c>
      <c r="AC61">
        <f>HYPERLINK("https://klasma.github.io/Logging_0680/tillsyn/A 3361-2025 tillsynsbegäran.docx", "A 3361-2025")</f>
        <v/>
      </c>
      <c r="AD61">
        <f>HYPERLINK("https://klasma.github.io/Logging_0680/tillsynsmail/A 3361-2025 tillsynsbegäran mail.docx", "A 3361-2025")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46250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46250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46250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51183-2024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46250</v>
      </c>
      <c r="F66" t="inlineStr">
        <is>
          <t>JÖNKÖPINGS LÄN</t>
        </is>
      </c>
      <c r="G66" t="inlineStr">
        <is>
          <t>JÖNKÖPING</t>
        </is>
      </c>
      <c r="I66" t="n">
        <v>5.9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Sångsvan
Trana</t>
        </is>
      </c>
      <c r="W66">
        <f>HYPERLINK("https://klasma.github.io/Logging_0680/artfynd/A 51183-2024 artfynd.xlsx", "A 51183-2024")</f>
        <v/>
      </c>
      <c r="X66">
        <f>HYPERLINK("https://klasma.github.io/Logging_0680/kartor/A 51183-2024 karta.png", "A 51183-2024")</f>
        <v/>
      </c>
      <c r="Y66">
        <f>HYPERLINK("https://klasma.github.io/Logging_0680/kartor_geotiff/A 51183-2024 georefererad karta.tif", "A 51183-2024")</f>
        <v/>
      </c>
      <c r="AA66">
        <f>HYPERLINK("https://klasma.github.io/Logging_0680/klagomål/A 51183-2024 FSC-klagomål.docx", "A 51183-2024")</f>
        <v/>
      </c>
      <c r="AB66">
        <f>HYPERLINK("https://klasma.github.io/Logging_0680/klagomålsmail/A 51183-2024 FSC-klagomål mail.docx", "A 51183-2024")</f>
        <v/>
      </c>
      <c r="AC66">
        <f>HYPERLINK("https://klasma.github.io/Logging_0680/tillsyn/A 51183-2024 tillsynsbegäran.docx", "A 51183-2024")</f>
        <v/>
      </c>
      <c r="AD66">
        <f>HYPERLINK("https://klasma.github.io/Logging_0680/tillsynsmail/A 51183-2024 tillsynsbegäran mail.docx", "A 51183-2024")</f>
        <v/>
      </c>
      <c r="AE66">
        <f>HYPERLINK("https://klasma.github.io/Logging_0680/fåglar/A 51183-2024 prioriterade fågelarter.docx", "A 51183-2024")</f>
        <v/>
      </c>
    </row>
    <row r="67" ht="15" customHeight="1">
      <c r="A67" t="inlineStr">
        <is>
          <t>A 28211-2026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46250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Backtimjan
Solvända</t>
        </is>
      </c>
      <c r="W67">
        <f>HYPERLINK("https://klasma.github.io/Logging_0680/artfynd/A 28211-2026 artfynd.xlsx", "A 28211-2026")</f>
        <v/>
      </c>
      <c r="X67">
        <f>HYPERLINK("https://klasma.github.io/Logging_0680/kartor/A 28211-2026 karta.png", "A 28211-2026")</f>
        <v/>
      </c>
      <c r="Y67">
        <f>HYPERLINK("https://klasma.github.io/Logging_0680/kartor_geotiff/A 28211-2026 georefererad karta.tif", "A 28211-2026")</f>
        <v/>
      </c>
      <c r="AA67">
        <f>HYPERLINK("https://klasma.github.io/Logging_0680/klagomål/A 28211-2026 FSC-klagomål.docx", "A 28211-2026")</f>
        <v/>
      </c>
      <c r="AB67">
        <f>HYPERLINK("https://klasma.github.io/Logging_0680/klagomålsmail/A 28211-2026 FSC-klagomål mail.docx", "A 28211-2026")</f>
        <v/>
      </c>
      <c r="AC67">
        <f>HYPERLINK("https://klasma.github.io/Logging_0680/tillsyn/A 28211-2026 tillsynsbegäran.docx", "A 28211-2026")</f>
        <v/>
      </c>
      <c r="AD67">
        <f>HYPERLINK("https://klasma.github.io/Logging_0680/tillsynsmail/A 28211-2026 tillsynsbegäran mail.docx", "A 28211-2026")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46250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46250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46250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46250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46250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46250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46250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46250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46250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46250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46250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46250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62844-2023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46250</v>
      </c>
      <c r="F80" t="inlineStr">
        <is>
          <t>JÖNKÖPINGS LÄN</t>
        </is>
      </c>
      <c r="G80" t="inlineStr">
        <is>
          <t>JÖNKÖPING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4</v>
      </c>
      <c r="U80" t="n">
        <v>0</v>
      </c>
      <c r="V80" s="2" t="inlineStr">
        <is>
          <t>Ask</t>
        </is>
      </c>
      <c r="W80">
        <f>HYPERLINK("https://klasma.github.io/Logging_0680/artfynd/A 62844-2023 artfynd.xlsx", "A 62844-2023")</f>
        <v/>
      </c>
      <c r="X80">
        <f>HYPERLINK("https://klasma.github.io/Logging_0680/kartor/A 62844-2023 karta.png", "A 62844-2023")</f>
        <v/>
      </c>
      <c r="Y80">
        <f>HYPERLINK("https://klasma.github.io/Logging_0680/kartor_geotiff/A 62844-2023 georefererad karta.tif", "A 62844-2023")</f>
        <v/>
      </c>
      <c r="AA80">
        <f>HYPERLINK("https://klasma.github.io/Logging_0680/klagomål/A 62844-2023 FSC-klagomål.docx", "A 62844-2023")</f>
        <v/>
      </c>
      <c r="AB80">
        <f>HYPERLINK("https://klasma.github.io/Logging_0680/klagomålsmail/A 62844-2023 FSC-klagomål mail.docx", "A 62844-2023")</f>
        <v/>
      </c>
      <c r="AC80">
        <f>HYPERLINK("https://klasma.github.io/Logging_0680/tillsyn/A 62844-2023 tillsynsbegäran.docx", "A 62844-2023")</f>
        <v/>
      </c>
      <c r="AD80">
        <f>HYPERLINK("https://klasma.github.io/Logging_0680/tillsynsmail/A 62844-2023 tillsynsbegäran mail.docx", "A 62844-2023")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46250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46250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46250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Mörk husmossa</t>
        </is>
      </c>
      <c r="W83">
        <f>HYPERLINK("https://klasma.github.io/Logging_0680/artfynd/A 45366-2022 artfynd.xlsx", "A 45366-2022")</f>
        <v/>
      </c>
      <c r="X83">
        <f>HYPERLINK("https://klasma.github.io/Logging_0680/kartor/A 45366-2022 karta.png", "A 45366-2022")</f>
        <v/>
      </c>
      <c r="Y83">
        <f>HYPERLINK("https://klasma.github.io/Logging_0680/kartor_geotiff/A 45366-2022 georefererad karta.tif", "A 45366-2022")</f>
        <v/>
      </c>
      <c r="AA83">
        <f>HYPERLINK("https://klasma.github.io/Logging_0680/klagomål/A 45366-2022 FSC-klagomål.docx", "A 45366-2022")</f>
        <v/>
      </c>
      <c r="AB83">
        <f>HYPERLINK("https://klasma.github.io/Logging_0680/klagomålsmail/A 45366-2022 FSC-klagomål mail.docx", "A 45366-2022")</f>
        <v/>
      </c>
      <c r="AC83">
        <f>HYPERLINK("https://klasma.github.io/Logging_0680/tillsyn/A 45366-2022 tillsynsbegäran.docx", "A 45366-2022")</f>
        <v/>
      </c>
      <c r="AD83">
        <f>HYPERLINK("https://klasma.github.io/Logging_0680/tillsynsmail/A 45366-2022 tillsynsbegäran mail.docx", "A 45366-2022")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46250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46250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46250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71504-2021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44540</v>
      </c>
      <c r="E87" s="1" t="n">
        <v>46250</v>
      </c>
      <c r="F87" t="inlineStr">
        <is>
          <t>JÖNKÖPINGS LÄN</t>
        </is>
      </c>
      <c r="G87" t="inlineStr">
        <is>
          <t>JÖNKÖPING</t>
        </is>
      </c>
      <c r="I87" t="n">
        <v>6.9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HYPERLINK("https://klasma.github.io/Logging_0680/artfynd/A 71504-2021 artfynd.xlsx", "A 71504-2021")</f>
        <v/>
      </c>
      <c r="X87">
        <f>HYPERLINK("https://klasma.github.io/Logging_0680/kartor/A 71504-2021 karta.png", "A 71504-2021")</f>
        <v/>
      </c>
      <c r="Y87">
        <f>HYPERLINK("https://klasma.github.io/Logging_0680/kartor_geotiff/A 71504-2021 georefererad karta.tif", "A 71504-2021")</f>
        <v/>
      </c>
      <c r="AA87">
        <f>HYPERLINK("https://klasma.github.io/Logging_0680/klagomål/A 71504-2021 FSC-klagomål.docx", "A 71504-2021")</f>
        <v/>
      </c>
      <c r="AB87">
        <f>HYPERLINK("https://klasma.github.io/Logging_0680/klagomålsmail/A 71504-2021 FSC-klagomål mail.docx", "A 71504-2021")</f>
        <v/>
      </c>
      <c r="AC87">
        <f>HYPERLINK("https://klasma.github.io/Logging_0680/tillsyn/A 71504-2021 tillsynsbegäran.docx", "A 71504-2021")</f>
        <v/>
      </c>
      <c r="AD87">
        <f>HYPERLINK("https://klasma.github.io/Logging_0680/tillsynsmail/A 71504-2021 tillsynsbegäran mail.docx", "A 71504-2021")</f>
        <v/>
      </c>
    </row>
    <row r="88" ht="15" customHeight="1">
      <c r="A88" t="inlineStr">
        <is>
          <t>A 53601-2022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46250</v>
      </c>
      <c r="F88" t="inlineStr">
        <is>
          <t>JÖNKÖPINGS LÄN</t>
        </is>
      </c>
      <c r="G88" t="inlineStr">
        <is>
          <t>JÖNKÖPING</t>
        </is>
      </c>
      <c r="I88" t="n">
        <v>3.8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HYPERLINK("https://klasma.github.io/Logging_0680/artfynd/A 53601-2022 artfynd.xlsx", "A 53601-2022")</f>
        <v/>
      </c>
      <c r="X88">
        <f>HYPERLINK("https://klasma.github.io/Logging_0680/kartor/A 53601-2022 karta.png", "A 53601-2022")</f>
        <v/>
      </c>
      <c r="Y88">
        <f>HYPERLINK("https://klasma.github.io/Logging_0680/kartor_geotiff/A 53601-2022 georefererad karta.tif", "A 53601-2022")</f>
        <v/>
      </c>
      <c r="Z88">
        <f>HYPERLINK("https://klasma.github.io/Logging_0680/knärot/A 53601-2022 karta knärot.png", "A 53601-2022")</f>
        <v/>
      </c>
      <c r="AA88">
        <f>HYPERLINK("https://klasma.github.io/Logging_0680/klagomål/A 53601-2022 FSC-klagomål.docx", "A 53601-2022")</f>
        <v/>
      </c>
      <c r="AB88">
        <f>HYPERLINK("https://klasma.github.io/Logging_0680/klagomålsmail/A 53601-2022 FSC-klagomål mail.docx", "A 53601-2022")</f>
        <v/>
      </c>
      <c r="AC88">
        <f>HYPERLINK("https://klasma.github.io/Logging_0680/tillsyn/A 53601-2022 tillsynsbegäran.docx", "A 53601-2022")</f>
        <v/>
      </c>
      <c r="AD88">
        <f>HYPERLINK("https://klasma.github.io/Logging_0680/tillsynsmail/A 53601-2022 tillsynsbegäran mail.docx", "A 53601-2022")</f>
        <v/>
      </c>
    </row>
    <row r="89" ht="15" customHeight="1">
      <c r="A89" t="inlineStr">
        <is>
          <t>A 15516-2026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46250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32.6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Revlummer</t>
        </is>
      </c>
      <c r="W89">
        <f>HYPERLINK("https://klasma.github.io/Logging_0680/artfynd/A 15516-2026 artfynd.xlsx", "A 15516-2026")</f>
        <v/>
      </c>
      <c r="X89">
        <f>HYPERLINK("https://klasma.github.io/Logging_0680/kartor/A 15516-2026 karta.png", "A 15516-2026")</f>
        <v/>
      </c>
      <c r="Y89">
        <f>HYPERLINK("https://klasma.github.io/Logging_0680/kartor_geotiff/A 15516-2026 georefererad karta.tif", "A 15516-2026")</f>
        <v/>
      </c>
      <c r="AA89">
        <f>HYPERLINK("https://klasma.github.io/Logging_0680/klagomål/A 15516-2026 FSC-klagomål.docx", "A 15516-2026")</f>
        <v/>
      </c>
      <c r="AB89">
        <f>HYPERLINK("https://klasma.github.io/Logging_0680/klagomålsmail/A 15516-2026 FSC-klagomål mail.docx", "A 15516-2026")</f>
        <v/>
      </c>
      <c r="AC89">
        <f>HYPERLINK("https://klasma.github.io/Logging_0680/tillsyn/A 15516-2026 tillsynsbegäran.docx", "A 15516-2026")</f>
        <v/>
      </c>
      <c r="AD89">
        <f>HYPERLINK("https://klasma.github.io/Logging_0680/tillsynsmail/A 15516-2026 tillsynsbegäran mail.docx", "A 15516-2026")</f>
        <v/>
      </c>
    </row>
    <row r="90" ht="15" customHeight="1">
      <c r="A90" t="inlineStr">
        <is>
          <t>A 47040-2023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46250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HYPERLINK("https://klasma.github.io/Logging_0680/artfynd/A 47040-2023 artfynd.xlsx", "A 47040-2023")</f>
        <v/>
      </c>
      <c r="X90">
        <f>HYPERLINK("https://klasma.github.io/Logging_0680/kartor/A 47040-2023 karta.png", "A 47040-2023")</f>
        <v/>
      </c>
      <c r="Y90">
        <f>HYPERLINK("https://klasma.github.io/Logging_0680/kartor_geotiff/A 47040-2023 georefererad karta.tif", "A 47040-2023")</f>
        <v/>
      </c>
      <c r="AA90">
        <f>HYPERLINK("https://klasma.github.io/Logging_0680/klagomål/A 47040-2023 FSC-klagomål.docx", "A 47040-2023")</f>
        <v/>
      </c>
      <c r="AB90">
        <f>HYPERLINK("https://klasma.github.io/Logging_0680/klagomålsmail/A 47040-2023 FSC-klagomål mail.docx", "A 47040-2023")</f>
        <v/>
      </c>
      <c r="AC90">
        <f>HYPERLINK("https://klasma.github.io/Logging_0680/tillsyn/A 47040-2023 tillsynsbegäran.docx", "A 47040-2023")</f>
        <v/>
      </c>
      <c r="AD90">
        <f>HYPERLINK("https://klasma.github.io/Logging_0680/tillsynsmail/A 47040-2023 tillsynsbegäran mail.docx", "A 47040-2023")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46250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46250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43624-2023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46250</v>
      </c>
      <c r="F93" t="inlineStr">
        <is>
          <t>JÖNKÖPINGS LÄN</t>
        </is>
      </c>
      <c r="G93" t="inlineStr">
        <is>
          <t>JÖNKÖPING</t>
        </is>
      </c>
      <c r="I93" t="n">
        <v>4.1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Gullpudra</t>
        </is>
      </c>
      <c r="W93">
        <f>HYPERLINK("https://klasma.github.io/Logging_0680/artfynd/A 43624-2023 artfynd.xlsx", "A 43624-2023")</f>
        <v/>
      </c>
      <c r="X93">
        <f>HYPERLINK("https://klasma.github.io/Logging_0680/kartor/A 43624-2023 karta.png", "A 43624-2023")</f>
        <v/>
      </c>
      <c r="Y93">
        <f>HYPERLINK("https://klasma.github.io/Logging_0680/kartor_geotiff/A 43624-2023 georefererad karta.tif", "A 43624-2023")</f>
        <v/>
      </c>
      <c r="AA93">
        <f>HYPERLINK("https://klasma.github.io/Logging_0680/klagomål/A 43624-2023 FSC-klagomål.docx", "A 43624-2023")</f>
        <v/>
      </c>
      <c r="AB93">
        <f>HYPERLINK("https://klasma.github.io/Logging_0680/klagomålsmail/A 43624-2023 FSC-klagomål mail.docx", "A 43624-2023")</f>
        <v/>
      </c>
      <c r="AC93">
        <f>HYPERLINK("https://klasma.github.io/Logging_0680/tillsyn/A 43624-2023 tillsynsbegäran.docx", "A 43624-2023")</f>
        <v/>
      </c>
      <c r="AD93">
        <f>HYPERLINK("https://klasma.github.io/Logging_0680/tillsynsmail/A 43624-2023 tillsynsbegäran mail.docx", "A 43624-2023")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46250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63550-2025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46250</v>
      </c>
      <c r="F95" t="inlineStr">
        <is>
          <t>JÖNKÖPINGS LÄN</t>
        </is>
      </c>
      <c r="G95" t="inlineStr">
        <is>
          <t>JÖNKÖPING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HYPERLINK("https://klasma.github.io/Logging_0680/artfynd/A 63550-2025 artfynd.xlsx", "A 63550-2025")</f>
        <v/>
      </c>
      <c r="X95">
        <f>HYPERLINK("https://klasma.github.io/Logging_0680/kartor/A 63550-2025 karta.png", "A 63550-2025")</f>
        <v/>
      </c>
      <c r="Y95">
        <f>HYPERLINK("https://klasma.github.io/Logging_0680/kartor_geotiff/A 63550-2025 georefererad karta.tif", "A 63550-2025")</f>
        <v/>
      </c>
      <c r="AA95">
        <f>HYPERLINK("https://klasma.github.io/Logging_0680/klagomål/A 63550-2025 FSC-klagomål.docx", "A 63550-2025")</f>
        <v/>
      </c>
      <c r="AB95">
        <f>HYPERLINK("https://klasma.github.io/Logging_0680/klagomålsmail/A 63550-2025 FSC-klagomål mail.docx", "A 63550-2025")</f>
        <v/>
      </c>
      <c r="AC95">
        <f>HYPERLINK("https://klasma.github.io/Logging_0680/tillsyn/A 63550-2025 tillsynsbegäran.docx", "A 63550-2025")</f>
        <v/>
      </c>
      <c r="AD95">
        <f>HYPERLINK("https://klasma.github.io/Logging_0680/tillsynsmail/A 63550-2025 tillsynsbegäran mail.docx", "A 63550-2025")</f>
        <v/>
      </c>
    </row>
    <row r="96" ht="15" customHeight="1">
      <c r="A96" t="inlineStr">
        <is>
          <t>A 5898-2023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46250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Utter</t>
        </is>
      </c>
      <c r="W96">
        <f>HYPERLINK("https://klasma.github.io/Logging_0680/artfynd/A 5898-2023 artfynd.xlsx", "A 5898-2023")</f>
        <v/>
      </c>
      <c r="X96">
        <f>HYPERLINK("https://klasma.github.io/Logging_0680/kartor/A 5898-2023 karta.png", "A 5898-2023")</f>
        <v/>
      </c>
      <c r="Y96">
        <f>HYPERLINK("https://klasma.github.io/Logging_0680/kartor_geotiff/A 5898-2023 georefererad karta.tif", "A 5898-2023")</f>
        <v/>
      </c>
      <c r="AA96">
        <f>HYPERLINK("https://klasma.github.io/Logging_0680/klagomål/A 5898-2023 FSC-klagomål.docx", "A 5898-2023")</f>
        <v/>
      </c>
      <c r="AB96">
        <f>HYPERLINK("https://klasma.github.io/Logging_0680/klagomålsmail/A 5898-2023 FSC-klagomål mail.docx", "A 5898-2023")</f>
        <v/>
      </c>
      <c r="AC96">
        <f>HYPERLINK("https://klasma.github.io/Logging_0680/tillsyn/A 5898-2023 tillsynsbegäran.docx", "A 5898-2023")</f>
        <v/>
      </c>
      <c r="AD96">
        <f>HYPERLINK("https://klasma.github.io/Logging_0680/tillsynsmail/A 5898-2023 tillsynsbegäran mail.docx", "A 5898-2023")</f>
        <v/>
      </c>
    </row>
    <row r="97" ht="15" customHeight="1">
      <c r="A97" t="inlineStr">
        <is>
          <t>A 11260-2023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46250</v>
      </c>
      <c r="F97" t="inlineStr">
        <is>
          <t>JÖNKÖPINGS LÄN</t>
        </is>
      </c>
      <c r="G97" t="inlineStr">
        <is>
          <t>JÖNKÖPING</t>
        </is>
      </c>
      <c r="I97" t="n">
        <v>2.4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HYPERLINK("https://klasma.github.io/Logging_0680/artfynd/A 11260-2023 artfynd.xlsx", "A 11260-2023")</f>
        <v/>
      </c>
      <c r="X97">
        <f>HYPERLINK("https://klasma.github.io/Logging_0680/kartor/A 11260-2023 karta.png", "A 11260-2023")</f>
        <v/>
      </c>
      <c r="Y97">
        <f>HYPERLINK("https://klasma.github.io/Logging_0680/kartor_geotiff/A 11260-2023 georefererad karta.tif", "A 11260-2023")</f>
        <v/>
      </c>
      <c r="Z97">
        <f>HYPERLINK("https://klasma.github.io/Logging_0680/knärot/A 11260-2023 karta knärot.png", "A 11260-2023")</f>
        <v/>
      </c>
      <c r="AA97">
        <f>HYPERLINK("https://klasma.github.io/Logging_0680/klagomål/A 11260-2023 FSC-klagomål.docx", "A 11260-2023")</f>
        <v/>
      </c>
      <c r="AB97">
        <f>HYPERLINK("https://klasma.github.io/Logging_0680/klagomålsmail/A 11260-2023 FSC-klagomål mail.docx", "A 11260-2023")</f>
        <v/>
      </c>
      <c r="AC97">
        <f>HYPERLINK("https://klasma.github.io/Logging_0680/tillsyn/A 11260-2023 tillsynsbegäran.docx", "A 11260-2023")</f>
        <v/>
      </c>
      <c r="AD97">
        <f>HYPERLINK("https://klasma.github.io/Logging_0680/tillsynsmail/A 11260-2023 tillsynsbegäran mail.docx", "A 11260-2023")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46250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46250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HYPERLINK("https://klasma.github.io/Logging_0680/artfynd/A 48114-2023 artfynd.xlsx", "A 48114-2023")</f>
        <v/>
      </c>
      <c r="X99">
        <f>HYPERLINK("https://klasma.github.io/Logging_0680/kartor/A 48114-2023 karta.png", "A 48114-2023")</f>
        <v/>
      </c>
      <c r="Y99">
        <f>HYPERLINK("https://klasma.github.io/Logging_0680/kartor_geotiff/A 48114-2023 georefererad karta.tif", "A 48114-2023")</f>
        <v/>
      </c>
      <c r="AA99">
        <f>HYPERLINK("https://klasma.github.io/Logging_0680/klagomål/A 48114-2023 FSC-klagomål.docx", "A 48114-2023")</f>
        <v/>
      </c>
      <c r="AB99">
        <f>HYPERLINK("https://klasma.github.io/Logging_0680/klagomålsmail/A 48114-2023 FSC-klagomål mail.docx", "A 48114-2023")</f>
        <v/>
      </c>
      <c r="AC99">
        <f>HYPERLINK("https://klasma.github.io/Logging_0680/tillsyn/A 48114-2023 tillsynsbegäran.docx", "A 48114-2023")</f>
        <v/>
      </c>
      <c r="AD99">
        <f>HYPERLINK("https://klasma.github.io/Logging_0680/tillsynsmail/A 48114-2023 tillsynsbegäran mail.docx", "A 48114-2023")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46250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46250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46250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43538-2021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44433</v>
      </c>
      <c r="E103" s="1" t="n">
        <v>46250</v>
      </c>
      <c r="F103" t="inlineStr">
        <is>
          <t>JÖNKÖPINGS LÄN</t>
        </is>
      </c>
      <c r="G103" t="inlineStr">
        <is>
          <t>JÖNKÖPING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HYPERLINK("https://klasma.github.io/Logging_0680/artfynd/A 43538-2021 artfynd.xlsx", "A 43538-2021")</f>
        <v/>
      </c>
      <c r="X103">
        <f>HYPERLINK("https://klasma.github.io/Logging_0680/kartor/A 43538-2021 karta.png", "A 43538-2021")</f>
        <v/>
      </c>
      <c r="Y103">
        <f>HYPERLINK("https://klasma.github.io/Logging_0680/kartor_geotiff/A 43538-2021 georefererad karta.tif", "A 43538-2021")</f>
        <v/>
      </c>
      <c r="AA103">
        <f>HYPERLINK("https://klasma.github.io/Logging_0680/klagomål/A 43538-2021 FSC-klagomål.docx", "A 43538-2021")</f>
        <v/>
      </c>
      <c r="AB103">
        <f>HYPERLINK("https://klasma.github.io/Logging_0680/klagomålsmail/A 43538-2021 FSC-klagomål mail.docx", "A 43538-2021")</f>
        <v/>
      </c>
      <c r="AC103">
        <f>HYPERLINK("https://klasma.github.io/Logging_0680/tillsyn/A 43538-2021 tillsynsbegäran.docx", "A 43538-2021")</f>
        <v/>
      </c>
      <c r="AD103">
        <f>HYPERLINK("https://klasma.github.io/Logging_0680/tillsynsmail/A 43538-2021 tillsynsbegäran mail.docx", "A 43538-2021")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46250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54424-2024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46250</v>
      </c>
      <c r="F105" t="inlineStr">
        <is>
          <t>JÖNKÖPINGS LÄN</t>
        </is>
      </c>
      <c r="G105" t="inlineStr">
        <is>
          <t>JÖNKÖPING</t>
        </is>
      </c>
      <c r="I105" t="n">
        <v>6.2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HYPERLINK("https://klasma.github.io/Logging_0680/artfynd/A 54424-2024 artfynd.xlsx", "A 54424-2024")</f>
        <v/>
      </c>
      <c r="X105">
        <f>HYPERLINK("https://klasma.github.io/Logging_0680/kartor/A 54424-2024 karta.png", "A 54424-2024")</f>
        <v/>
      </c>
      <c r="Y105">
        <f>HYPERLINK("https://klasma.github.io/Logging_0680/kartor_geotiff/A 54424-2024 georefererad karta.tif", "A 54424-2024")</f>
        <v/>
      </c>
      <c r="AA105">
        <f>HYPERLINK("https://klasma.github.io/Logging_0680/klagomål/A 54424-2024 FSC-klagomål.docx", "A 54424-2024")</f>
        <v/>
      </c>
      <c r="AB105">
        <f>HYPERLINK("https://klasma.github.io/Logging_0680/klagomålsmail/A 54424-2024 FSC-klagomål mail.docx", "A 54424-2024")</f>
        <v/>
      </c>
      <c r="AC105">
        <f>HYPERLINK("https://klasma.github.io/Logging_0680/tillsyn/A 54424-2024 tillsynsbegäran.docx", "A 54424-2024")</f>
        <v/>
      </c>
      <c r="AD105">
        <f>HYPERLINK("https://klasma.github.io/Logging_0680/tillsynsmail/A 54424-2024 tillsynsbegäran mail.docx", "A 54424-2024")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46250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58346-2022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46250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Övriga statliga verk och myndigheter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Gyllensopp</t>
        </is>
      </c>
      <c r="W107">
        <f>HYPERLINK("https://klasma.github.io/Logging_0680/artfynd/A 58346-2022 artfynd.xlsx", "A 58346-2022")</f>
        <v/>
      </c>
      <c r="X107">
        <f>HYPERLINK("https://klasma.github.io/Logging_0680/kartor/A 58346-2022 karta.png", "A 58346-2022")</f>
        <v/>
      </c>
      <c r="Y107">
        <f>HYPERLINK("https://klasma.github.io/Logging_0680/kartor_geotiff/A 58346-2022 georefererad karta.tif", "A 58346-2022")</f>
        <v/>
      </c>
      <c r="AA107">
        <f>HYPERLINK("https://klasma.github.io/Logging_0680/klagomål/A 58346-2022 FSC-klagomål.docx", "A 58346-2022")</f>
        <v/>
      </c>
      <c r="AB107">
        <f>HYPERLINK("https://klasma.github.io/Logging_0680/klagomålsmail/A 58346-2022 FSC-klagomål mail.docx", "A 58346-2022")</f>
        <v/>
      </c>
      <c r="AC107">
        <f>HYPERLINK("https://klasma.github.io/Logging_0680/tillsyn/A 58346-2022 tillsynsbegäran.docx", "A 58346-2022")</f>
        <v/>
      </c>
      <c r="AD107">
        <f>HYPERLINK("https://klasma.github.io/Logging_0680/tillsynsmail/A 58346-2022 tillsynsbegäran mail.docx", "A 58346-2022")</f>
        <v/>
      </c>
    </row>
    <row r="108" ht="15" customHeight="1">
      <c r="A108" t="inlineStr">
        <is>
          <t>A 23234-2026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46250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Klasefibbla</t>
        </is>
      </c>
      <c r="W108">
        <f>HYPERLINK("https://klasma.github.io/Logging_0680/artfynd/A 23234-2026 artfynd.xlsx", "A 23234-2026")</f>
        <v/>
      </c>
      <c r="X108">
        <f>HYPERLINK("https://klasma.github.io/Logging_0680/kartor/A 23234-2026 karta.png", "A 23234-2026")</f>
        <v/>
      </c>
      <c r="Y108">
        <f>HYPERLINK("https://klasma.github.io/Logging_0680/kartor_geotiff/A 23234-2026 georefererad karta.tif", "A 23234-2026")</f>
        <v/>
      </c>
      <c r="AA108">
        <f>HYPERLINK("https://klasma.github.io/Logging_0680/klagomål/A 23234-2026 FSC-klagomål.docx", "A 23234-2026")</f>
        <v/>
      </c>
      <c r="AB108">
        <f>HYPERLINK("https://klasma.github.io/Logging_0680/klagomålsmail/A 23234-2026 FSC-klagomål mail.docx", "A 23234-2026")</f>
        <v/>
      </c>
      <c r="AC108">
        <f>HYPERLINK("https://klasma.github.io/Logging_0680/tillsyn/A 23234-2026 tillsynsbegäran.docx", "A 23234-2026")</f>
        <v/>
      </c>
      <c r="AD108">
        <f>HYPERLINK("https://klasma.github.io/Logging_0680/tillsynsmail/A 23234-2026 tillsynsbegäran mail.docx", "A 23234-2026")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46250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30868-2026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46250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Grönvit nattviol</t>
        </is>
      </c>
      <c r="W110">
        <f>HYPERLINK("https://klasma.github.io/Logging_0680/artfynd/A 30868-2026 artfynd.xlsx", "A 30868-2026")</f>
        <v/>
      </c>
      <c r="X110">
        <f>HYPERLINK("https://klasma.github.io/Logging_0680/kartor/A 30868-2026 karta.png", "A 30868-2026")</f>
        <v/>
      </c>
      <c r="Y110">
        <f>HYPERLINK("https://klasma.github.io/Logging_0680/kartor_geotiff/A 30868-2026 georefererad karta.tif", "A 30868-2026")</f>
        <v/>
      </c>
      <c r="AA110">
        <f>HYPERLINK("https://klasma.github.io/Logging_0680/klagomål/A 30868-2026 FSC-klagomål.docx", "A 30868-2026")</f>
        <v/>
      </c>
      <c r="AB110">
        <f>HYPERLINK("https://klasma.github.io/Logging_0680/klagomålsmail/A 30868-2026 FSC-klagomål mail.docx", "A 30868-2026")</f>
        <v/>
      </c>
      <c r="AC110">
        <f>HYPERLINK("https://klasma.github.io/Logging_0680/tillsyn/A 30868-2026 tillsynsbegäran.docx", "A 30868-2026")</f>
        <v/>
      </c>
      <c r="AD110">
        <f>HYPERLINK("https://klasma.github.io/Logging_0680/tillsynsmail/A 30868-2026 tillsynsbegäran mail.docx", "A 30868-2026")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46250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Spindelblomster</t>
        </is>
      </c>
      <c r="W111">
        <f>HYPERLINK("https://klasma.github.io/Logging_0680/artfynd/A 30718-2026 artfynd.xlsx", "A 30718-2026")</f>
        <v/>
      </c>
      <c r="X111">
        <f>HYPERLINK("https://klasma.github.io/Logging_0680/kartor/A 30718-2026 karta.png", "A 30718-2026")</f>
        <v/>
      </c>
      <c r="Y111">
        <f>HYPERLINK("https://klasma.github.io/Logging_0680/kartor_geotiff/A 30718-2026 georefererad karta.tif", "A 30718-2026")</f>
        <v/>
      </c>
      <c r="AA111">
        <f>HYPERLINK("https://klasma.github.io/Logging_0680/klagomål/A 30718-2026 FSC-klagomål.docx", "A 30718-2026")</f>
        <v/>
      </c>
      <c r="AB111">
        <f>HYPERLINK("https://klasma.github.io/Logging_0680/klagomålsmail/A 30718-2026 FSC-klagomål mail.docx", "A 30718-2026")</f>
        <v/>
      </c>
      <c r="AC111">
        <f>HYPERLINK("https://klasma.github.io/Logging_0680/tillsyn/A 30718-2026 tillsynsbegäran.docx", "A 30718-2026")</f>
        <v/>
      </c>
      <c r="AD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42038-2023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46250</v>
      </c>
      <c r="F112" t="inlineStr">
        <is>
          <t>JÖNKÖPINGS LÄN</t>
        </is>
      </c>
      <c r="G112" t="inlineStr">
        <is>
          <t>JÖNKÖPING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Ask</t>
        </is>
      </c>
      <c r="W112">
        <f>HYPERLINK("https://klasma.github.io/Logging_0680/artfynd/A 42038-2023 artfynd.xlsx", "A 42038-2023")</f>
        <v/>
      </c>
      <c r="X112">
        <f>HYPERLINK("https://klasma.github.io/Logging_0680/kartor/A 42038-2023 karta.png", "A 42038-2023")</f>
        <v/>
      </c>
      <c r="Y112">
        <f>HYPERLINK("https://klasma.github.io/Logging_0680/kartor_geotiff/A 42038-2023 georefererad karta.tif", "A 42038-2023")</f>
        <v/>
      </c>
      <c r="AA112">
        <f>HYPERLINK("https://klasma.github.io/Logging_0680/klagomål/A 42038-2023 FSC-klagomål.docx", "A 42038-2023")</f>
        <v/>
      </c>
      <c r="AB112">
        <f>HYPERLINK("https://klasma.github.io/Logging_0680/klagomålsmail/A 42038-2023 FSC-klagomål mail.docx", "A 42038-2023")</f>
        <v/>
      </c>
      <c r="AC112">
        <f>HYPERLINK("https://klasma.github.io/Logging_0680/tillsyn/A 42038-2023 tillsynsbegäran.docx", "A 42038-2023")</f>
        <v/>
      </c>
      <c r="AD112">
        <f>HYPERLINK("https://klasma.github.io/Logging_0680/tillsynsmail/A 42038-2023 tillsynsbegäran mail.docx", "A 42038-2023")</f>
        <v/>
      </c>
    </row>
    <row r="113" ht="15" customHeight="1">
      <c r="A113" t="inlineStr">
        <is>
          <t>A 50190-2024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45600</v>
      </c>
      <c r="E113" s="1" t="n">
        <v>46250</v>
      </c>
      <c r="F113" t="inlineStr">
        <is>
          <t>JÖNKÖPINGS LÄN</t>
        </is>
      </c>
      <c r="G113" t="inlineStr">
        <is>
          <t>JÖNKÖPING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HYPERLINK("https://klasma.github.io/Logging_0680/artfynd/A 50190-2024 artfynd.xlsx", "A 50190-2024")</f>
        <v/>
      </c>
      <c r="X113">
        <f>HYPERLINK("https://klasma.github.io/Logging_0680/kartor/A 50190-2024 karta.png", "A 50190-2024")</f>
        <v/>
      </c>
      <c r="Y113">
        <f>HYPERLINK("https://klasma.github.io/Logging_0680/kartor_geotiff/A 50190-2024 georefererad karta.tif", "A 50190-2024")</f>
        <v/>
      </c>
      <c r="AA113">
        <f>HYPERLINK("https://klasma.github.io/Logging_0680/klagomål/A 50190-2024 FSC-klagomål.docx", "A 50190-2024")</f>
        <v/>
      </c>
      <c r="AB113">
        <f>HYPERLINK("https://klasma.github.io/Logging_0680/klagomålsmail/A 50190-2024 FSC-klagomål mail.docx", "A 50190-2024")</f>
        <v/>
      </c>
      <c r="AC113">
        <f>HYPERLINK("https://klasma.github.io/Logging_0680/tillsyn/A 50190-2024 tillsynsbegäran.docx", "A 50190-2024")</f>
        <v/>
      </c>
      <c r="AD113">
        <f>HYPERLINK("https://klasma.github.io/Logging_0680/tillsynsmail/A 50190-2024 tillsynsbegäran mail.docx", "A 50190-2024")</f>
        <v/>
      </c>
    </row>
    <row r="114" ht="15" customHeight="1">
      <c r="A114" t="inlineStr">
        <is>
          <t>A 48371-2023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45205</v>
      </c>
      <c r="E114" s="1" t="n">
        <v>46250</v>
      </c>
      <c r="F114" t="inlineStr">
        <is>
          <t>JÖNKÖPINGS LÄN</t>
        </is>
      </c>
      <c r="G114" t="inlineStr">
        <is>
          <t>JÖNKÖPING</t>
        </is>
      </c>
      <c r="I114" t="n">
        <v>4.9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HYPERLINK("https://klasma.github.io/Logging_0680/artfynd/A 48371-2023 artfynd.xlsx", "A 48371-2023")</f>
        <v/>
      </c>
      <c r="X114">
        <f>HYPERLINK("https://klasma.github.io/Logging_0680/kartor/A 48371-2023 karta.png", "A 48371-2023")</f>
        <v/>
      </c>
      <c r="Y114">
        <f>HYPERLINK("https://klasma.github.io/Logging_0680/kartor_geotiff/A 48371-2023 georefererad karta.tif", "A 48371-2023")</f>
        <v/>
      </c>
      <c r="AA114">
        <f>HYPERLINK("https://klasma.github.io/Logging_0680/klagomål/A 48371-2023 FSC-klagomål.docx", "A 48371-2023")</f>
        <v/>
      </c>
      <c r="AB114">
        <f>HYPERLINK("https://klasma.github.io/Logging_0680/klagomålsmail/A 48371-2023 FSC-klagomål mail.docx", "A 48371-2023")</f>
        <v/>
      </c>
      <c r="AC114">
        <f>HYPERLINK("https://klasma.github.io/Logging_0680/tillsyn/A 48371-2023 tillsynsbegäran.docx", "A 48371-2023")</f>
        <v/>
      </c>
      <c r="AD114">
        <f>HYPERLINK("https://klasma.github.io/Logging_0680/tillsynsmail/A 48371-2023 tillsynsbegäran mail.docx", "A 48371-2023")</f>
        <v/>
      </c>
    </row>
    <row r="115" ht="15" customHeight="1">
      <c r="A115" t="inlineStr">
        <is>
          <t>A 14221-2025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46250</v>
      </c>
      <c r="F115" t="inlineStr">
        <is>
          <t>JÖNKÖPINGS LÄN</t>
        </is>
      </c>
      <c r="G115" t="inlineStr">
        <is>
          <t>JÖNKÖPING</t>
        </is>
      </c>
      <c r="I115" t="n">
        <v>8.699999999999999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1</v>
      </c>
      <c r="V115" s="2" t="inlineStr">
        <is>
          <t>Gaffelglim</t>
        </is>
      </c>
      <c r="W115">
        <f>HYPERLINK("https://klasma.github.io/Logging_0680/artfynd/A 14221-2025 artfynd.xlsx", "A 14221-2025")</f>
        <v/>
      </c>
      <c r="X115">
        <f>HYPERLINK("https://klasma.github.io/Logging_0680/kartor/A 14221-2025 karta.png", "A 14221-2025")</f>
        <v/>
      </c>
      <c r="Y115">
        <f>HYPERLINK("https://klasma.github.io/Logging_0680/kartor_geotiff/A 14221-2025 georefererad karta.tif", "A 14221-2025")</f>
        <v/>
      </c>
      <c r="AA115">
        <f>HYPERLINK("https://klasma.github.io/Logging_0680/klagomål/A 14221-2025 FSC-klagomål.docx", "A 14221-2025")</f>
        <v/>
      </c>
      <c r="AB115">
        <f>HYPERLINK("https://klasma.github.io/Logging_0680/klagomålsmail/A 14221-2025 FSC-klagomål mail.docx", "A 14221-2025")</f>
        <v/>
      </c>
      <c r="AC115">
        <f>HYPERLINK("https://klasma.github.io/Logging_0680/tillsyn/A 14221-2025 tillsynsbegäran.docx", "A 14221-2025")</f>
        <v/>
      </c>
      <c r="AD115">
        <f>HYPERLINK("https://klasma.github.io/Logging_0680/tillsynsmail/A 14221-2025 tillsynsbegäran mail.docx", "A 14221-2025")</f>
        <v/>
      </c>
    </row>
    <row r="116" ht="15" customHeight="1">
      <c r="A116" t="inlineStr">
        <is>
          <t>A 47492-2024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45587</v>
      </c>
      <c r="E116" s="1" t="n">
        <v>46250</v>
      </c>
      <c r="F116" t="inlineStr">
        <is>
          <t>JÖNKÖPINGS LÄN</t>
        </is>
      </c>
      <c r="G116" t="inlineStr">
        <is>
          <t>JÖNKÖPING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Ask</t>
        </is>
      </c>
      <c r="W116">
        <f>HYPERLINK("https://klasma.github.io/Logging_0680/artfynd/A 47492-2024 artfynd.xlsx", "A 47492-2024")</f>
        <v/>
      </c>
      <c r="X116">
        <f>HYPERLINK("https://klasma.github.io/Logging_0680/kartor/A 47492-2024 karta.png", "A 47492-2024")</f>
        <v/>
      </c>
      <c r="Y116">
        <f>HYPERLINK("https://klasma.github.io/Logging_0680/kartor_geotiff/A 47492-2024 georefererad karta.tif", "A 47492-2024")</f>
        <v/>
      </c>
      <c r="AA116">
        <f>HYPERLINK("https://klasma.github.io/Logging_0680/klagomål/A 47492-2024 FSC-klagomål.docx", "A 47492-2024")</f>
        <v/>
      </c>
      <c r="AB116">
        <f>HYPERLINK("https://klasma.github.io/Logging_0680/klagomålsmail/A 47492-2024 FSC-klagomål mail.docx", "A 47492-2024")</f>
        <v/>
      </c>
      <c r="AC116">
        <f>HYPERLINK("https://klasma.github.io/Logging_0680/tillsyn/A 47492-2024 tillsynsbegäran.docx", "A 47492-2024")</f>
        <v/>
      </c>
      <c r="AD116">
        <f>HYPERLINK("https://klasma.github.io/Logging_0680/tillsynsmail/A 47492-2024 tillsynsbegäran mail.docx", "A 47492-2024")</f>
        <v/>
      </c>
    </row>
    <row r="117" ht="15" customHeight="1">
      <c r="A117" t="inlineStr">
        <is>
          <t>A 33405-2025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46250</v>
      </c>
      <c r="F117" t="inlineStr">
        <is>
          <t>JÖNKÖPINGS LÄN</t>
        </is>
      </c>
      <c r="G117" t="inlineStr">
        <is>
          <t>JÖNKÖPING</t>
        </is>
      </c>
      <c r="I117" t="n">
        <v>3.9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Läkeögontröst</t>
        </is>
      </c>
      <c r="W117">
        <f>HYPERLINK("https://klasma.github.io/Logging_0680/artfynd/A 33405-2025 artfynd.xlsx", "A 33405-2025")</f>
        <v/>
      </c>
      <c r="X117">
        <f>HYPERLINK("https://klasma.github.io/Logging_0680/kartor/A 33405-2025 karta.png", "A 33405-2025")</f>
        <v/>
      </c>
      <c r="Y117">
        <f>HYPERLINK("https://klasma.github.io/Logging_0680/kartor_geotiff/A 33405-2025 georefererad karta.tif", "A 33405-2025")</f>
        <v/>
      </c>
      <c r="AA117">
        <f>HYPERLINK("https://klasma.github.io/Logging_0680/klagomål/A 33405-2025 FSC-klagomål.docx", "A 33405-2025")</f>
        <v/>
      </c>
      <c r="AB117">
        <f>HYPERLINK("https://klasma.github.io/Logging_0680/klagomålsmail/A 33405-2025 FSC-klagomål mail.docx", "A 33405-2025")</f>
        <v/>
      </c>
      <c r="AC117">
        <f>HYPERLINK("https://klasma.github.io/Logging_0680/tillsyn/A 33405-2025 tillsynsbegäran.docx", "A 33405-2025")</f>
        <v/>
      </c>
      <c r="AD117">
        <f>HYPERLINK("https://klasma.github.io/Logging_0680/tillsynsmail/A 33405-2025 tillsynsbegäran mail.docx", "A 33405-2025")</f>
        <v/>
      </c>
    </row>
    <row r="118" ht="15" customHeight="1">
      <c r="A118" t="inlineStr">
        <is>
          <t>A 54325-2024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46250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HYPERLINK("https://klasma.github.io/Logging_0680/artfynd/A 54325-2024 artfynd.xlsx", "A 54325-2024")</f>
        <v/>
      </c>
      <c r="X118">
        <f>HYPERLINK("https://klasma.github.io/Logging_0680/kartor/A 54325-2024 karta.png", "A 54325-2024")</f>
        <v/>
      </c>
      <c r="Y118">
        <f>HYPERLINK("https://klasma.github.io/Logging_0680/kartor_geotiff/A 54325-2024 georefererad karta.tif", "A 54325-2024")</f>
        <v/>
      </c>
      <c r="AA118">
        <f>HYPERLINK("https://klasma.github.io/Logging_0680/klagomål/A 54325-2024 FSC-klagomål.docx", "A 54325-2024")</f>
        <v/>
      </c>
      <c r="AB118">
        <f>HYPERLINK("https://klasma.github.io/Logging_0680/klagomålsmail/A 54325-2024 FSC-klagomål mail.docx", "A 54325-2024")</f>
        <v/>
      </c>
      <c r="AC118">
        <f>HYPERLINK("https://klasma.github.io/Logging_0680/tillsyn/A 54325-2024 tillsynsbegäran.docx", "A 54325-2024")</f>
        <v/>
      </c>
      <c r="AD118">
        <f>HYPERLINK("https://klasma.github.io/Logging_0680/tillsynsmail/A 54325-2024 tillsynsbegäran mail.docx", "A 54325-2024")</f>
        <v/>
      </c>
      <c r="AE118">
        <f>HYPERLINK("https://klasma.github.io/Logging_0680/fåglar/A 54325-2024 prioriterade fågelarter.docx", "A 54325-2024")</f>
        <v/>
      </c>
    </row>
    <row r="119" ht="15" customHeight="1">
      <c r="A119" t="inlineStr">
        <is>
          <t>A 34597-2025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46250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Kyrkan</t>
        </is>
      </c>
      <c r="I119" t="n">
        <v>7.3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34597-2025 artfynd.xlsx", "A 34597-2025")</f>
        <v/>
      </c>
      <c r="X119">
        <f>HYPERLINK("https://klasma.github.io/Logging_0680/kartor/A 34597-2025 karta.png", "A 34597-2025")</f>
        <v/>
      </c>
      <c r="Y119">
        <f>HYPERLINK("https://klasma.github.io/Logging_0680/kartor_geotiff/A 34597-2025 georefererad karta.tif", "A 34597-2025")</f>
        <v/>
      </c>
      <c r="Z119">
        <f>HYPERLINK("https://klasma.github.io/Logging_0680/knärot/A 34597-2025 karta knärot.png", "A 34597-2025")</f>
        <v/>
      </c>
      <c r="AA119">
        <f>HYPERLINK("https://klasma.github.io/Logging_0680/klagomål/A 34597-2025 FSC-klagomål.docx", "A 34597-2025")</f>
        <v/>
      </c>
      <c r="AB119">
        <f>HYPERLINK("https://klasma.github.io/Logging_0680/klagomålsmail/A 34597-2025 FSC-klagomål mail.docx", "A 34597-2025")</f>
        <v/>
      </c>
      <c r="AC119">
        <f>HYPERLINK("https://klasma.github.io/Logging_0680/tillsyn/A 34597-2025 tillsynsbegäran.docx", "A 34597-2025")</f>
        <v/>
      </c>
      <c r="AD119">
        <f>HYPERLINK("https://klasma.github.io/Logging_0680/tillsynsmail/A 34597-2025 tillsynsbegäran mail.docx", "A 34597-2025")</f>
        <v/>
      </c>
    </row>
    <row r="120" ht="15" customHeight="1">
      <c r="A120" t="inlineStr">
        <is>
          <t>A 29462-2026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46250</v>
      </c>
      <c r="F120" t="inlineStr">
        <is>
          <t>JÖNKÖPINGS LÄN</t>
        </is>
      </c>
      <c r="G120" t="inlineStr">
        <is>
          <t>JÖNKÖPING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HYPERLINK("https://klasma.github.io/Logging_0680/artfynd/A 29462-2026 artfynd.xlsx", "A 29462-2026")</f>
        <v/>
      </c>
      <c r="X120">
        <f>HYPERLINK("https://klasma.github.io/Logging_0680/kartor/A 29462-2026 karta.png", "A 29462-2026")</f>
        <v/>
      </c>
      <c r="Y120">
        <f>HYPERLINK("https://klasma.github.io/Logging_0680/kartor_geotiff/A 29462-2026 georefererad karta.tif", "A 29462-2026")</f>
        <v/>
      </c>
      <c r="Z120">
        <f>HYPERLINK("https://klasma.github.io/Logging_0680/knärot/A 29462-2026 karta knärot.png", "A 29462-2026")</f>
        <v/>
      </c>
      <c r="AA120">
        <f>HYPERLINK("https://klasma.github.io/Logging_0680/klagomål/A 29462-2026 FSC-klagomål.docx", "A 29462-2026")</f>
        <v/>
      </c>
      <c r="AB120">
        <f>HYPERLINK("https://klasma.github.io/Logging_0680/klagomålsmail/A 29462-2026 FSC-klagomål mail.docx", "A 29462-2026")</f>
        <v/>
      </c>
      <c r="AC120">
        <f>HYPERLINK("https://klasma.github.io/Logging_0680/tillsyn/A 29462-2026 tillsynsbegäran.docx", "A 29462-2026")</f>
        <v/>
      </c>
      <c r="AD120">
        <f>HYPERLINK("https://klasma.github.io/Logging_0680/tillsynsmail/A 29462-2026 tillsynsbegäran mail.docx", "A 29462-2026")</f>
        <v/>
      </c>
    </row>
    <row r="121" ht="15" customHeight="1">
      <c r="A121" t="inlineStr">
        <is>
          <t>S 2902-2022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44711</v>
      </c>
      <c r="E121" s="1" t="n">
        <v>46250</v>
      </c>
      <c r="F121" t="inlineStr">
        <is>
          <t>JÖNKÖPINGS LÄN</t>
        </is>
      </c>
      <c r="G121" t="inlineStr">
        <is>
          <t>JÖNKÖPING</t>
        </is>
      </c>
      <c r="I121" t="n">
        <v>38.4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HYPERLINK("https://klasma.github.io/Logging_0680/artfynd/S 2902-2022 artfynd.xlsx", "S 2902-2022")</f>
        <v/>
      </c>
      <c r="X121">
        <f>HYPERLINK("https://klasma.github.io/Logging_0680/kartor/S 2902-2022 karta.png", "S 2902-2022")</f>
        <v/>
      </c>
      <c r="Y121">
        <f>HYPERLINK("https://klasma.github.io/Logging_0680/kartor_geotiff/S 2902-2022 georefererad karta.tif", "S 2902-2022")</f>
        <v/>
      </c>
      <c r="AA121">
        <f>HYPERLINK("https://klasma.github.io/Logging_0680/klagomål/S 2902-2022 FSC-klagomål.docx", "S 2902-2022")</f>
        <v/>
      </c>
      <c r="AB121">
        <f>HYPERLINK("https://klasma.github.io/Logging_0680/klagomålsmail/S 2902-2022 FSC-klagomål mail.docx", "S 2902-2022")</f>
        <v/>
      </c>
      <c r="AC121">
        <f>HYPERLINK("https://klasma.github.io/Logging_0680/tillsyn/S 2902-2022 tillsynsbegäran.docx", "S 2902-2022")</f>
        <v/>
      </c>
      <c r="AD121">
        <f>HYPERLINK("https://klasma.github.io/Logging_0680/tillsynsmail/S 2902-2022 tillsynsbegäran mail.docx", "S 2902-2022")</f>
        <v/>
      </c>
    </row>
    <row r="122" ht="15" customHeight="1">
      <c r="A122" t="inlineStr">
        <is>
          <t>S 1317-2022</t>
        </is>
      </c>
      <c r="B122" t="inlineStr">
        <is>
          <t>samrådsanmälan</t>
        </is>
      </c>
      <c r="C122" t="inlineStr">
        <is>
          <t>Åtgärd i nyckelbiotop</t>
        </is>
      </c>
      <c r="D122" s="1" t="n">
        <v>44628</v>
      </c>
      <c r="E122" s="1" t="n">
        <v>46250</v>
      </c>
      <c r="F122" t="inlineStr">
        <is>
          <t>JÖNKÖPINGS LÄN</t>
        </is>
      </c>
      <c r="G122" t="inlineStr">
        <is>
          <t>JÖNKÖPING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Ask</t>
        </is>
      </c>
      <c r="W122">
        <f>HYPERLINK("https://klasma.github.io/Logging_0680/artfynd/S 1317-2022 artfynd.xlsx", "S 1317-2022")</f>
        <v/>
      </c>
      <c r="X122">
        <f>HYPERLINK("https://klasma.github.io/Logging_0680/kartor/S 1317-2022 karta.png", "S 1317-2022")</f>
        <v/>
      </c>
      <c r="Y122">
        <f>HYPERLINK("https://klasma.github.io/Logging_0680/kartor_geotiff/S 1317-2022 georefererad karta.tif", "S 1317-2022")</f>
        <v/>
      </c>
      <c r="AA122">
        <f>HYPERLINK("https://klasma.github.io/Logging_0680/klagomål/S 1317-2022 FSC-klagomål.docx", "S 1317-2022")</f>
        <v/>
      </c>
      <c r="AB122">
        <f>HYPERLINK("https://klasma.github.io/Logging_0680/klagomålsmail/S 1317-2022 FSC-klagomål mail.docx", "S 1317-2022")</f>
        <v/>
      </c>
      <c r="AC122">
        <f>HYPERLINK("https://klasma.github.io/Logging_0680/tillsyn/S 1317-2022 tillsynsbegäran.docx", "S 1317-2022")</f>
        <v/>
      </c>
      <c r="AD122">
        <f>HYPERLINK("https://klasma.github.io/Logging_0680/tillsynsmail/S 1317-2022 tillsynsbegäran mail.docx", "S 1317-2022")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46250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46250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46250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46250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46250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46250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46250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46250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46250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46250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46250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46250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46250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46250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46250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46250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46250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46250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46250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46250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46250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46250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46250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46250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46250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46250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46250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46250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46250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46250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46250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46250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46250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46250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46250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46250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46250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46250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46250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46250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46250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46250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46250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46250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46250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46250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46250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46250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46250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46250</v>
      </c>
      <c r="F173" t="inlineStr">
        <is>
          <t>JÖNKÖPINGS LÄN</t>
        </is>
      </c>
      <c r="G173" t="inlineStr">
        <is>
          <t>JÖNKÖPING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46250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42724-2021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46250</v>
      </c>
      <c r="F175" t="inlineStr">
        <is>
          <t>JÖNKÖPINGS LÄN</t>
        </is>
      </c>
      <c r="G175" t="inlineStr">
        <is>
          <t>JÖNKÖPING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46250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46250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46250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46250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46250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46250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46250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46250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46250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46250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46250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46250</v>
      </c>
      <c r="F187" t="inlineStr">
        <is>
          <t>JÖNKÖPINGS LÄN</t>
        </is>
      </c>
      <c r="G187" t="inlineStr">
        <is>
          <t>JÖNKÖPING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46250</v>
      </c>
      <c r="F188" t="inlineStr">
        <is>
          <t>JÖNKÖPINGS LÄN</t>
        </is>
      </c>
      <c r="G188" t="inlineStr">
        <is>
          <t>JÖNKÖPING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46250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46250</v>
      </c>
      <c r="F190" t="inlineStr">
        <is>
          <t>JÖNKÖPINGS LÄN</t>
        </is>
      </c>
      <c r="G190" t="inlineStr">
        <is>
          <t>JÖNKÖPING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46250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46250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46250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46250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46250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46250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46250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46250</v>
      </c>
      <c r="F198" t="inlineStr">
        <is>
          <t>JÖNKÖPINGS LÄN</t>
        </is>
      </c>
      <c r="G198" t="inlineStr">
        <is>
          <t>JÖNKÖPING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44464</v>
      </c>
      <c r="E199" s="1" t="n">
        <v>46250</v>
      </c>
      <c r="F199" t="inlineStr">
        <is>
          <t>JÖNKÖPINGS LÄN</t>
        </is>
      </c>
      <c r="G199" t="inlineStr">
        <is>
          <t>JÖNKÖPING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46250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46250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45408-2023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45194</v>
      </c>
      <c r="E202" s="1" t="n">
        <v>46250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45194</v>
      </c>
      <c r="E203" s="1" t="n">
        <v>46250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46250</v>
      </c>
      <c r="F204" t="inlineStr">
        <is>
          <t>JÖNKÖPINGS LÄN</t>
        </is>
      </c>
      <c r="G204" t="inlineStr">
        <is>
          <t>JÖNKÖPING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46250</v>
      </c>
      <c r="F205" t="inlineStr">
        <is>
          <t>JÖNKÖPINGS LÄN</t>
        </is>
      </c>
      <c r="G205" t="inlineStr">
        <is>
          <t>JÖNKÖPING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46250</v>
      </c>
      <c r="F206" t="inlineStr">
        <is>
          <t>JÖNKÖPINGS LÄN</t>
        </is>
      </c>
      <c r="G206" t="inlineStr">
        <is>
          <t>JÖNKÖPING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46250</v>
      </c>
      <c r="F207" t="inlineStr">
        <is>
          <t>JÖNKÖPINGS LÄN</t>
        </is>
      </c>
      <c r="G207" t="inlineStr">
        <is>
          <t>JÖNKÖPING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61253-2021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46250</v>
      </c>
      <c r="F208" t="inlineStr">
        <is>
          <t>JÖNKÖPINGS LÄN</t>
        </is>
      </c>
      <c r="G208" t="inlineStr">
        <is>
          <t>JÖNKÖPING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46250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46250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45756</v>
      </c>
      <c r="E211" s="1" t="n">
        <v>46250</v>
      </c>
      <c r="F211" t="inlineStr">
        <is>
          <t>JÖNKÖPINGS LÄN</t>
        </is>
      </c>
      <c r="G211" t="inlineStr">
        <is>
          <t>JÖNKÖPING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46250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46250</v>
      </c>
      <c r="F213" t="inlineStr">
        <is>
          <t>JÖNKÖPINGS LÄN</t>
        </is>
      </c>
      <c r="G213" t="inlineStr">
        <is>
          <t>JÖNKÖPING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46250</v>
      </c>
      <c r="F214" t="inlineStr">
        <is>
          <t>JÖNKÖPINGS LÄN</t>
        </is>
      </c>
      <c r="G214" t="inlineStr">
        <is>
          <t>JÖNKÖPING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46250</v>
      </c>
      <c r="F215" t="inlineStr">
        <is>
          <t>JÖNKÖPINGS LÄN</t>
        </is>
      </c>
      <c r="G215" t="inlineStr">
        <is>
          <t>JÖNKÖPING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46250</v>
      </c>
      <c r="F216" t="inlineStr">
        <is>
          <t>JÖNKÖPINGS LÄN</t>
        </is>
      </c>
      <c r="G216" t="inlineStr">
        <is>
          <t>JÖNKÖPING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41143-2021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44423</v>
      </c>
      <c r="E217" s="1" t="n">
        <v>46250</v>
      </c>
      <c r="F217" t="inlineStr">
        <is>
          <t>JÖNKÖPINGS LÄN</t>
        </is>
      </c>
      <c r="G217" t="inlineStr">
        <is>
          <t>JÖNKÖPING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46250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46250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46250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Aktiebolag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44532</v>
      </c>
      <c r="E221" s="1" t="n">
        <v>46250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46250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46250</v>
      </c>
      <c r="F223" t="inlineStr">
        <is>
          <t>JÖNKÖPINGS LÄN</t>
        </is>
      </c>
      <c r="G223" t="inlineStr">
        <is>
          <t>JÖNKÖPING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46250</v>
      </c>
      <c r="F224" t="inlineStr">
        <is>
          <t>JÖNKÖPINGS LÄN</t>
        </is>
      </c>
      <c r="G224" t="inlineStr">
        <is>
          <t>JÖNKÖPING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46250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45303</v>
      </c>
      <c r="E226" s="1" t="n">
        <v>46250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43668-2022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44837</v>
      </c>
      <c r="E227" s="1" t="n">
        <v>46250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46250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46250</v>
      </c>
      <c r="F229" t="inlineStr">
        <is>
          <t>JÖNKÖPINGS LÄN</t>
        </is>
      </c>
      <c r="G229" t="inlineStr">
        <is>
          <t>JÖNKÖPING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46250</v>
      </c>
      <c r="F230" t="inlineStr">
        <is>
          <t>JÖNKÖPINGS LÄN</t>
        </is>
      </c>
      <c r="G230" t="inlineStr">
        <is>
          <t>JÖNKÖPING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46250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46250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46250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46250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46250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46250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46250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46250</v>
      </c>
      <c r="F238" t="inlineStr">
        <is>
          <t>JÖNKÖPINGS LÄN</t>
        </is>
      </c>
      <c r="G238" t="inlineStr">
        <is>
          <t>JÖNKÖPING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46250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25065-2022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44729</v>
      </c>
      <c r="E240" s="1" t="n">
        <v>46250</v>
      </c>
      <c r="F240" t="inlineStr">
        <is>
          <t>JÖNKÖPINGS LÄN</t>
        </is>
      </c>
      <c r="G240" t="inlineStr">
        <is>
          <t>JÖNKÖPING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48038-2021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44449</v>
      </c>
      <c r="E241" s="1" t="n">
        <v>46250</v>
      </c>
      <c r="F241" t="inlineStr">
        <is>
          <t>JÖNKÖPINGS LÄN</t>
        </is>
      </c>
      <c r="G241" t="inlineStr">
        <is>
          <t>JÖNKÖPING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46250</v>
      </c>
      <c r="F242" t="inlineStr">
        <is>
          <t>JÖNKÖPINGS LÄN</t>
        </is>
      </c>
      <c r="G242" t="inlineStr">
        <is>
          <t>JÖNKÖPING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46250</v>
      </c>
      <c r="F243" t="inlineStr">
        <is>
          <t>JÖNKÖPINGS LÄN</t>
        </is>
      </c>
      <c r="G243" t="inlineStr">
        <is>
          <t>JÖNKÖPING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46250</v>
      </c>
      <c r="F244" t="inlineStr">
        <is>
          <t>JÖNKÖPINGS LÄN</t>
        </is>
      </c>
      <c r="G244" t="inlineStr">
        <is>
          <t>JÖNKÖPING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46250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46250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46250</v>
      </c>
      <c r="F247" t="inlineStr">
        <is>
          <t>JÖNKÖPINGS LÄN</t>
        </is>
      </c>
      <c r="G247" t="inlineStr">
        <is>
          <t>JÖNKÖPING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46250</v>
      </c>
      <c r="F248" t="inlineStr">
        <is>
          <t>JÖNKÖPINGS LÄN</t>
        </is>
      </c>
      <c r="G248" t="inlineStr">
        <is>
          <t>JÖNKÖPING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36861-2022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44805</v>
      </c>
      <c r="E249" s="1" t="n">
        <v>46250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44811</v>
      </c>
      <c r="E250" s="1" t="n">
        <v>46250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45462</v>
      </c>
      <c r="E251" s="1" t="n">
        <v>46250</v>
      </c>
      <c r="F251" t="inlineStr">
        <is>
          <t>JÖNKÖPINGS LÄN</t>
        </is>
      </c>
      <c r="G251" t="inlineStr">
        <is>
          <t>JÖNKÖPING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46250</v>
      </c>
      <c r="F252" t="inlineStr">
        <is>
          <t>JÖNKÖPINGS LÄN</t>
        </is>
      </c>
      <c r="G252" t="inlineStr">
        <is>
          <t>JÖNKÖPING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46250</v>
      </c>
      <c r="F253" t="inlineStr">
        <is>
          <t>JÖNKÖPINGS LÄN</t>
        </is>
      </c>
      <c r="G253" t="inlineStr">
        <is>
          <t>JÖNKÖPING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46250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46250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47314-2022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44853</v>
      </c>
      <c r="E256" s="1" t="n">
        <v>46250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46250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46250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46250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46250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46250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45008</v>
      </c>
      <c r="E262" s="1" t="n">
        <v>46250</v>
      </c>
      <c r="F262" t="inlineStr">
        <is>
          <t>JÖNKÖPINGS LÄN</t>
        </is>
      </c>
      <c r="G262" t="inlineStr">
        <is>
          <t>JÖNKÖPING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46250</v>
      </c>
      <c r="F263" t="inlineStr">
        <is>
          <t>JÖNKÖPINGS LÄN</t>
        </is>
      </c>
      <c r="G263" t="inlineStr">
        <is>
          <t>JÖNKÖPING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46250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46250</v>
      </c>
      <c r="F265" t="inlineStr">
        <is>
          <t>JÖNKÖPINGS LÄN</t>
        </is>
      </c>
      <c r="G265" t="inlineStr">
        <is>
          <t>JÖNKÖPING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46250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Kyrkan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46250</v>
      </c>
      <c r="F267" t="inlineStr">
        <is>
          <t>JÖNKÖPINGS LÄN</t>
        </is>
      </c>
      <c r="G267" t="inlineStr">
        <is>
          <t>JÖNKÖPING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46250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46250</v>
      </c>
      <c r="F269" t="inlineStr">
        <is>
          <t>JÖNKÖPINGS LÄN</t>
        </is>
      </c>
      <c r="G269" t="inlineStr">
        <is>
          <t>JÖNKÖPING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46250</v>
      </c>
      <c r="F270" t="inlineStr">
        <is>
          <t>JÖNKÖPINGS LÄN</t>
        </is>
      </c>
      <c r="G270" t="inlineStr">
        <is>
          <t>JÖNKÖPING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45892</v>
      </c>
      <c r="E271" s="1" t="n">
        <v>46250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45892</v>
      </c>
      <c r="E272" s="1" t="n">
        <v>46250</v>
      </c>
      <c r="F272" t="inlineStr">
        <is>
          <t>JÖNKÖPINGS LÄN</t>
        </is>
      </c>
      <c r="G272" t="inlineStr">
        <is>
          <t>JÖNKÖPING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46250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46250</v>
      </c>
      <c r="F274" t="inlineStr">
        <is>
          <t>JÖNKÖPINGS LÄN</t>
        </is>
      </c>
      <c r="G274" t="inlineStr">
        <is>
          <t>JÖNKÖPING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46250</v>
      </c>
      <c r="F275" t="inlineStr">
        <is>
          <t>JÖNKÖPINGS LÄN</t>
        </is>
      </c>
      <c r="G275" t="inlineStr">
        <is>
          <t>JÖNKÖPING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46250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46250</v>
      </c>
      <c r="F277" t="inlineStr">
        <is>
          <t>JÖNKÖPINGS LÄN</t>
        </is>
      </c>
      <c r="G277" t="inlineStr">
        <is>
          <t>JÖNKÖPING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46250</v>
      </c>
      <c r="F278" t="inlineStr">
        <is>
          <t>JÖNKÖPINGS LÄN</t>
        </is>
      </c>
      <c r="G278" t="inlineStr">
        <is>
          <t>JÖNKÖPING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46250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45902</v>
      </c>
      <c r="E280" s="1" t="n">
        <v>46250</v>
      </c>
      <c r="F280" t="inlineStr">
        <is>
          <t>JÖNKÖPINGS LÄN</t>
        </is>
      </c>
      <c r="G280" t="inlineStr">
        <is>
          <t>JÖNKÖPING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45557</v>
      </c>
      <c r="E281" s="1" t="n">
        <v>46250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46250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45295</v>
      </c>
      <c r="E283" s="1" t="n">
        <v>46250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46250</v>
      </c>
      <c r="F284" t="inlineStr">
        <is>
          <t>JÖNKÖPINGS LÄN</t>
        </is>
      </c>
      <c r="G284" t="inlineStr">
        <is>
          <t>JÖNKÖPING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46250</v>
      </c>
      <c r="F285" t="inlineStr">
        <is>
          <t>JÖNKÖPINGS LÄN</t>
        </is>
      </c>
      <c r="G285" t="inlineStr">
        <is>
          <t>JÖNKÖPING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46250</v>
      </c>
      <c r="F286" t="inlineStr">
        <is>
          <t>JÖNKÖPINGS LÄN</t>
        </is>
      </c>
      <c r="G286" t="inlineStr">
        <is>
          <t>JÖNKÖPING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46250</v>
      </c>
      <c r="F287" t="inlineStr">
        <is>
          <t>JÖNKÖPINGS LÄN</t>
        </is>
      </c>
      <c r="G287" t="inlineStr">
        <is>
          <t>JÖNKÖPING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46250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46250</v>
      </c>
      <c r="F289" t="inlineStr">
        <is>
          <t>JÖNKÖPINGS LÄN</t>
        </is>
      </c>
      <c r="G289" t="inlineStr">
        <is>
          <t>JÖNKÖPING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45618</v>
      </c>
      <c r="E290" s="1" t="n">
        <v>46250</v>
      </c>
      <c r="F290" t="inlineStr">
        <is>
          <t>JÖNKÖPINGS LÄN</t>
        </is>
      </c>
      <c r="G290" t="inlineStr">
        <is>
          <t>JÖNKÖPING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46250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44589</v>
      </c>
      <c r="E292" s="1" t="n">
        <v>46250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46250</v>
      </c>
      <c r="F293" t="inlineStr">
        <is>
          <t>JÖNKÖPINGS LÄN</t>
        </is>
      </c>
      <c r="G293" t="inlineStr">
        <is>
          <t>JÖNKÖPING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56569-2022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44893</v>
      </c>
      <c r="E294" s="1" t="n">
        <v>46250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46250</v>
      </c>
      <c r="F295" t="inlineStr">
        <is>
          <t>JÖNKÖPINGS LÄN</t>
        </is>
      </c>
      <c r="G295" t="inlineStr">
        <is>
          <t>JÖNKÖPING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46250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46250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46250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46250</v>
      </c>
      <c r="F299" t="inlineStr">
        <is>
          <t>JÖNKÖPINGS LÄN</t>
        </is>
      </c>
      <c r="G299" t="inlineStr">
        <is>
          <t>JÖNKÖPING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44648</v>
      </c>
      <c r="E300" s="1" t="n">
        <v>46250</v>
      </c>
      <c r="F300" t="inlineStr">
        <is>
          <t>JÖNKÖPINGS LÄN</t>
        </is>
      </c>
      <c r="G300" t="inlineStr">
        <is>
          <t>JÖNKÖPING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46250</v>
      </c>
      <c r="F301" t="inlineStr">
        <is>
          <t>JÖNKÖPINGS LÄN</t>
        </is>
      </c>
      <c r="G301" t="inlineStr">
        <is>
          <t>JÖNKÖPING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73003-2021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44550</v>
      </c>
      <c r="E302" s="1" t="n">
        <v>46250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46250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46250</v>
      </c>
      <c r="F304" t="inlineStr">
        <is>
          <t>JÖNKÖPINGS LÄN</t>
        </is>
      </c>
      <c r="G304" t="inlineStr">
        <is>
          <t>JÖNKÖPING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46250</v>
      </c>
      <c r="F305" t="inlineStr">
        <is>
          <t>JÖNKÖPINGS LÄN</t>
        </is>
      </c>
      <c r="G305" t="inlineStr">
        <is>
          <t>JÖNKÖPING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46250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45240</v>
      </c>
      <c r="E307" s="1" t="n">
        <v>46250</v>
      </c>
      <c r="F307" t="inlineStr">
        <is>
          <t>JÖNKÖPINGS LÄN</t>
        </is>
      </c>
      <c r="G307" t="inlineStr">
        <is>
          <t>JÖNKÖPING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46250</v>
      </c>
      <c r="F308" t="inlineStr">
        <is>
          <t>JÖNKÖPINGS LÄN</t>
        </is>
      </c>
      <c r="G308" t="inlineStr">
        <is>
          <t>JÖNKÖPING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46250</v>
      </c>
      <c r="F309" t="inlineStr">
        <is>
          <t>JÖNKÖPINGS LÄN</t>
        </is>
      </c>
      <c r="G309" t="inlineStr">
        <is>
          <t>JÖNKÖPING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46250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46250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46250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46250</v>
      </c>
      <c r="F313" t="inlineStr">
        <is>
          <t>JÖNKÖPINGS LÄN</t>
        </is>
      </c>
      <c r="G313" t="inlineStr">
        <is>
          <t>JÖNKÖPING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56131-2022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44889</v>
      </c>
      <c r="E314" s="1" t="n">
        <v>46250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46250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46628-2023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46250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46250</v>
      </c>
      <c r="F317" t="inlineStr">
        <is>
          <t>JÖNKÖPINGS LÄN</t>
        </is>
      </c>
      <c r="G317" t="inlineStr">
        <is>
          <t>JÖNKÖPING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46250</v>
      </c>
      <c r="F318" t="inlineStr">
        <is>
          <t>JÖNKÖPINGS LÄN</t>
        </is>
      </c>
      <c r="G318" t="inlineStr">
        <is>
          <t>JÖNKÖPING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45534</v>
      </c>
      <c r="E319" s="1" t="n">
        <v>46250</v>
      </c>
      <c r="F319" t="inlineStr">
        <is>
          <t>JÖNKÖPINGS LÄN</t>
        </is>
      </c>
      <c r="G319" t="inlineStr">
        <is>
          <t>JÖNKÖPING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46250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46250</v>
      </c>
      <c r="F321" t="inlineStr">
        <is>
          <t>JÖNKÖPINGS LÄN</t>
        </is>
      </c>
      <c r="G321" t="inlineStr">
        <is>
          <t>JÖNKÖPING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46250</v>
      </c>
      <c r="F322" t="inlineStr">
        <is>
          <t>JÖNKÖPINGS LÄN</t>
        </is>
      </c>
      <c r="G322" t="inlineStr">
        <is>
          <t>JÖNKÖPING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46250</v>
      </c>
      <c r="F323" t="inlineStr">
        <is>
          <t>JÖNKÖPINGS LÄN</t>
        </is>
      </c>
      <c r="G323" t="inlineStr">
        <is>
          <t>JÖNKÖPING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46250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46250</v>
      </c>
      <c r="F325" t="inlineStr">
        <is>
          <t>JÖNKÖPINGS LÄN</t>
        </is>
      </c>
      <c r="G325" t="inlineStr">
        <is>
          <t>JÖNKÖPING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45300</v>
      </c>
      <c r="E326" s="1" t="n">
        <v>46250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45215</v>
      </c>
      <c r="E327" s="1" t="n">
        <v>46250</v>
      </c>
      <c r="F327" t="inlineStr">
        <is>
          <t>JÖNKÖPINGS LÄN</t>
        </is>
      </c>
      <c r="G327" t="inlineStr">
        <is>
          <t>JÖNKÖPING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45392</v>
      </c>
      <c r="E328" s="1" t="n">
        <v>46250</v>
      </c>
      <c r="F328" t="inlineStr">
        <is>
          <t>JÖNKÖPINGS LÄN</t>
        </is>
      </c>
      <c r="G328" t="inlineStr">
        <is>
          <t>JÖNKÖPING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46250</v>
      </c>
      <c r="F329" t="inlineStr">
        <is>
          <t>JÖNKÖPINGS LÄN</t>
        </is>
      </c>
      <c r="G329" t="inlineStr">
        <is>
          <t>JÖNKÖPING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46250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46250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46250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46250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46250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46250</v>
      </c>
      <c r="F335" t="inlineStr">
        <is>
          <t>JÖNKÖPINGS LÄN</t>
        </is>
      </c>
      <c r="G335" t="inlineStr">
        <is>
          <t>JÖNKÖPING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46250</v>
      </c>
      <c r="F336" t="inlineStr">
        <is>
          <t>JÖNKÖPINGS LÄN</t>
        </is>
      </c>
      <c r="G336" t="inlineStr">
        <is>
          <t>JÖNKÖPING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51876-2022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44867</v>
      </c>
      <c r="E337" s="1" t="n">
        <v>46250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45477</v>
      </c>
      <c r="E338" s="1" t="n">
        <v>46250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46250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44904</v>
      </c>
      <c r="E340" s="1" t="n">
        <v>46250</v>
      </c>
      <c r="F340" t="inlineStr">
        <is>
          <t>JÖNKÖPINGS LÄN</t>
        </is>
      </c>
      <c r="G340" t="inlineStr">
        <is>
          <t>JÖNKÖPING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46250</v>
      </c>
      <c r="F341" t="inlineStr">
        <is>
          <t>JÖNKÖPINGS LÄN</t>
        </is>
      </c>
      <c r="G341" t="inlineStr">
        <is>
          <t>JÖNKÖPING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46250</v>
      </c>
      <c r="F342" t="inlineStr">
        <is>
          <t>JÖNKÖPINGS LÄN</t>
        </is>
      </c>
      <c r="G342" t="inlineStr">
        <is>
          <t>JÖNKÖPING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46250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Kyrkan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46250</v>
      </c>
      <c r="F344" t="inlineStr">
        <is>
          <t>JÖNKÖPINGS LÄN</t>
        </is>
      </c>
      <c r="G344" t="inlineStr">
        <is>
          <t>JÖNKÖPING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46250</v>
      </c>
      <c r="F345" t="inlineStr">
        <is>
          <t>JÖNKÖPINGS LÄN</t>
        </is>
      </c>
      <c r="G345" t="inlineStr">
        <is>
          <t>JÖNKÖPING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46250</v>
      </c>
      <c r="F346" t="inlineStr">
        <is>
          <t>JÖNKÖPINGS LÄN</t>
        </is>
      </c>
      <c r="G346" t="inlineStr">
        <is>
          <t>JÖNKÖPING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46250</v>
      </c>
      <c r="F347" t="inlineStr">
        <is>
          <t>JÖNKÖPINGS LÄN</t>
        </is>
      </c>
      <c r="G347" t="inlineStr">
        <is>
          <t>JÖNKÖPING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46250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44930</v>
      </c>
      <c r="E349" s="1" t="n">
        <v>46250</v>
      </c>
      <c r="F349" t="inlineStr">
        <is>
          <t>JÖNKÖPINGS LÄN</t>
        </is>
      </c>
      <c r="G349" t="inlineStr">
        <is>
          <t>JÖNKÖPING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46250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46250</v>
      </c>
      <c r="F351" t="inlineStr">
        <is>
          <t>JÖNKÖPINGS LÄN</t>
        </is>
      </c>
      <c r="G351" t="inlineStr">
        <is>
          <t>JÖNKÖPING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44575</v>
      </c>
      <c r="E352" s="1" t="n">
        <v>46250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46250</v>
      </c>
      <c r="F353" t="inlineStr">
        <is>
          <t>JÖNKÖPINGS LÄN</t>
        </is>
      </c>
      <c r="G353" t="inlineStr">
        <is>
          <t>JÖNKÖPING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46250</v>
      </c>
      <c r="F354" t="inlineStr">
        <is>
          <t>JÖNKÖPINGS LÄN</t>
        </is>
      </c>
      <c r="G354" t="inlineStr">
        <is>
          <t>JÖNKÖPING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46250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46250</v>
      </c>
      <c r="F356" t="inlineStr">
        <is>
          <t>JÖNKÖPINGS LÄN</t>
        </is>
      </c>
      <c r="G356" t="inlineStr">
        <is>
          <t>JÖNKÖPING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46250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46250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46250</v>
      </c>
      <c r="F359" t="inlineStr">
        <is>
          <t>JÖNKÖPINGS LÄN</t>
        </is>
      </c>
      <c r="G359" t="inlineStr">
        <is>
          <t>JÖNKÖPING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46250</v>
      </c>
      <c r="F360" t="inlineStr">
        <is>
          <t>JÖNKÖPINGS LÄN</t>
        </is>
      </c>
      <c r="G360" t="inlineStr">
        <is>
          <t>JÖNKÖPING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46250</v>
      </c>
      <c r="F361" t="inlineStr">
        <is>
          <t>JÖNKÖPINGS LÄN</t>
        </is>
      </c>
      <c r="G361" t="inlineStr">
        <is>
          <t>JÖNKÖPING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46250</v>
      </c>
      <c r="F362" t="inlineStr">
        <is>
          <t>JÖNKÖPINGS LÄN</t>
        </is>
      </c>
      <c r="G362" t="inlineStr">
        <is>
          <t>JÖNKÖPING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46250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46250</v>
      </c>
      <c r="F364" t="inlineStr">
        <is>
          <t>JÖNKÖPINGS LÄN</t>
        </is>
      </c>
      <c r="G364" t="inlineStr">
        <is>
          <t>JÖNKÖPING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46250</v>
      </c>
      <c r="F365" t="inlineStr">
        <is>
          <t>JÖNKÖPINGS LÄN</t>
        </is>
      </c>
      <c r="G365" t="inlineStr">
        <is>
          <t>JÖNKÖPING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46250</v>
      </c>
      <c r="F366" t="inlineStr">
        <is>
          <t>JÖNKÖPINGS LÄN</t>
        </is>
      </c>
      <c r="G366" t="inlineStr">
        <is>
          <t>JÖNKÖPING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50192-2024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45600</v>
      </c>
      <c r="E367" s="1" t="n">
        <v>46250</v>
      </c>
      <c r="F367" t="inlineStr">
        <is>
          <t>JÖNKÖPINGS LÄN</t>
        </is>
      </c>
      <c r="G367" t="inlineStr">
        <is>
          <t>JÖNKÖPING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46250</v>
      </c>
      <c r="F368" t="inlineStr">
        <is>
          <t>JÖNKÖPINGS LÄN</t>
        </is>
      </c>
      <c r="G368" t="inlineStr">
        <is>
          <t>JÖNKÖPING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46250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46250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46250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46250</v>
      </c>
      <c r="F372" t="inlineStr">
        <is>
          <t>JÖNKÖPINGS LÄN</t>
        </is>
      </c>
      <c r="G372" t="inlineStr">
        <is>
          <t>JÖNKÖPING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45406</v>
      </c>
      <c r="E373" s="1" t="n">
        <v>46250</v>
      </c>
      <c r="F373" t="inlineStr">
        <is>
          <t>JÖNKÖPINGS LÄN</t>
        </is>
      </c>
      <c r="G373" t="inlineStr">
        <is>
          <t>JÖNKÖPING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46250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48308-2022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46250</v>
      </c>
      <c r="F375" t="inlineStr">
        <is>
          <t>JÖNKÖPINGS LÄN</t>
        </is>
      </c>
      <c r="G375" t="inlineStr">
        <is>
          <t>JÖNKÖPING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44484</v>
      </c>
      <c r="E376" s="1" t="n">
        <v>46250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46250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46250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46250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46250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46250</v>
      </c>
      <c r="F381" t="inlineStr">
        <is>
          <t>JÖNKÖPINGS LÄN</t>
        </is>
      </c>
      <c r="G381" t="inlineStr">
        <is>
          <t>JÖNKÖPING</t>
        </is>
      </c>
      <c r="I381" t="n">
        <v>14.5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44648</v>
      </c>
      <c r="E382" s="1" t="n">
        <v>46250</v>
      </c>
      <c r="F382" t="inlineStr">
        <is>
          <t>JÖNKÖPINGS LÄN</t>
        </is>
      </c>
      <c r="G382" t="inlineStr">
        <is>
          <t>JÖNKÖPING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46250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46250</v>
      </c>
      <c r="F384" t="inlineStr">
        <is>
          <t>JÖNKÖPINGS LÄN</t>
        </is>
      </c>
      <c r="G384" t="inlineStr">
        <is>
          <t>JÖNKÖPING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49392-2022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44861</v>
      </c>
      <c r="E385" s="1" t="n">
        <v>46250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46250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46250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46250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Kyrkan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46250</v>
      </c>
      <c r="F389" t="inlineStr">
        <is>
          <t>JÖNKÖPINGS LÄN</t>
        </is>
      </c>
      <c r="G389" t="inlineStr">
        <is>
          <t>JÖNKÖPING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46250</v>
      </c>
      <c r="F390" t="inlineStr">
        <is>
          <t>JÖNKÖPINGS LÄN</t>
        </is>
      </c>
      <c r="G390" t="inlineStr">
        <is>
          <t>JÖNKÖPING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46250</v>
      </c>
      <c r="F391" t="inlineStr">
        <is>
          <t>JÖNKÖPINGS LÄN</t>
        </is>
      </c>
      <c r="G391" t="inlineStr">
        <is>
          <t>JÖNKÖPING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46250</v>
      </c>
      <c r="F392" t="inlineStr">
        <is>
          <t>JÖNKÖPINGS LÄN</t>
        </is>
      </c>
      <c r="G392" t="inlineStr">
        <is>
          <t>JÖNKÖPING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11801-2024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45375</v>
      </c>
      <c r="E393" s="1" t="n">
        <v>46250</v>
      </c>
      <c r="F393" t="inlineStr">
        <is>
          <t>JÖNKÖPINGS LÄN</t>
        </is>
      </c>
      <c r="G393" t="inlineStr">
        <is>
          <t>JÖNKÖPING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46250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46250</v>
      </c>
      <c r="F395" t="inlineStr">
        <is>
          <t>JÖNKÖPINGS LÄN</t>
        </is>
      </c>
      <c r="G395" t="inlineStr">
        <is>
          <t>JÖNKÖPING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46250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46250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46250</v>
      </c>
      <c r="F398" t="inlineStr">
        <is>
          <t>JÖNKÖPINGS LÄN</t>
        </is>
      </c>
      <c r="G398" t="inlineStr">
        <is>
          <t>JÖNKÖPING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46250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46250</v>
      </c>
      <c r="F400" t="inlineStr">
        <is>
          <t>JÖNKÖPINGS LÄN</t>
        </is>
      </c>
      <c r="G400" t="inlineStr">
        <is>
          <t>JÖNKÖPING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46250</v>
      </c>
      <c r="F401" t="inlineStr">
        <is>
          <t>JÖNKÖPINGS LÄN</t>
        </is>
      </c>
      <c r="G401" t="inlineStr">
        <is>
          <t>JÖNKÖPING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45295</v>
      </c>
      <c r="E402" s="1" t="n">
        <v>46250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46250</v>
      </c>
      <c r="F403" t="inlineStr">
        <is>
          <t>JÖNKÖPINGS LÄN</t>
        </is>
      </c>
      <c r="G403" t="inlineStr">
        <is>
          <t>JÖNKÖPING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46250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21935-2022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44711</v>
      </c>
      <c r="E405" s="1" t="n">
        <v>46250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46250</v>
      </c>
      <c r="F406" t="inlineStr">
        <is>
          <t>JÖNKÖPINGS LÄN</t>
        </is>
      </c>
      <c r="G406" t="inlineStr">
        <is>
          <t>JÖNKÖPING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46250</v>
      </c>
      <c r="F407" t="inlineStr">
        <is>
          <t>JÖNKÖPINGS LÄN</t>
        </is>
      </c>
      <c r="G407" t="inlineStr">
        <is>
          <t>JÖNKÖPING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46250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20388-2024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45435</v>
      </c>
      <c r="E409" s="1" t="n">
        <v>46250</v>
      </c>
      <c r="F409" t="inlineStr">
        <is>
          <t>JÖNKÖPINGS LÄN</t>
        </is>
      </c>
      <c r="G409" t="inlineStr">
        <is>
          <t>JÖNKÖPING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45316</v>
      </c>
      <c r="E410" s="1" t="n">
        <v>46250</v>
      </c>
      <c r="F410" t="inlineStr">
        <is>
          <t>JÖNKÖPINGS LÄN</t>
        </is>
      </c>
      <c r="G410" t="inlineStr">
        <is>
          <t>JÖNKÖPING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44622</v>
      </c>
      <c r="E411" s="1" t="n">
        <v>46250</v>
      </c>
      <c r="F411" t="inlineStr">
        <is>
          <t>JÖNKÖPINGS LÄN</t>
        </is>
      </c>
      <c r="G411" t="inlineStr">
        <is>
          <t>JÖNKÖPING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45058</v>
      </c>
      <c r="E412" s="1" t="n">
        <v>46250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44965</v>
      </c>
      <c r="E413" s="1" t="n">
        <v>46250</v>
      </c>
      <c r="F413" t="inlineStr">
        <is>
          <t>JÖNKÖPINGS LÄN</t>
        </is>
      </c>
      <c r="G413" t="inlineStr">
        <is>
          <t>JÖNKÖPING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46250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46250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26208-2022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44734</v>
      </c>
      <c r="E416" s="1" t="n">
        <v>46250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45671</v>
      </c>
      <c r="E417" s="1" t="n">
        <v>46250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46250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44662</v>
      </c>
      <c r="E419" s="1" t="n">
        <v>46250</v>
      </c>
      <c r="F419" t="inlineStr">
        <is>
          <t>JÖNKÖPINGS LÄN</t>
        </is>
      </c>
      <c r="G419" t="inlineStr">
        <is>
          <t>JÖNKÖPING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46250</v>
      </c>
      <c r="F420" t="inlineStr">
        <is>
          <t>JÖNKÖPINGS LÄN</t>
        </is>
      </c>
      <c r="G420" t="inlineStr">
        <is>
          <t>JÖNKÖPING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46250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44861</v>
      </c>
      <c r="E422" s="1" t="n">
        <v>46250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44861</v>
      </c>
      <c r="E423" s="1" t="n">
        <v>46250</v>
      </c>
      <c r="F423" t="inlineStr">
        <is>
          <t>JÖNKÖPINGS LÄN</t>
        </is>
      </c>
      <c r="G423" t="inlineStr">
        <is>
          <t>JÖNKÖPING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46250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46250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46250</v>
      </c>
      <c r="F426" t="inlineStr">
        <is>
          <t>JÖNKÖPINGS LÄN</t>
        </is>
      </c>
      <c r="G426" t="inlineStr">
        <is>
          <t>JÖNKÖPING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46250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46250</v>
      </c>
      <c r="F428" t="inlineStr">
        <is>
          <t>JÖNKÖPINGS LÄN</t>
        </is>
      </c>
      <c r="G428" t="inlineStr">
        <is>
          <t>JÖNKÖPING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46250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46250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46250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46250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46250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46250</v>
      </c>
      <c r="F434" t="inlineStr">
        <is>
          <t>JÖNKÖPINGS LÄN</t>
        </is>
      </c>
      <c r="G434" t="inlineStr">
        <is>
          <t>JÖNKÖPING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62876-2025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46250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44614</v>
      </c>
      <c r="E436" s="1" t="n">
        <v>46250</v>
      </c>
      <c r="F436" t="inlineStr">
        <is>
          <t>JÖNKÖPINGS LÄN</t>
        </is>
      </c>
      <c r="G436" t="inlineStr">
        <is>
          <t>JÖNKÖPING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46250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45958</v>
      </c>
      <c r="E438" s="1" t="n">
        <v>46250</v>
      </c>
      <c r="F438" t="inlineStr">
        <is>
          <t>JÖNKÖPINGS LÄN</t>
        </is>
      </c>
      <c r="G438" t="inlineStr">
        <is>
          <t>JÖNKÖPING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46250</v>
      </c>
      <c r="F439" t="inlineStr">
        <is>
          <t>JÖNKÖPINGS LÄN</t>
        </is>
      </c>
      <c r="G439" t="inlineStr">
        <is>
          <t>JÖNKÖPING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63563-2025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46013</v>
      </c>
      <c r="E440" s="1" t="n">
        <v>46250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46250</v>
      </c>
      <c r="F441" t="inlineStr">
        <is>
          <t>JÖNKÖPINGS LÄN</t>
        </is>
      </c>
      <c r="G441" t="inlineStr">
        <is>
          <t>JÖNKÖPING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46250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63577-2025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46250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57620-2022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46250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Kyrkan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46250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45455</v>
      </c>
      <c r="E446" s="1" t="n">
        <v>46250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46250</v>
      </c>
      <c r="F447" t="inlineStr">
        <is>
          <t>JÖNKÖPINGS LÄN</t>
        </is>
      </c>
      <c r="G447" t="inlineStr">
        <is>
          <t>JÖNKÖPING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46250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44507</v>
      </c>
      <c r="E449" s="1" t="n">
        <v>46250</v>
      </c>
      <c r="F449" t="inlineStr">
        <is>
          <t>JÖNKÖPINGS LÄN</t>
        </is>
      </c>
      <c r="G449" t="inlineStr">
        <is>
          <t>JÖNKÖPING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45693</v>
      </c>
      <c r="E450" s="1" t="n">
        <v>46250</v>
      </c>
      <c r="F450" t="inlineStr">
        <is>
          <t>JÖNKÖPINGS LÄN</t>
        </is>
      </c>
      <c r="G450" t="inlineStr">
        <is>
          <t>JÖNKÖPING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44729</v>
      </c>
      <c r="E451" s="1" t="n">
        <v>46250</v>
      </c>
      <c r="F451" t="inlineStr">
        <is>
          <t>JÖNKÖPINGS LÄN</t>
        </is>
      </c>
      <c r="G451" t="inlineStr">
        <is>
          <t>JÖNKÖPING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45569</v>
      </c>
      <c r="E452" s="1" t="n">
        <v>46250</v>
      </c>
      <c r="F452" t="inlineStr">
        <is>
          <t>JÖNKÖPINGS LÄN</t>
        </is>
      </c>
      <c r="G452" t="inlineStr">
        <is>
          <t>JÖNKÖPING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44943</v>
      </c>
      <c r="E453" s="1" t="n">
        <v>46250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44943</v>
      </c>
      <c r="E454" s="1" t="n">
        <v>46250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46250</v>
      </c>
      <c r="F455" t="inlineStr">
        <is>
          <t>JÖNKÖPINGS LÄN</t>
        </is>
      </c>
      <c r="G455" t="inlineStr">
        <is>
          <t>JÖNKÖPING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45469</v>
      </c>
      <c r="E456" s="1" t="n">
        <v>46250</v>
      </c>
      <c r="F456" t="inlineStr">
        <is>
          <t>JÖNKÖPINGS LÄN</t>
        </is>
      </c>
      <c r="G456" t="inlineStr">
        <is>
          <t>JÖNKÖPING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46026</v>
      </c>
      <c r="E457" s="1" t="n">
        <v>46250</v>
      </c>
      <c r="F457" t="inlineStr">
        <is>
          <t>JÖNKÖPINGS LÄN</t>
        </is>
      </c>
      <c r="G457" t="inlineStr">
        <is>
          <t>JÖNKÖPING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46250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46250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46250</v>
      </c>
      <c r="F460" t="inlineStr">
        <is>
          <t>JÖNKÖPINGS LÄN</t>
        </is>
      </c>
      <c r="G460" t="inlineStr">
        <is>
          <t>JÖNKÖPING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45547</v>
      </c>
      <c r="E461" s="1" t="n">
        <v>46250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45558</v>
      </c>
      <c r="E462" s="1" t="n">
        <v>46250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46250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46250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46250</v>
      </c>
      <c r="F465" t="inlineStr">
        <is>
          <t>JÖNKÖPINGS LÄN</t>
        </is>
      </c>
      <c r="G465" t="inlineStr">
        <is>
          <t>JÖNKÖPING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45201</v>
      </c>
      <c r="E466" s="1" t="n">
        <v>46250</v>
      </c>
      <c r="F466" t="inlineStr">
        <is>
          <t>JÖNKÖPINGS LÄN</t>
        </is>
      </c>
      <c r="G466" t="inlineStr">
        <is>
          <t>JÖNKÖPING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46250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Övriga Aktiebolag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46250</v>
      </c>
      <c r="F468" t="inlineStr">
        <is>
          <t>JÖNKÖPINGS LÄN</t>
        </is>
      </c>
      <c r="G468" t="inlineStr">
        <is>
          <t>JÖNKÖPING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46250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46250</v>
      </c>
      <c r="F470" t="inlineStr">
        <is>
          <t>JÖNKÖPINGS LÄN</t>
        </is>
      </c>
      <c r="G470" t="inlineStr">
        <is>
          <t>JÖNKÖPING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17203-2022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44677</v>
      </c>
      <c r="E471" s="1" t="n">
        <v>46250</v>
      </c>
      <c r="F471" t="inlineStr">
        <is>
          <t>JÖNKÖPINGS LÄN</t>
        </is>
      </c>
      <c r="G471" t="inlineStr">
        <is>
          <t>JÖNKÖPING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44719</v>
      </c>
      <c r="E472" s="1" t="n">
        <v>46250</v>
      </c>
      <c r="F472" t="inlineStr">
        <is>
          <t>JÖNKÖPINGS LÄN</t>
        </is>
      </c>
      <c r="G472" t="inlineStr">
        <is>
          <t>JÖNKÖPING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46250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46250</v>
      </c>
      <c r="F474" t="inlineStr">
        <is>
          <t>JÖNKÖPINGS LÄN</t>
        </is>
      </c>
      <c r="G474" t="inlineStr">
        <is>
          <t>JÖNKÖPING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44803</v>
      </c>
      <c r="E475" s="1" t="n">
        <v>46250</v>
      </c>
      <c r="F475" t="inlineStr">
        <is>
          <t>JÖNKÖPINGS LÄN</t>
        </is>
      </c>
      <c r="G475" t="inlineStr">
        <is>
          <t>JÖNKÖPING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54451-2022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44882</v>
      </c>
      <c r="E476" s="1" t="n">
        <v>46250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46250</v>
      </c>
      <c r="F477" t="inlineStr">
        <is>
          <t>JÖNKÖPINGS LÄN</t>
        </is>
      </c>
      <c r="G477" t="inlineStr">
        <is>
          <t>JÖNKÖPING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15190-2022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44658</v>
      </c>
      <c r="E478" s="1" t="n">
        <v>46250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45621</v>
      </c>
      <c r="E479" s="1" t="n">
        <v>46250</v>
      </c>
      <c r="F479" t="inlineStr">
        <is>
          <t>JÖNKÖPINGS LÄN</t>
        </is>
      </c>
      <c r="G479" t="inlineStr">
        <is>
          <t>JÖNKÖPING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46250</v>
      </c>
      <c r="F480" t="inlineStr">
        <is>
          <t>JÖNKÖPINGS LÄN</t>
        </is>
      </c>
      <c r="G480" t="inlineStr">
        <is>
          <t>JÖNKÖPING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45048</v>
      </c>
      <c r="E481" s="1" t="n">
        <v>46250</v>
      </c>
      <c r="F481" t="inlineStr">
        <is>
          <t>JÖNKÖPINGS LÄN</t>
        </is>
      </c>
      <c r="G481" t="inlineStr">
        <is>
          <t>JÖNKÖPING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46250</v>
      </c>
      <c r="F482" t="inlineStr">
        <is>
          <t>JÖNKÖPINGS LÄN</t>
        </is>
      </c>
      <c r="G482" t="inlineStr">
        <is>
          <t>JÖNKÖPING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46250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46250</v>
      </c>
      <c r="F484" t="inlineStr">
        <is>
          <t>JÖNKÖPINGS LÄN</t>
        </is>
      </c>
      <c r="G484" t="inlineStr">
        <is>
          <t>JÖNKÖPING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45051</v>
      </c>
      <c r="E485" s="1" t="n">
        <v>46250</v>
      </c>
      <c r="F485" t="inlineStr">
        <is>
          <t>JÖNKÖPINGS LÄN</t>
        </is>
      </c>
      <c r="G485" t="inlineStr">
        <is>
          <t>JÖNKÖPING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46250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45708</v>
      </c>
      <c r="E487" s="1" t="n">
        <v>46250</v>
      </c>
      <c r="F487" t="inlineStr">
        <is>
          <t>JÖNKÖPINGS LÄN</t>
        </is>
      </c>
      <c r="G487" t="inlineStr">
        <is>
          <t>JÖNKÖPING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45715</v>
      </c>
      <c r="E488" s="1" t="n">
        <v>46250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44627</v>
      </c>
      <c r="E489" s="1" t="n">
        <v>46250</v>
      </c>
      <c r="F489" t="inlineStr">
        <is>
          <t>JÖNKÖPINGS LÄN</t>
        </is>
      </c>
      <c r="G489" t="inlineStr">
        <is>
          <t>JÖNKÖPING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44846</v>
      </c>
      <c r="E490" s="1" t="n">
        <v>46250</v>
      </c>
      <c r="F490" t="inlineStr">
        <is>
          <t>JÖNKÖPINGS LÄN</t>
        </is>
      </c>
      <c r="G490" t="inlineStr">
        <is>
          <t>JÖNKÖPING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45130</v>
      </c>
      <c r="E491" s="1" t="n">
        <v>46250</v>
      </c>
      <c r="F491" t="inlineStr">
        <is>
          <t>JÖNKÖPINGS LÄN</t>
        </is>
      </c>
      <c r="G491" t="inlineStr">
        <is>
          <t>JÖNKÖPING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45810</v>
      </c>
      <c r="E492" s="1" t="n">
        <v>46250</v>
      </c>
      <c r="F492" t="inlineStr">
        <is>
          <t>JÖNKÖPINGS LÄN</t>
        </is>
      </c>
      <c r="G492" t="inlineStr">
        <is>
          <t>JÖNKÖPING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46250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46250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44985</v>
      </c>
      <c r="E495" s="1" t="n">
        <v>46250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46250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46250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46250</v>
      </c>
      <c r="F498" t="inlineStr">
        <is>
          <t>JÖNKÖPINGS LÄN</t>
        </is>
      </c>
      <c r="G498" t="inlineStr">
        <is>
          <t>JÖNKÖPING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7425-2026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46059</v>
      </c>
      <c r="E499" s="1" t="n">
        <v>46250</v>
      </c>
      <c r="F499" t="inlineStr">
        <is>
          <t>JÖNKÖPINGS LÄN</t>
        </is>
      </c>
      <c r="G499" t="inlineStr">
        <is>
          <t>JÖNKÖPING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46250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3667-2026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46043</v>
      </c>
      <c r="E501" s="1" t="n">
        <v>46250</v>
      </c>
      <c r="F501" t="inlineStr">
        <is>
          <t>JÖNKÖPINGS LÄN</t>
        </is>
      </c>
      <c r="G501" t="inlineStr">
        <is>
          <t>JÖNKÖPING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46250</v>
      </c>
      <c r="F502" t="inlineStr">
        <is>
          <t>JÖNKÖPINGS LÄN</t>
        </is>
      </c>
      <c r="G502" t="inlineStr">
        <is>
          <t>JÖNKÖPING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45471</v>
      </c>
      <c r="E503" s="1" t="n">
        <v>46250</v>
      </c>
      <c r="F503" t="inlineStr">
        <is>
          <t>JÖNKÖPINGS LÄN</t>
        </is>
      </c>
      <c r="G503" t="inlineStr">
        <is>
          <t>JÖNKÖPING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46250</v>
      </c>
      <c r="F504" t="inlineStr">
        <is>
          <t>JÖNKÖPINGS LÄN</t>
        </is>
      </c>
      <c r="G504" t="inlineStr">
        <is>
          <t>JÖNKÖPING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45841</v>
      </c>
      <c r="E505" s="1" t="n">
        <v>46250</v>
      </c>
      <c r="F505" t="inlineStr">
        <is>
          <t>JÖNKÖPINGS LÄN</t>
        </is>
      </c>
      <c r="G505" t="inlineStr">
        <is>
          <t>JÖNKÖPING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46250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46250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46250</v>
      </c>
      <c r="F508" t="inlineStr">
        <is>
          <t>JÖNKÖPINGS LÄN</t>
        </is>
      </c>
      <c r="G508" t="inlineStr">
        <is>
          <t>JÖNKÖPING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46250</v>
      </c>
      <c r="F509" t="inlineStr">
        <is>
          <t>JÖNKÖPINGS LÄN</t>
        </is>
      </c>
      <c r="G509" t="inlineStr">
        <is>
          <t>JÖNKÖPING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46250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Övriga Aktiebolag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44998</v>
      </c>
      <c r="E511" s="1" t="n">
        <v>46250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45682</v>
      </c>
      <c r="E512" s="1" t="n">
        <v>46250</v>
      </c>
      <c r="F512" t="inlineStr">
        <is>
          <t>JÖNKÖPINGS LÄN</t>
        </is>
      </c>
      <c r="G512" t="inlineStr">
        <is>
          <t>JÖNKÖPING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26378-2022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44735</v>
      </c>
      <c r="E513" s="1" t="n">
        <v>46250</v>
      </c>
      <c r="F513" t="inlineStr">
        <is>
          <t>JÖNKÖPINGS LÄN</t>
        </is>
      </c>
      <c r="G513" t="inlineStr">
        <is>
          <t>JÖNKÖPING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46250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4805-2026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46048</v>
      </c>
      <c r="E515" s="1" t="n">
        <v>46250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46250</v>
      </c>
      <c r="F516" t="inlineStr">
        <is>
          <t>JÖNKÖPINGS LÄN</t>
        </is>
      </c>
      <c r="G516" t="inlineStr">
        <is>
          <t>JÖNKÖPING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45673</v>
      </c>
      <c r="E517" s="1" t="n">
        <v>46250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46250</v>
      </c>
      <c r="F518" t="inlineStr">
        <is>
          <t>JÖNKÖPINGS LÄN</t>
        </is>
      </c>
      <c r="G518" t="inlineStr">
        <is>
          <t>JÖNKÖPING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5332-2026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46050</v>
      </c>
      <c r="E519" s="1" t="n">
        <v>46250</v>
      </c>
      <c r="F519" t="inlineStr">
        <is>
          <t>JÖNKÖPINGS LÄN</t>
        </is>
      </c>
      <c r="G519" t="inlineStr">
        <is>
          <t>JÖNKÖPING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46250</v>
      </c>
      <c r="F520" t="inlineStr">
        <is>
          <t>JÖNKÖPINGS LÄN</t>
        </is>
      </c>
      <c r="G520" t="inlineStr">
        <is>
          <t>JÖNKÖPING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46250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46250</v>
      </c>
      <c r="F522" t="inlineStr">
        <is>
          <t>JÖNKÖPINGS LÄN</t>
        </is>
      </c>
      <c r="G522" t="inlineStr">
        <is>
          <t>JÖNKÖPING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46250</v>
      </c>
      <c r="F523" t="inlineStr">
        <is>
          <t>JÖNKÖPINGS LÄN</t>
        </is>
      </c>
      <c r="G523" t="inlineStr">
        <is>
          <t>JÖNKÖPING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45401</v>
      </c>
      <c r="E524" s="1" t="n">
        <v>46250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46250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46250</v>
      </c>
      <c r="F526" t="inlineStr">
        <is>
          <t>JÖNKÖPINGS LÄN</t>
        </is>
      </c>
      <c r="G526" t="inlineStr">
        <is>
          <t>JÖNKÖPING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46250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46250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46250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45272</v>
      </c>
      <c r="E530" s="1" t="n">
        <v>46250</v>
      </c>
      <c r="F530" t="inlineStr">
        <is>
          <t>JÖNKÖPINGS LÄN</t>
        </is>
      </c>
      <c r="G530" t="inlineStr">
        <is>
          <t>JÖNKÖPING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46250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46250</v>
      </c>
      <c r="F532" t="inlineStr">
        <is>
          <t>JÖNKÖPINGS LÄN</t>
        </is>
      </c>
      <c r="G532" t="inlineStr">
        <is>
          <t>JÖNKÖPING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45127</v>
      </c>
      <c r="E533" s="1" t="n">
        <v>46250</v>
      </c>
      <c r="F533" t="inlineStr">
        <is>
          <t>JÖNKÖPINGS LÄN</t>
        </is>
      </c>
      <c r="G533" t="inlineStr">
        <is>
          <t>JÖNKÖPING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44967</v>
      </c>
      <c r="E534" s="1" t="n">
        <v>46250</v>
      </c>
      <c r="F534" t="inlineStr">
        <is>
          <t>JÖNKÖPINGS LÄN</t>
        </is>
      </c>
      <c r="G534" t="inlineStr">
        <is>
          <t>JÖNKÖPING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45605</v>
      </c>
      <c r="E535" s="1" t="n">
        <v>46250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54876-2022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44886</v>
      </c>
      <c r="E536" s="1" t="n">
        <v>46250</v>
      </c>
      <c r="F536" t="inlineStr">
        <is>
          <t>JÖNKÖPINGS LÄN</t>
        </is>
      </c>
      <c r="G536" t="inlineStr">
        <is>
          <t>JÖNKÖPING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45043</v>
      </c>
      <c r="E537" s="1" t="n">
        <v>46250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45152</v>
      </c>
      <c r="E538" s="1" t="n">
        <v>46250</v>
      </c>
      <c r="F538" t="inlineStr">
        <is>
          <t>JÖNKÖPINGS LÄN</t>
        </is>
      </c>
      <c r="G538" t="inlineStr">
        <is>
          <t>JÖNKÖPING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46250</v>
      </c>
      <c r="F539" t="inlineStr">
        <is>
          <t>JÖNKÖPINGS LÄN</t>
        </is>
      </c>
      <c r="G539" t="inlineStr">
        <is>
          <t>JÖNKÖPING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45757</v>
      </c>
      <c r="E540" s="1" t="n">
        <v>46250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44741</v>
      </c>
      <c r="E541" s="1" t="n">
        <v>46250</v>
      </c>
      <c r="F541" t="inlineStr">
        <is>
          <t>JÖNKÖPINGS LÄN</t>
        </is>
      </c>
      <c r="G541" t="inlineStr">
        <is>
          <t>JÖNKÖPING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46250</v>
      </c>
      <c r="F542" t="inlineStr">
        <is>
          <t>JÖNKÖPINGS LÄN</t>
        </is>
      </c>
      <c r="G542" t="inlineStr">
        <is>
          <t>JÖNKÖPING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46250</v>
      </c>
      <c r="F543" t="inlineStr">
        <is>
          <t>JÖNKÖPINGS LÄN</t>
        </is>
      </c>
      <c r="G543" t="inlineStr">
        <is>
          <t>JÖNKÖPING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46250</v>
      </c>
      <c r="F544" t="inlineStr">
        <is>
          <t>JÖNKÖPINGS LÄN</t>
        </is>
      </c>
      <c r="G544" t="inlineStr">
        <is>
          <t>JÖNKÖPING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46250</v>
      </c>
      <c r="F545" t="inlineStr">
        <is>
          <t>JÖNKÖPINGS LÄN</t>
        </is>
      </c>
      <c r="G545" t="inlineStr">
        <is>
          <t>JÖNKÖPING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46250</v>
      </c>
      <c r="F546" t="inlineStr">
        <is>
          <t>JÖNKÖPINGS LÄN</t>
        </is>
      </c>
      <c r="G546" t="inlineStr">
        <is>
          <t>JÖNKÖPING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46250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46250</v>
      </c>
      <c r="F548" t="inlineStr">
        <is>
          <t>JÖNKÖPINGS LÄN</t>
        </is>
      </c>
      <c r="G548" t="inlineStr">
        <is>
          <t>JÖNKÖPING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46250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7823-2026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46250</v>
      </c>
      <c r="F550" t="inlineStr">
        <is>
          <t>JÖNKÖPINGS LÄN</t>
        </is>
      </c>
      <c r="G550" t="inlineStr">
        <is>
          <t>JÖNKÖPING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44631</v>
      </c>
      <c r="E551" s="1" t="n">
        <v>46250</v>
      </c>
      <c r="F551" t="inlineStr">
        <is>
          <t>JÖNKÖPINGS LÄN</t>
        </is>
      </c>
      <c r="G551" t="inlineStr">
        <is>
          <t>JÖNKÖPING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46250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46250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46250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46250</v>
      </c>
      <c r="F555" t="inlineStr">
        <is>
          <t>JÖNKÖPINGS LÄN</t>
        </is>
      </c>
      <c r="G555" t="inlineStr">
        <is>
          <t>JÖNKÖPING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46250</v>
      </c>
      <c r="F556" t="inlineStr">
        <is>
          <t>JÖNKÖPINGS LÄN</t>
        </is>
      </c>
      <c r="G556" t="inlineStr">
        <is>
          <t>JÖNKÖPING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56062-2023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45240</v>
      </c>
      <c r="E557" s="1" t="n">
        <v>46250</v>
      </c>
      <c r="F557" t="inlineStr">
        <is>
          <t>JÖNKÖPINGS LÄN</t>
        </is>
      </c>
      <c r="G557" t="inlineStr">
        <is>
          <t>JÖNKÖPING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45642</v>
      </c>
      <c r="E558" s="1" t="n">
        <v>46250</v>
      </c>
      <c r="F558" t="inlineStr">
        <is>
          <t>JÖNKÖPINGS LÄN</t>
        </is>
      </c>
      <c r="G558" t="inlineStr">
        <is>
          <t>JÖNKÖPING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46250</v>
      </c>
      <c r="F559" t="inlineStr">
        <is>
          <t>JÖNKÖPINGS LÄN</t>
        </is>
      </c>
      <c r="G559" t="inlineStr">
        <is>
          <t>JÖNKÖPING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45875</v>
      </c>
      <c r="E560" s="1" t="n">
        <v>46250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46250</v>
      </c>
      <c r="F561" t="inlineStr">
        <is>
          <t>JÖNKÖPINGS LÄN</t>
        </is>
      </c>
      <c r="G561" t="inlineStr">
        <is>
          <t>JÖNKÖPING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9073-2026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46069</v>
      </c>
      <c r="E562" s="1" t="n">
        <v>46250</v>
      </c>
      <c r="F562" t="inlineStr">
        <is>
          <t>JÖNKÖPINGS LÄN</t>
        </is>
      </c>
      <c r="G562" t="inlineStr">
        <is>
          <t>JÖNKÖPING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9020-2026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46069</v>
      </c>
      <c r="E563" s="1" t="n">
        <v>46250</v>
      </c>
      <c r="F563" t="inlineStr">
        <is>
          <t>JÖNKÖPINGS LÄN</t>
        </is>
      </c>
      <c r="G563" t="inlineStr">
        <is>
          <t>JÖNKÖPING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46250</v>
      </c>
      <c r="F564" t="inlineStr">
        <is>
          <t>JÖNKÖPINGS LÄN</t>
        </is>
      </c>
      <c r="G564" t="inlineStr">
        <is>
          <t>JÖNKÖPING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9067-2026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46069</v>
      </c>
      <c r="E565" s="1" t="n">
        <v>46250</v>
      </c>
      <c r="F565" t="inlineStr">
        <is>
          <t>JÖNKÖPINGS LÄN</t>
        </is>
      </c>
      <c r="G565" t="inlineStr">
        <is>
          <t>JÖNKÖPING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46250</v>
      </c>
      <c r="F566" t="inlineStr">
        <is>
          <t>JÖNKÖPINGS LÄN</t>
        </is>
      </c>
      <c r="G566" t="inlineStr">
        <is>
          <t>JÖNKÖPING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45588</v>
      </c>
      <c r="E567" s="1" t="n">
        <v>46250</v>
      </c>
      <c r="F567" t="inlineStr">
        <is>
          <t>JÖNKÖPINGS LÄN</t>
        </is>
      </c>
      <c r="G567" t="inlineStr">
        <is>
          <t>JÖNKÖPING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45587</v>
      </c>
      <c r="E568" s="1" t="n">
        <v>46250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53256-2021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44468</v>
      </c>
      <c r="E569" s="1" t="n">
        <v>46250</v>
      </c>
      <c r="F569" t="inlineStr">
        <is>
          <t>JÖNKÖPINGS LÄN</t>
        </is>
      </c>
      <c r="G569" t="inlineStr">
        <is>
          <t>JÖNKÖPING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9924-2023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44985</v>
      </c>
      <c r="E570" s="1" t="n">
        <v>46250</v>
      </c>
      <c r="F570" t="inlineStr">
        <is>
          <t>JÖNKÖPINGS LÄN</t>
        </is>
      </c>
      <c r="G570" t="inlineStr">
        <is>
          <t>JÖNKÖPING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46250</v>
      </c>
      <c r="F571" t="inlineStr">
        <is>
          <t>JÖNKÖPINGS LÄN</t>
        </is>
      </c>
      <c r="G571" t="inlineStr">
        <is>
          <t>JÖNKÖPING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46250</v>
      </c>
      <c r="F572" t="inlineStr">
        <is>
          <t>JÖNKÖPINGS LÄN</t>
        </is>
      </c>
      <c r="G572" t="inlineStr">
        <is>
          <t>JÖNKÖPING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46250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9376-2026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46250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45099</v>
      </c>
      <c r="E575" s="1" t="n">
        <v>46250</v>
      </c>
      <c r="F575" t="inlineStr">
        <is>
          <t>JÖNKÖPINGS LÄN</t>
        </is>
      </c>
      <c r="G575" t="inlineStr">
        <is>
          <t>JÖNKÖPING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45363</v>
      </c>
      <c r="E576" s="1" t="n">
        <v>46250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46250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45223</v>
      </c>
      <c r="E578" s="1" t="n">
        <v>46250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45181</v>
      </c>
      <c r="E579" s="1" t="n">
        <v>46250</v>
      </c>
      <c r="F579" t="inlineStr">
        <is>
          <t>JÖNKÖPINGS LÄN</t>
        </is>
      </c>
      <c r="G579" t="inlineStr">
        <is>
          <t>JÖNKÖPING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9926-2026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46073</v>
      </c>
      <c r="E580" s="1" t="n">
        <v>46250</v>
      </c>
      <c r="F580" t="inlineStr">
        <is>
          <t>JÖNKÖPINGS LÄN</t>
        </is>
      </c>
      <c r="G580" t="inlineStr">
        <is>
          <t>JÖNKÖPING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59110-2022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46250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Kommuner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45734</v>
      </c>
      <c r="E582" s="1" t="n">
        <v>46250</v>
      </c>
      <c r="F582" t="inlineStr">
        <is>
          <t>JÖNKÖPINGS LÄN</t>
        </is>
      </c>
      <c r="G582" t="inlineStr">
        <is>
          <t>JÖNKÖPING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57930-2021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44487</v>
      </c>
      <c r="E583" s="1" t="n">
        <v>46250</v>
      </c>
      <c r="F583" t="inlineStr">
        <is>
          <t>JÖNKÖPINGS LÄN</t>
        </is>
      </c>
      <c r="G583" t="inlineStr">
        <is>
          <t>JÖNKÖPING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8809-2024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45356</v>
      </c>
      <c r="E584" s="1" t="n">
        <v>46250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46250</v>
      </c>
      <c r="F585" t="inlineStr">
        <is>
          <t>JÖNKÖPINGS LÄN</t>
        </is>
      </c>
      <c r="G585" t="inlineStr">
        <is>
          <t>JÖNKÖPING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46250</v>
      </c>
      <c r="F586" t="inlineStr">
        <is>
          <t>JÖNKÖPINGS LÄN</t>
        </is>
      </c>
      <c r="G586" t="inlineStr">
        <is>
          <t>JÖNKÖPING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46250</v>
      </c>
      <c r="F587" t="inlineStr">
        <is>
          <t>JÖNKÖPINGS LÄN</t>
        </is>
      </c>
      <c r="G587" t="inlineStr">
        <is>
          <t>JÖNKÖPING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46250</v>
      </c>
      <c r="F588" t="inlineStr">
        <is>
          <t>JÖNKÖPINGS LÄN</t>
        </is>
      </c>
      <c r="G588" t="inlineStr">
        <is>
          <t>JÖNKÖPING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46250</v>
      </c>
      <c r="F589" t="inlineStr">
        <is>
          <t>JÖNKÖPINGS LÄN</t>
        </is>
      </c>
      <c r="G589" t="inlineStr">
        <is>
          <t>JÖNKÖPING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45775</v>
      </c>
      <c r="E590" s="1" t="n">
        <v>46250</v>
      </c>
      <c r="F590" t="inlineStr">
        <is>
          <t>JÖNKÖPINGS LÄN</t>
        </is>
      </c>
      <c r="G590" t="inlineStr">
        <is>
          <t>JÖNKÖPING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44882</v>
      </c>
      <c r="E591" s="1" t="n">
        <v>46250</v>
      </c>
      <c r="F591" t="inlineStr">
        <is>
          <t>JÖNKÖPINGS LÄN</t>
        </is>
      </c>
      <c r="G591" t="inlineStr">
        <is>
          <t>JÖNKÖPING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46250</v>
      </c>
      <c r="F592" t="inlineStr">
        <is>
          <t>JÖNKÖPINGS LÄN</t>
        </is>
      </c>
      <c r="G592" t="inlineStr">
        <is>
          <t>JÖNKÖPING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45201</v>
      </c>
      <c r="E593" s="1" t="n">
        <v>46250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Kyrkan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45545</v>
      </c>
      <c r="E594" s="1" t="n">
        <v>46250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46250</v>
      </c>
      <c r="F595" t="inlineStr">
        <is>
          <t>JÖNKÖPINGS LÄN</t>
        </is>
      </c>
      <c r="G595" t="inlineStr">
        <is>
          <t>JÖNKÖPING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46250</v>
      </c>
      <c r="F596" t="inlineStr">
        <is>
          <t>JÖNKÖPINGS LÄN</t>
        </is>
      </c>
      <c r="G596" t="inlineStr">
        <is>
          <t>JÖNKÖPING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8554-2024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45355</v>
      </c>
      <c r="E597" s="1" t="n">
        <v>46250</v>
      </c>
      <c r="F597" t="inlineStr">
        <is>
          <t>JÖNKÖPINGS LÄN</t>
        </is>
      </c>
      <c r="G597" t="inlineStr">
        <is>
          <t>JÖNKÖPING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45324</v>
      </c>
      <c r="E598" s="1" t="n">
        <v>46250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46250</v>
      </c>
      <c r="F599" t="inlineStr">
        <is>
          <t>JÖNKÖPINGS LÄN</t>
        </is>
      </c>
      <c r="G599" t="inlineStr">
        <is>
          <t>JÖNKÖPING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44904</v>
      </c>
      <c r="E600" s="1" t="n">
        <v>46250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44904</v>
      </c>
      <c r="E601" s="1" t="n">
        <v>46250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62332-2022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46250</v>
      </c>
      <c r="F602" t="inlineStr">
        <is>
          <t>JÖNKÖPINGS LÄN</t>
        </is>
      </c>
      <c r="G602" t="inlineStr">
        <is>
          <t>JÖNKÖPING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46250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46250</v>
      </c>
      <c r="F604" t="inlineStr">
        <is>
          <t>JÖNKÖPINGS LÄN</t>
        </is>
      </c>
      <c r="G604" t="inlineStr">
        <is>
          <t>JÖNKÖPING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45056</v>
      </c>
      <c r="E605" s="1" t="n">
        <v>46250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46250</v>
      </c>
      <c r="F606" t="inlineStr">
        <is>
          <t>JÖNKÖPINGS LÄN</t>
        </is>
      </c>
      <c r="G606" t="inlineStr">
        <is>
          <t>JÖNKÖPING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45757</v>
      </c>
      <c r="E607" s="1" t="n">
        <v>46250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45351</v>
      </c>
      <c r="E608" s="1" t="n">
        <v>46250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46250</v>
      </c>
      <c r="F609" t="inlineStr">
        <is>
          <t>JÖNKÖPINGS LÄN</t>
        </is>
      </c>
      <c r="G609" t="inlineStr">
        <is>
          <t>JÖNKÖPING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51188-2023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45219</v>
      </c>
      <c r="E610" s="1" t="n">
        <v>46250</v>
      </c>
      <c r="F610" t="inlineStr">
        <is>
          <t>JÖNKÖPINGS LÄN</t>
        </is>
      </c>
      <c r="G610" t="inlineStr">
        <is>
          <t>JÖNKÖPING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57413-2021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44483</v>
      </c>
      <c r="E611" s="1" t="n">
        <v>46250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46250</v>
      </c>
      <c r="F612" t="inlineStr">
        <is>
          <t>JÖNKÖPINGS LÄN</t>
        </is>
      </c>
      <c r="G612" t="inlineStr">
        <is>
          <t>JÖNKÖPING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26441-2023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46250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46250</v>
      </c>
      <c r="F614" t="inlineStr">
        <is>
          <t>JÖNKÖPINGS LÄN</t>
        </is>
      </c>
      <c r="G614" t="inlineStr">
        <is>
          <t>JÖNKÖPING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46250</v>
      </c>
      <c r="F615" t="inlineStr">
        <is>
          <t>JÖNKÖPINGS LÄN</t>
        </is>
      </c>
      <c r="G615" t="inlineStr">
        <is>
          <t>JÖNKÖPING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45406</v>
      </c>
      <c r="E616" s="1" t="n">
        <v>46250</v>
      </c>
      <c r="F616" t="inlineStr">
        <is>
          <t>JÖNKÖPINGS LÄN</t>
        </is>
      </c>
      <c r="G616" t="inlineStr">
        <is>
          <t>JÖNKÖPING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45111</v>
      </c>
      <c r="E617" s="1" t="n">
        <v>46250</v>
      </c>
      <c r="F617" t="inlineStr">
        <is>
          <t>JÖNKÖPINGS LÄN</t>
        </is>
      </c>
      <c r="G617" t="inlineStr">
        <is>
          <t>JÖNKÖPING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45112</v>
      </c>
      <c r="E618" s="1" t="n">
        <v>46250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46250</v>
      </c>
      <c r="F619" t="inlineStr">
        <is>
          <t>JÖNKÖPINGS LÄN</t>
        </is>
      </c>
      <c r="G619" t="inlineStr">
        <is>
          <t>JÖNKÖPING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46250</v>
      </c>
      <c r="F620" t="inlineStr">
        <is>
          <t>JÖNKÖPINGS LÄN</t>
        </is>
      </c>
      <c r="G620" t="inlineStr">
        <is>
          <t>JÖNKÖPING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46250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45119</v>
      </c>
      <c r="E622" s="1" t="n">
        <v>46250</v>
      </c>
      <c r="F622" t="inlineStr">
        <is>
          <t>JÖNKÖPINGS LÄN</t>
        </is>
      </c>
      <c r="G622" t="inlineStr">
        <is>
          <t>JÖNKÖPING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45331</v>
      </c>
      <c r="E623" s="1" t="n">
        <v>46250</v>
      </c>
      <c r="F623" t="inlineStr">
        <is>
          <t>JÖNKÖPINGS LÄN</t>
        </is>
      </c>
      <c r="G623" t="inlineStr">
        <is>
          <t>JÖNKÖPING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30547-2024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45492</v>
      </c>
      <c r="E624" s="1" t="n">
        <v>46250</v>
      </c>
      <c r="F624" t="inlineStr">
        <is>
          <t>JÖNKÖPINGS LÄN</t>
        </is>
      </c>
      <c r="G624" t="inlineStr">
        <is>
          <t>JÖNKÖPING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46250</v>
      </c>
      <c r="F625" t="inlineStr">
        <is>
          <t>JÖNKÖPINGS LÄN</t>
        </is>
      </c>
      <c r="G625" t="inlineStr">
        <is>
          <t>JÖNKÖPING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46250</v>
      </c>
      <c r="F626" t="inlineStr">
        <is>
          <t>JÖNKÖPINGS LÄN</t>
        </is>
      </c>
      <c r="G626" t="inlineStr">
        <is>
          <t>JÖNKÖPING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45116</v>
      </c>
      <c r="E627" s="1" t="n">
        <v>46250</v>
      </c>
      <c r="F627" t="inlineStr">
        <is>
          <t>JÖNKÖPINGS LÄN</t>
        </is>
      </c>
      <c r="G627" t="inlineStr">
        <is>
          <t>JÖNKÖPING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47427-2024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45587</v>
      </c>
      <c r="E628" s="1" t="n">
        <v>46250</v>
      </c>
      <c r="F628" t="inlineStr">
        <is>
          <t>JÖNKÖPINGS LÄN</t>
        </is>
      </c>
      <c r="G628" t="inlineStr">
        <is>
          <t>JÖNKÖPING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13061-2025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45734</v>
      </c>
      <c r="E629" s="1" t="n">
        <v>46250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44957</v>
      </c>
      <c r="E630" s="1" t="n">
        <v>46250</v>
      </c>
      <c r="F630" t="inlineStr">
        <is>
          <t>JÖNKÖPINGS LÄN</t>
        </is>
      </c>
      <c r="G630" t="inlineStr">
        <is>
          <t>JÖNKÖPING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45118</v>
      </c>
      <c r="E631" s="1" t="n">
        <v>46250</v>
      </c>
      <c r="F631" t="inlineStr">
        <is>
          <t>JÖNKÖPINGS LÄN</t>
        </is>
      </c>
      <c r="G631" t="inlineStr">
        <is>
          <t>JÖNKÖPING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53936-2024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45615</v>
      </c>
      <c r="E632" s="1" t="n">
        <v>46250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45701</v>
      </c>
      <c r="E633" s="1" t="n">
        <v>46250</v>
      </c>
      <c r="F633" t="inlineStr">
        <is>
          <t>JÖNKÖPINGS LÄN</t>
        </is>
      </c>
      <c r="G633" t="inlineStr">
        <is>
          <t>JÖNKÖPING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17819-2025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45758</v>
      </c>
      <c r="E634" s="1" t="n">
        <v>46250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6458-2024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45338</v>
      </c>
      <c r="E635" s="1" t="n">
        <v>46250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Kyrkan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42110-2024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46250</v>
      </c>
      <c r="F636" t="inlineStr">
        <is>
          <t>JÖNKÖPINGS LÄN</t>
        </is>
      </c>
      <c r="G636" t="inlineStr">
        <is>
          <t>JÖNKÖPING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44944</v>
      </c>
      <c r="E637" s="1" t="n">
        <v>46250</v>
      </c>
      <c r="F637" t="inlineStr">
        <is>
          <t>JÖNKÖPINGS LÄN</t>
        </is>
      </c>
      <c r="G637" t="inlineStr">
        <is>
          <t>JÖNKÖPING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9268-2024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46250</v>
      </c>
      <c r="F638" t="inlineStr">
        <is>
          <t>JÖNKÖPINGS LÄN</t>
        </is>
      </c>
      <c r="G638" t="inlineStr">
        <is>
          <t>JÖNKÖPING</t>
        </is>
      </c>
      <c r="I638" t="n">
        <v>8.4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57719-2021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44484</v>
      </c>
      <c r="E639" s="1" t="n">
        <v>46250</v>
      </c>
      <c r="F639" t="inlineStr">
        <is>
          <t>JÖNKÖPINGS LÄN</t>
        </is>
      </c>
      <c r="G639" t="inlineStr">
        <is>
          <t>JÖNKÖPING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18836-2025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45764</v>
      </c>
      <c r="E640" s="1" t="n">
        <v>46250</v>
      </c>
      <c r="F640" t="inlineStr">
        <is>
          <t>JÖNKÖPINGS LÄN</t>
        </is>
      </c>
      <c r="G640" t="inlineStr">
        <is>
          <t>JÖNKÖPING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46250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64650-2023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46250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46250</v>
      </c>
      <c r="F643" t="inlineStr">
        <is>
          <t>JÖNKÖPINGS LÄN</t>
        </is>
      </c>
      <c r="G643" t="inlineStr">
        <is>
          <t>JÖNKÖPING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63551-2023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45275</v>
      </c>
      <c r="E644" s="1" t="n">
        <v>46250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46162</v>
      </c>
      <c r="E645" s="1" t="n">
        <v>46250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45099</v>
      </c>
      <c r="E646" s="1" t="n">
        <v>46250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44628</v>
      </c>
      <c r="E647" s="1" t="n">
        <v>46250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46162</v>
      </c>
      <c r="E648" s="1" t="n">
        <v>46250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46250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46162</v>
      </c>
      <c r="E650" s="1" t="n">
        <v>46250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46250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46162</v>
      </c>
      <c r="E652" s="1" t="n">
        <v>46250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37503-2024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46250</v>
      </c>
      <c r="F653" t="inlineStr">
        <is>
          <t>JÖNKÖPINGS LÄN</t>
        </is>
      </c>
      <c r="G653" t="inlineStr">
        <is>
          <t>JÖNKÖPING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45667</v>
      </c>
      <c r="E654" s="1" t="n">
        <v>46250</v>
      </c>
      <c r="F654" t="inlineStr">
        <is>
          <t>JÖNKÖPINGS LÄN</t>
        </is>
      </c>
      <c r="G654" t="inlineStr">
        <is>
          <t>JÖNKÖPING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63207-2021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44507</v>
      </c>
      <c r="E655" s="1" t="n">
        <v>46250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47190-2024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45586</v>
      </c>
      <c r="E656" s="1" t="n">
        <v>46250</v>
      </c>
      <c r="F656" t="inlineStr">
        <is>
          <t>JÖNKÖPINGS LÄN</t>
        </is>
      </c>
      <c r="G656" t="inlineStr">
        <is>
          <t>JÖNKÖPING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45519</v>
      </c>
      <c r="E657" s="1" t="n">
        <v>46250</v>
      </c>
      <c r="F657" t="inlineStr">
        <is>
          <t>JÖNKÖPINGS LÄN</t>
        </is>
      </c>
      <c r="G657" t="inlineStr">
        <is>
          <t>JÖNKÖPING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46167</v>
      </c>
      <c r="E658" s="1" t="n">
        <v>46250</v>
      </c>
      <c r="F658" t="inlineStr">
        <is>
          <t>JÖNKÖPINGS LÄN</t>
        </is>
      </c>
      <c r="G658" t="inlineStr">
        <is>
          <t>JÖNKÖPING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46250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45124</v>
      </c>
      <c r="E660" s="1" t="n">
        <v>46250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62263-2023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46250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46250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24422-2026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46168</v>
      </c>
      <c r="E663" s="1" t="n">
        <v>46250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46250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46250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45460</v>
      </c>
      <c r="E666" s="1" t="n">
        <v>46250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46250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46250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46212</v>
      </c>
      <c r="E669" s="1" t="n">
        <v>46250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46250</v>
      </c>
      <c r="F670" t="inlineStr">
        <is>
          <t>JÖNKÖPINGS LÄN</t>
        </is>
      </c>
      <c r="G670" t="inlineStr">
        <is>
          <t>JÖNKÖPING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46250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46250</v>
      </c>
      <c r="F672" t="inlineStr">
        <is>
          <t>JÖNKÖPINGS LÄN</t>
        </is>
      </c>
      <c r="G672" t="inlineStr">
        <is>
          <t>JÖNKÖPING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30724-2026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46211</v>
      </c>
      <c r="E673" s="1" t="n">
        <v>46250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30734-2026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46211</v>
      </c>
      <c r="E674" s="1" t="n">
        <v>46250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46250</v>
      </c>
      <c r="F675" t="inlineStr">
        <is>
          <t>JÖNKÖPINGS LÄN</t>
        </is>
      </c>
      <c r="G675" t="inlineStr">
        <is>
          <t>JÖNKÖPING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7177-2022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44605</v>
      </c>
      <c r="E676" s="1" t="n">
        <v>46250</v>
      </c>
      <c r="F676" t="inlineStr">
        <is>
          <t>JÖNKÖPINGS LÄN</t>
        </is>
      </c>
      <c r="G676" t="inlineStr">
        <is>
          <t>JÖNKÖPING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46250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46211</v>
      </c>
      <c r="E678" s="1" t="n">
        <v>46250</v>
      </c>
      <c r="F678" t="inlineStr">
        <is>
          <t>JÖNKÖPINGS LÄN</t>
        </is>
      </c>
      <c r="G678" t="inlineStr">
        <is>
          <t>JÖNKÖPING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46211</v>
      </c>
      <c r="E679" s="1" t="n">
        <v>46250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46211</v>
      </c>
      <c r="E680" s="1" t="n">
        <v>46250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46250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45175</v>
      </c>
      <c r="E682" s="1" t="n">
        <v>46250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61523-2024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45646</v>
      </c>
      <c r="E683" s="1" t="n">
        <v>46250</v>
      </c>
      <c r="F683" t="inlineStr">
        <is>
          <t>JÖNKÖPINGS LÄN</t>
        </is>
      </c>
      <c r="G683" t="inlineStr">
        <is>
          <t>JÖNKÖPING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45551</v>
      </c>
      <c r="E684" s="1" t="n">
        <v>46250</v>
      </c>
      <c r="F684" t="inlineStr">
        <is>
          <t>JÖNKÖPINGS LÄN</t>
        </is>
      </c>
      <c r="G684" t="inlineStr">
        <is>
          <t>JÖNKÖPING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46250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46250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44628</v>
      </c>
      <c r="E687" s="1" t="n">
        <v>46250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45350</v>
      </c>
      <c r="E688" s="1" t="n">
        <v>46250</v>
      </c>
      <c r="F688" t="inlineStr">
        <is>
          <t>JÖNKÖPINGS LÄN</t>
        </is>
      </c>
      <c r="G688" t="inlineStr">
        <is>
          <t>JÖNKÖPING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46250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18846-2025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45764</v>
      </c>
      <c r="E690" s="1" t="n">
        <v>46250</v>
      </c>
      <c r="F690" t="inlineStr">
        <is>
          <t>JÖNKÖPINGS LÄN</t>
        </is>
      </c>
      <c r="G690" t="inlineStr">
        <is>
          <t>JÖNKÖPING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46250</v>
      </c>
      <c r="F691" t="inlineStr">
        <is>
          <t>JÖNKÖPINGS LÄN</t>
        </is>
      </c>
      <c r="G691" t="inlineStr">
        <is>
          <t>JÖNKÖPING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15884-2024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45405</v>
      </c>
      <c r="E692" s="1" t="n">
        <v>46250</v>
      </c>
      <c r="F692" t="inlineStr">
        <is>
          <t>JÖNKÖPINGS LÄN</t>
        </is>
      </c>
      <c r="G692" t="inlineStr">
        <is>
          <t>JÖNKÖPING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45405</v>
      </c>
      <c r="E693" s="1" t="n">
        <v>46250</v>
      </c>
      <c r="F693" t="inlineStr">
        <is>
          <t>JÖNKÖPINGS LÄN</t>
        </is>
      </c>
      <c r="G693" t="inlineStr">
        <is>
          <t>JÖNKÖPING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43782-2024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45570</v>
      </c>
      <c r="E694" s="1" t="n">
        <v>46250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44697-2023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45184</v>
      </c>
      <c r="E695" s="1" t="n">
        <v>46250</v>
      </c>
      <c r="F695" t="inlineStr">
        <is>
          <t>JÖNKÖPINGS LÄN</t>
        </is>
      </c>
      <c r="G695" t="inlineStr">
        <is>
          <t>JÖNKÖPING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38918-2024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46250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44578</v>
      </c>
      <c r="E697" s="1" t="n">
        <v>46250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44592</v>
      </c>
      <c r="E698" s="1" t="n">
        <v>46250</v>
      </c>
      <c r="F698" t="inlineStr">
        <is>
          <t>JÖNKÖPINGS LÄN</t>
        </is>
      </c>
      <c r="G698" t="inlineStr">
        <is>
          <t>JÖNKÖPING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45793</v>
      </c>
      <c r="E699" s="1" t="n">
        <v>46250</v>
      </c>
      <c r="F699" t="inlineStr">
        <is>
          <t>JÖNKÖPINGS LÄN</t>
        </is>
      </c>
      <c r="G699" t="inlineStr">
        <is>
          <t>JÖNKÖPING</t>
        </is>
      </c>
      <c r="I699" t="n">
        <v>15.5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37510-2024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45541</v>
      </c>
      <c r="E700" s="1" t="n">
        <v>46250</v>
      </c>
      <c r="F700" t="inlineStr">
        <is>
          <t>JÖNKÖPINGS LÄN</t>
        </is>
      </c>
      <c r="G700" t="inlineStr">
        <is>
          <t>JÖNKÖPING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45412</v>
      </c>
      <c r="E701" s="1" t="n">
        <v>46250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39650-2024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45552</v>
      </c>
      <c r="E702" s="1" t="n">
        <v>46250</v>
      </c>
      <c r="F702" t="inlineStr">
        <is>
          <t>JÖNKÖPINGS LÄN</t>
        </is>
      </c>
      <c r="G702" t="inlineStr">
        <is>
          <t>JÖNKÖPING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25079-2024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45462</v>
      </c>
      <c r="E703" s="1" t="n">
        <v>46250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25064-2026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46250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3427-2022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44585</v>
      </c>
      <c r="E705" s="1" t="n">
        <v>46250</v>
      </c>
      <c r="F705" t="inlineStr">
        <is>
          <t>JÖNKÖPINGS LÄN</t>
        </is>
      </c>
      <c r="G705" t="inlineStr">
        <is>
          <t>JÖNKÖPING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25063-2026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46174</v>
      </c>
      <c r="E706" s="1" t="n">
        <v>46250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18607-2025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45763</v>
      </c>
      <c r="E707" s="1" t="n">
        <v>46250</v>
      </c>
      <c r="F707" t="inlineStr">
        <is>
          <t>JÖNKÖPINGS LÄN</t>
        </is>
      </c>
      <c r="G707" t="inlineStr">
        <is>
          <t>JÖNKÖPING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46250</v>
      </c>
      <c r="F708" t="inlineStr">
        <is>
          <t>JÖNKÖPINGS LÄN</t>
        </is>
      </c>
      <c r="G708" t="inlineStr">
        <is>
          <t>JÖNKÖPING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13144-2025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46250</v>
      </c>
      <c r="F709" t="inlineStr">
        <is>
          <t>JÖNKÖPINGS LÄN</t>
        </is>
      </c>
      <c r="G709" t="inlineStr">
        <is>
          <t>JÖNKÖPING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25069-2026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46250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45727</v>
      </c>
      <c r="E711" s="1" t="n">
        <v>46250</v>
      </c>
      <c r="F711" t="inlineStr">
        <is>
          <t>JÖNKÖPINGS LÄN</t>
        </is>
      </c>
      <c r="G711" t="inlineStr">
        <is>
          <t>JÖNKÖPING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12933-2025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45734</v>
      </c>
      <c r="E712" s="1" t="n">
        <v>46250</v>
      </c>
      <c r="F712" t="inlineStr">
        <is>
          <t>JÖNKÖPINGS LÄN</t>
        </is>
      </c>
      <c r="G712" t="inlineStr">
        <is>
          <t>JÖNKÖPING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47009-2025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45929</v>
      </c>
      <c r="E713" s="1" t="n">
        <v>46250</v>
      </c>
      <c r="F713" t="inlineStr">
        <is>
          <t>JÖNKÖPINGS LÄN</t>
        </is>
      </c>
      <c r="G713" t="inlineStr">
        <is>
          <t>JÖNKÖPING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46219</v>
      </c>
      <c r="E714" s="1" t="n">
        <v>46250</v>
      </c>
      <c r="F714" t="inlineStr">
        <is>
          <t>JÖNKÖPINGS LÄN</t>
        </is>
      </c>
      <c r="G714" t="inlineStr">
        <is>
          <t>JÖNKÖPING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61127-2024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45645</v>
      </c>
      <c r="E715" s="1" t="n">
        <v>46250</v>
      </c>
      <c r="F715" t="inlineStr">
        <is>
          <t>JÖNKÖPINGS LÄN</t>
        </is>
      </c>
      <c r="G715" t="inlineStr">
        <is>
          <t>JÖNKÖPING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44696-2023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45184</v>
      </c>
      <c r="E716" s="1" t="n">
        <v>46250</v>
      </c>
      <c r="F716" t="inlineStr">
        <is>
          <t>JÖNKÖPINGS LÄN</t>
        </is>
      </c>
      <c r="G716" t="inlineStr">
        <is>
          <t>JÖNKÖPING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46219</v>
      </c>
      <c r="E717" s="1" t="n">
        <v>46250</v>
      </c>
      <c r="F717" t="inlineStr">
        <is>
          <t>JÖNKÖPINGS LÄN</t>
        </is>
      </c>
      <c r="G717" t="inlineStr">
        <is>
          <t>JÖNKÖPING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46250</v>
      </c>
      <c r="F718" t="inlineStr">
        <is>
          <t>JÖNKÖPINGS LÄN</t>
        </is>
      </c>
      <c r="G718" t="inlineStr">
        <is>
          <t>JÖNKÖPING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44992</v>
      </c>
      <c r="E719" s="1" t="n">
        <v>46250</v>
      </c>
      <c r="F719" t="inlineStr">
        <is>
          <t>JÖNKÖPINGS LÄN</t>
        </is>
      </c>
      <c r="G719" t="inlineStr">
        <is>
          <t>JÖNKÖPING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44591</v>
      </c>
      <c r="E720" s="1" t="n">
        <v>46250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44608</v>
      </c>
      <c r="E721" s="1" t="n">
        <v>46250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40273-2023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45169</v>
      </c>
      <c r="E722" s="1" t="n">
        <v>46250</v>
      </c>
      <c r="F722" t="inlineStr">
        <is>
          <t>JÖNKÖPINGS LÄN</t>
        </is>
      </c>
      <c r="G722" t="inlineStr">
        <is>
          <t>JÖNKÖPING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26358-2025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45806</v>
      </c>
      <c r="E723" s="1" t="n">
        <v>46250</v>
      </c>
      <c r="F723" t="inlineStr">
        <is>
          <t>JÖNKÖPINGS LÄN</t>
        </is>
      </c>
      <c r="G723" t="inlineStr">
        <is>
          <t>JÖNKÖPING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45805</v>
      </c>
      <c r="E724" s="1" t="n">
        <v>46250</v>
      </c>
      <c r="F724" t="inlineStr">
        <is>
          <t>JÖNKÖPINGS LÄN</t>
        </is>
      </c>
      <c r="G724" t="inlineStr">
        <is>
          <t>JÖNKÖPING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10720-2022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44626</v>
      </c>
      <c r="E725" s="1" t="n">
        <v>46250</v>
      </c>
      <c r="F725" t="inlineStr">
        <is>
          <t>JÖNKÖPINGS LÄN</t>
        </is>
      </c>
      <c r="G725" t="inlineStr">
        <is>
          <t>JÖNKÖPING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46250</v>
      </c>
      <c r="F726" t="inlineStr">
        <is>
          <t>JÖNKÖPINGS LÄN</t>
        </is>
      </c>
      <c r="G726" t="inlineStr">
        <is>
          <t>JÖNKÖPING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49836-2024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45597</v>
      </c>
      <c r="E727" s="1" t="n">
        <v>46250</v>
      </c>
      <c r="F727" t="inlineStr">
        <is>
          <t>JÖNKÖPINGS LÄN</t>
        </is>
      </c>
      <c r="G727" t="inlineStr">
        <is>
          <t>JÖNKÖPING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20384-2024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45435</v>
      </c>
      <c r="E728" s="1" t="n">
        <v>46250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16652-2023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45030</v>
      </c>
      <c r="E729" s="1" t="n">
        <v>46250</v>
      </c>
      <c r="F729" t="inlineStr">
        <is>
          <t>JÖNKÖPINGS LÄN</t>
        </is>
      </c>
      <c r="G729" t="inlineStr">
        <is>
          <t>JÖNKÖPING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46250</v>
      </c>
      <c r="F730" t="inlineStr">
        <is>
          <t>JÖNKÖPINGS LÄN</t>
        </is>
      </c>
      <c r="G730" t="inlineStr">
        <is>
          <t>JÖNKÖPING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11236-2024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45371</v>
      </c>
      <c r="E731" s="1" t="n">
        <v>46250</v>
      </c>
      <c r="F731" t="inlineStr">
        <is>
          <t>JÖNKÖPINGS LÄN</t>
        </is>
      </c>
      <c r="G731" t="inlineStr">
        <is>
          <t>JÖNKÖPING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54642-2024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45617</v>
      </c>
      <c r="E732" s="1" t="n">
        <v>46250</v>
      </c>
      <c r="F732" t="inlineStr">
        <is>
          <t>JÖNKÖPINGS LÄN</t>
        </is>
      </c>
      <c r="G732" t="inlineStr">
        <is>
          <t>JÖNKÖPING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20425-2023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45056</v>
      </c>
      <c r="E733" s="1" t="n">
        <v>46250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44564</v>
      </c>
      <c r="E734" s="1" t="n">
        <v>46250</v>
      </c>
      <c r="F734" t="inlineStr">
        <is>
          <t>JÖNKÖPINGS LÄN</t>
        </is>
      </c>
      <c r="G734" t="inlineStr">
        <is>
          <t>JÖNKÖPING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27134-2025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45811</v>
      </c>
      <c r="E735" s="1" t="n">
        <v>46250</v>
      </c>
      <c r="F735" t="inlineStr">
        <is>
          <t>JÖNKÖPINGS LÄN</t>
        </is>
      </c>
      <c r="G735" t="inlineStr">
        <is>
          <t>JÖNKÖPING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41305-2023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45174</v>
      </c>
      <c r="E736" s="1" t="n">
        <v>46250</v>
      </c>
      <c r="F736" t="inlineStr">
        <is>
          <t>JÖNKÖPINGS LÄN</t>
        </is>
      </c>
      <c r="G736" t="inlineStr">
        <is>
          <t>JÖNKÖPING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11311-2025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46250</v>
      </c>
      <c r="F737" t="inlineStr">
        <is>
          <t>JÖNKÖPINGS LÄN</t>
        </is>
      </c>
      <c r="G737" t="inlineStr">
        <is>
          <t>JÖNKÖPING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44571</v>
      </c>
      <c r="E738" s="1" t="n">
        <v>46250</v>
      </c>
      <c r="F738" t="inlineStr">
        <is>
          <t>JÖNKÖPINGS LÄN</t>
        </is>
      </c>
      <c r="G738" t="inlineStr">
        <is>
          <t>JÖNKÖPING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60557-2024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46250</v>
      </c>
      <c r="F739" t="inlineStr">
        <is>
          <t>JÖNKÖPINGS LÄN</t>
        </is>
      </c>
      <c r="G739" t="inlineStr">
        <is>
          <t>JÖNKÖPING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42053-2024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45561</v>
      </c>
      <c r="E740" s="1" t="n">
        <v>46250</v>
      </c>
      <c r="F740" t="inlineStr">
        <is>
          <t>JÖNKÖPINGS LÄN</t>
        </is>
      </c>
      <c r="G740" t="inlineStr">
        <is>
          <t>JÖNKÖPING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46230</v>
      </c>
      <c r="E741" s="1" t="n">
        <v>46250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42220-2023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45179</v>
      </c>
      <c r="E742" s="1" t="n">
        <v>46250</v>
      </c>
      <c r="F742" t="inlineStr">
        <is>
          <t>JÖNKÖPINGS LÄN</t>
        </is>
      </c>
      <c r="G742" t="inlineStr">
        <is>
          <t>JÖNKÖPING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46250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45819</v>
      </c>
      <c r="E744" s="1" t="n">
        <v>46250</v>
      </c>
      <c r="F744" t="inlineStr">
        <is>
          <t>JÖNKÖPINGS LÄN</t>
        </is>
      </c>
      <c r="G744" t="inlineStr">
        <is>
          <t>JÖNKÖPING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31772-2026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46250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43054-2023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46250</v>
      </c>
      <c r="F746" t="inlineStr">
        <is>
          <t>JÖNKÖPINGS LÄN</t>
        </is>
      </c>
      <c r="G746" t="inlineStr">
        <is>
          <t>JÖNKÖPING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27791-2026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46189</v>
      </c>
      <c r="E747" s="1" t="n">
        <v>46250</v>
      </c>
      <c r="F747" t="inlineStr">
        <is>
          <t>JÖNKÖPINGS LÄN</t>
        </is>
      </c>
      <c r="G747" t="inlineStr">
        <is>
          <t>JÖNKÖPING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30217-2025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45826</v>
      </c>
      <c r="E748" s="1" t="n">
        <v>46250</v>
      </c>
      <c r="F748" t="inlineStr">
        <is>
          <t>JÖNKÖPINGS LÄN</t>
        </is>
      </c>
      <c r="G748" t="inlineStr">
        <is>
          <t>JÖNKÖPING</t>
        </is>
      </c>
      <c r="I748" t="n">
        <v>11.9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45440</v>
      </c>
      <c r="E749" s="1" t="n">
        <v>46250</v>
      </c>
      <c r="F749" t="inlineStr">
        <is>
          <t>JÖNKÖPINGS LÄN</t>
        </is>
      </c>
      <c r="G749" t="inlineStr">
        <is>
          <t>JÖNKÖPING</t>
        </is>
      </c>
      <c r="I749" t="n">
        <v>5.8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8931-2022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46250</v>
      </c>
      <c r="F750" t="inlineStr">
        <is>
          <t>JÖNKÖPINGS LÄN</t>
        </is>
      </c>
      <c r="G750" t="inlineStr">
        <is>
          <t>JÖNKÖPING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27228-2026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46188</v>
      </c>
      <c r="E751" s="1" t="n">
        <v>46250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44106-2022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44839</v>
      </c>
      <c r="E752" s="1" t="n">
        <v>46250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44659</v>
      </c>
      <c r="E753" s="1" t="n">
        <v>46250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7401-2025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45705</v>
      </c>
      <c r="E754" s="1" t="n">
        <v>46250</v>
      </c>
      <c r="F754" t="inlineStr">
        <is>
          <t>JÖNKÖPINGS LÄN</t>
        </is>
      </c>
      <c r="G754" t="inlineStr">
        <is>
          <t>JÖNKÖPING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46250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46250</v>
      </c>
      <c r="F756" t="inlineStr">
        <is>
          <t>JÖNKÖPINGS LÄN</t>
        </is>
      </c>
      <c r="G756" t="inlineStr">
        <is>
          <t>JÖNKÖPING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46250</v>
      </c>
      <c r="F757" t="inlineStr">
        <is>
          <t>JÖNKÖPINGS LÄN</t>
        </is>
      </c>
      <c r="G757" t="inlineStr">
        <is>
          <t>JÖNKÖPING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32147-2026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46234</v>
      </c>
      <c r="E758" s="1" t="n">
        <v>46250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46250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46250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46250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45842</v>
      </c>
      <c r="E762" s="1" t="n">
        <v>46250</v>
      </c>
      <c r="F762" t="inlineStr">
        <is>
          <t>JÖNKÖPINGS LÄN</t>
        </is>
      </c>
      <c r="G762" t="inlineStr">
        <is>
          <t>JÖNKÖPING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45842</v>
      </c>
      <c r="E763" s="1" t="n">
        <v>46250</v>
      </c>
      <c r="F763" t="inlineStr">
        <is>
          <t>JÖNKÖPINGS LÄN</t>
        </is>
      </c>
      <c r="G763" t="inlineStr">
        <is>
          <t>JÖNKÖPING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45842</v>
      </c>
      <c r="E764" s="1" t="n">
        <v>46250</v>
      </c>
      <c r="F764" t="inlineStr">
        <is>
          <t>JÖNKÖPINGS LÄN</t>
        </is>
      </c>
      <c r="G764" t="inlineStr">
        <is>
          <t>JÖNKÖPING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45456</v>
      </c>
      <c r="E765" s="1" t="n">
        <v>46250</v>
      </c>
      <c r="F765" t="inlineStr">
        <is>
          <t>JÖNKÖPINGS LÄN</t>
        </is>
      </c>
      <c r="G765" t="inlineStr">
        <is>
          <t>JÖNKÖPING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50173-2023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45215</v>
      </c>
      <c r="E766" s="1" t="n">
        <v>46250</v>
      </c>
      <c r="F766" t="inlineStr">
        <is>
          <t>JÖNKÖPINGS LÄN</t>
        </is>
      </c>
      <c r="G766" t="inlineStr">
        <is>
          <t>JÖNKÖPING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15766-2024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45404</v>
      </c>
      <c r="E767" s="1" t="n">
        <v>46250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34024-2024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45523</v>
      </c>
      <c r="E768" s="1" t="n">
        <v>46250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46250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45846</v>
      </c>
      <c r="E770" s="1" t="n">
        <v>46250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34600-2025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45846</v>
      </c>
      <c r="E771" s="1" t="n">
        <v>46250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46250</v>
      </c>
      <c r="F772" t="inlineStr">
        <is>
          <t>JÖNKÖPINGS LÄN</t>
        </is>
      </c>
      <c r="G772" t="inlineStr">
        <is>
          <t>JÖNKÖPING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24329-2025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45797</v>
      </c>
      <c r="E773" s="1" t="n">
        <v>46250</v>
      </c>
      <c r="F773" t="inlineStr">
        <is>
          <t>JÖNKÖPINGS LÄN</t>
        </is>
      </c>
      <c r="G773" t="inlineStr">
        <is>
          <t>JÖNKÖPING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47401-2024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45587</v>
      </c>
      <c r="E774" s="1" t="n">
        <v>46250</v>
      </c>
      <c r="F774" t="inlineStr">
        <is>
          <t>JÖNKÖPINGS LÄN</t>
        </is>
      </c>
      <c r="G774" t="inlineStr">
        <is>
          <t>JÖNKÖPING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44704</v>
      </c>
      <c r="E775" s="1" t="n">
        <v>46250</v>
      </c>
      <c r="F775" t="inlineStr">
        <is>
          <t>JÖNKÖPINGS LÄN</t>
        </is>
      </c>
      <c r="G775" t="inlineStr">
        <is>
          <t>JÖNKÖPING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45198</v>
      </c>
      <c r="E776" s="1" t="n">
        <v>46250</v>
      </c>
      <c r="F776" t="inlineStr">
        <is>
          <t>JÖNKÖPINGS LÄN</t>
        </is>
      </c>
      <c r="G776" t="inlineStr">
        <is>
          <t>JÖNKÖPING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46741-2023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45198</v>
      </c>
      <c r="E777" s="1" t="n">
        <v>46250</v>
      </c>
      <c r="F777" t="inlineStr">
        <is>
          <t>JÖNKÖPINGS LÄN</t>
        </is>
      </c>
      <c r="G777" t="inlineStr">
        <is>
          <t>JÖNKÖPING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46239</v>
      </c>
      <c r="E778" s="1" t="n">
        <v>46250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46250</v>
      </c>
      <c r="F779" t="inlineStr">
        <is>
          <t>JÖNKÖPINGS LÄN</t>
        </is>
      </c>
      <c r="G779" t="inlineStr">
        <is>
          <t>JÖNKÖPING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45751</v>
      </c>
      <c r="E780" s="1" t="n">
        <v>46250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57509-2024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45630</v>
      </c>
      <c r="E781" s="1" t="n">
        <v>46250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29292-2026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46197</v>
      </c>
      <c r="E782" s="1" t="n">
        <v>46250</v>
      </c>
      <c r="F782" t="inlineStr">
        <is>
          <t>JÖNKÖPINGS LÄN</t>
        </is>
      </c>
      <c r="G782" t="inlineStr">
        <is>
          <t>JÖNKÖPING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7033-2025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45701</v>
      </c>
      <c r="E783" s="1" t="n">
        <v>46250</v>
      </c>
      <c r="F783" t="inlineStr">
        <is>
          <t>JÖNKÖPINGS LÄN</t>
        </is>
      </c>
      <c r="G783" t="inlineStr">
        <is>
          <t>JÖNKÖPING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22541-2025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45788</v>
      </c>
      <c r="E784" s="1" t="n">
        <v>46250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35820-2025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45861</v>
      </c>
      <c r="E785" s="1" t="n">
        <v>46250</v>
      </c>
      <c r="F785" t="inlineStr">
        <is>
          <t>JÖNKÖPINGS LÄN</t>
        </is>
      </c>
      <c r="G785" t="inlineStr">
        <is>
          <t>JÖNKÖPING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46201</v>
      </c>
      <c r="E786" s="1" t="n">
        <v>46250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32836-2026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46250</v>
      </c>
      <c r="F787" t="inlineStr">
        <is>
          <t>JÖNKÖPINGS LÄN</t>
        </is>
      </c>
      <c r="G787" t="inlineStr">
        <is>
          <t>JÖNKÖPING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46250</v>
      </c>
      <c r="F788" t="inlineStr">
        <is>
          <t>JÖNKÖPINGS LÄN</t>
        </is>
      </c>
      <c r="G788" t="inlineStr">
        <is>
          <t>JÖNKÖPING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46201</v>
      </c>
      <c r="E789" s="1" t="n">
        <v>46250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45870</v>
      </c>
      <c r="E790" s="1" t="n">
        <v>46250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22542-2025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45788</v>
      </c>
      <c r="E791" s="1" t="n">
        <v>46250</v>
      </c>
      <c r="F791" t="inlineStr">
        <is>
          <t>JÖNKÖPINGS LÄN</t>
        </is>
      </c>
      <c r="G791" t="inlineStr">
        <is>
          <t>JÖNKÖPING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46250</v>
      </c>
      <c r="F792" t="inlineStr">
        <is>
          <t>JÖNKÖPINGS LÄN</t>
        </is>
      </c>
      <c r="G792" t="inlineStr">
        <is>
          <t>JÖNKÖPING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46250</v>
      </c>
      <c r="F793" t="inlineStr">
        <is>
          <t>JÖNKÖPINGS LÄN</t>
        </is>
      </c>
      <c r="G793" t="inlineStr">
        <is>
          <t>JÖNKÖPING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29113-2026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46201</v>
      </c>
      <c r="E794" s="1" t="n">
        <v>46250</v>
      </c>
      <c r="F794" t="inlineStr">
        <is>
          <t>JÖNKÖPINGS LÄN</t>
        </is>
      </c>
      <c r="G794" t="inlineStr">
        <is>
          <t>JÖNKÖPING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12938-2025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45734</v>
      </c>
      <c r="E795" s="1" t="n">
        <v>46250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46250</v>
      </c>
      <c r="F796" t="inlineStr">
        <is>
          <t>JÖNKÖPINGS LÄN</t>
        </is>
      </c>
      <c r="G796" t="inlineStr">
        <is>
          <t>JÖNKÖPING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45875</v>
      </c>
      <c r="E797" s="1" t="n">
        <v>46250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Kommuner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46203</v>
      </c>
      <c r="E798" s="1" t="n">
        <v>46250</v>
      </c>
      <c r="F798" t="inlineStr">
        <is>
          <t>JÖNKÖPINGS LÄN</t>
        </is>
      </c>
      <c r="G798" t="inlineStr">
        <is>
          <t>JÖNKÖPING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46246</v>
      </c>
      <c r="E799" s="1" t="n">
        <v>46250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31405-2026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46220</v>
      </c>
      <c r="E800" s="1" t="n">
        <v>46250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33305-2026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46250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46203</v>
      </c>
      <c r="E802" s="1" t="n">
        <v>46250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46250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46250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46248</v>
      </c>
      <c r="E805" s="1" t="n">
        <v>46250</v>
      </c>
      <c r="F805" t="inlineStr">
        <is>
          <t>JÖNKÖPINGS LÄN</t>
        </is>
      </c>
      <c r="G805" t="inlineStr">
        <is>
          <t>JÖNKÖPING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46250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46250</v>
      </c>
      <c r="F807" t="inlineStr">
        <is>
          <t>JÖNKÖPINGS LÄN</t>
        </is>
      </c>
      <c r="G807" t="inlineStr">
        <is>
          <t>JÖNKÖPING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46247</v>
      </c>
      <c r="E808" s="1" t="n">
        <v>46250</v>
      </c>
      <c r="F808" t="inlineStr">
        <is>
          <t>JÖNKÖPINGS LÄN</t>
        </is>
      </c>
      <c r="G808" t="inlineStr">
        <is>
          <t>JÖNKÖPING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30287-2026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46250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46250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46250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46250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2909-2022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44711</v>
      </c>
      <c r="E813" s="1" t="n">
        <v>46250</v>
      </c>
      <c r="F813" t="inlineStr">
        <is>
          <t>JÖNKÖPINGS LÄN</t>
        </is>
      </c>
      <c r="G813" t="inlineStr">
        <is>
          <t>JÖNKÖPING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45313</v>
      </c>
      <c r="E814" s="1" t="n">
        <v>46250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84.90000000000001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2480-2023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45131</v>
      </c>
      <c r="E815" s="1" t="n">
        <v>46250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66.7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46250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46250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46250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46250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46250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46250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46250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46250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46250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46250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46250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46250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46250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46250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46250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2026-08-16T01:48:26Z</dcterms:created>
  <dcterms:modified xmlns:dcterms="http://purl.org/dc/terms/" xmlns:xsi="http://www.w3.org/2001/XMLSchema-instance" xsi:type="dcterms:W3CDTF">2026-08-16T01:48:27Z</dcterms:modified>
</cp:coreProperties>
</file>