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46306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46306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46306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46306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46306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46306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46306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46306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46306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46306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46306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46306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46306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46306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46306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46306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46306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46306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46306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46306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46306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46306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46306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46306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46306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46306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46306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46306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46306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46306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46306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46306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46306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46306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46306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15760-2026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46107</v>
      </c>
      <c r="E45" s="1" t="n">
        <v>46306</v>
      </c>
      <c r="F45" t="inlineStr">
        <is>
          <t>JÖNKÖPINGS LÄN</t>
        </is>
      </c>
      <c r="G45" t="inlineStr">
        <is>
          <t>JÖNKÖPING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17</v>
      </c>
      <c r="U45" t="n">
        <v>0</v>
      </c>
      <c r="V45" s="2" t="inlineStr">
        <is>
          <t>Ask
Skogsalm
Kruskantarell</t>
        </is>
      </c>
      <c r="W45">
        <f>HYPERLINK("https://klasma.github.io/Logging_0680/artfynd/A 15760-2026 artfynd.xlsx", "A 15760-2026")</f>
        <v/>
      </c>
      <c r="X45">
        <f>HYPERLINK("https://klasma.github.io/Logging_0680/kartor/A 15760-2026 karta.png", "A 15760-2026")</f>
        <v/>
      </c>
      <c r="Y45">
        <f>HYPERLINK("https://klasma.github.io/Logging_0680/kartor_geotiff/A 15760-2026 georefererad karta.tif", "A 15760-2026")</f>
        <v/>
      </c>
      <c r="AA45">
        <f>HYPERLINK("https://klasma.github.io/Logging_0680/klagomål/A 15760-2026 FSC-klagomål.docx", "A 15760-2026")</f>
        <v/>
      </c>
      <c r="AB45">
        <f>HYPERLINK("https://klasma.github.io/Logging_0680/klagomålsmail/A 15760-2026 FSC-klagomål mail.docx", "A 15760-2026")</f>
        <v/>
      </c>
      <c r="AC45">
        <f>HYPERLINK("https://klasma.github.io/Logging_0680/tillsyn/A 15760-2026 tillsynsbegäran.docx", "A 15760-2026")</f>
        <v/>
      </c>
      <c r="AD45">
        <f>HYPERLINK("https://klasma.github.io/Logging_0680/tillsynsmail/A 15760-2026 tillsynsbegäran mail.docx", "A 15760-2026")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46306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46306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46306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46306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46306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22303-2024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46306</v>
      </c>
      <c r="F51" t="inlineStr">
        <is>
          <t>JÖNKÖPINGS LÄN</t>
        </is>
      </c>
      <c r="G51" t="inlineStr">
        <is>
          <t>JÖNKÖPING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Grönvit nattviol</t>
        </is>
      </c>
      <c r="W51">
        <f>HYPERLINK("https://klasma.github.io/Logging_0680/artfynd/A 22303-2024 artfynd.xlsx", "A 22303-2024")</f>
        <v/>
      </c>
      <c r="X51">
        <f>HYPERLINK("https://klasma.github.io/Logging_0680/kartor/A 22303-2024 karta.png", "A 22303-2024")</f>
        <v/>
      </c>
      <c r="Y51">
        <f>HYPERLINK("https://klasma.github.io/Logging_0680/kartor_geotiff/A 22303-2024 georefererad karta.tif", "A 22303-2024")</f>
        <v/>
      </c>
      <c r="AA51">
        <f>HYPERLINK("https://klasma.github.io/Logging_0680/klagomål/A 22303-2024 FSC-klagomål.docx", "A 22303-2024")</f>
        <v/>
      </c>
      <c r="AB51">
        <f>HYPERLINK("https://klasma.github.io/Logging_0680/klagomålsmail/A 22303-2024 FSC-klagomål mail.docx", "A 22303-2024")</f>
        <v/>
      </c>
      <c r="AC51">
        <f>HYPERLINK("https://klasma.github.io/Logging_0680/tillsyn/A 22303-2024 tillsynsbegäran.docx", "A 22303-2024")</f>
        <v/>
      </c>
      <c r="AD51">
        <f>HYPERLINK("https://klasma.github.io/Logging_0680/tillsynsmail/A 22303-2024 tillsynsbegäran mail.docx", "A 22303-2024")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46306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46306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9974-2023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46306</v>
      </c>
      <c r="F54" t="inlineStr">
        <is>
          <t>JÖNKÖPINGS LÄN</t>
        </is>
      </c>
      <c r="G54" t="inlineStr">
        <is>
          <t>JÖNKÖPING</t>
        </is>
      </c>
      <c r="I54" t="n">
        <v>1.2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Entita
Kungsfågel</t>
        </is>
      </c>
      <c r="W54">
        <f>HYPERLINK("https://klasma.github.io/Logging_0680/artfynd/A 9974-2023 artfynd.xlsx", "A 9974-2023")</f>
        <v/>
      </c>
      <c r="X54">
        <f>HYPERLINK("https://klasma.github.io/Logging_0680/kartor/A 9974-2023 karta.png", "A 9974-2023")</f>
        <v/>
      </c>
      <c r="Y54">
        <f>HYPERLINK("https://klasma.github.io/Logging_0680/kartor_geotiff/A 9974-2023 georefererad karta.tif", "A 9974-2023")</f>
        <v/>
      </c>
      <c r="AA54">
        <f>HYPERLINK("https://klasma.github.io/Logging_0680/klagomål/A 9974-2023 FSC-klagomål.docx", "A 9974-2023")</f>
        <v/>
      </c>
      <c r="AB54">
        <f>HYPERLINK("https://klasma.github.io/Logging_0680/klagomålsmail/A 9974-2023 FSC-klagomål mail.docx", "A 9974-2023")</f>
        <v/>
      </c>
      <c r="AC54">
        <f>HYPERLINK("https://klasma.github.io/Logging_0680/tillsyn/A 9974-2023 tillsynsbegäran.docx", "A 9974-2023")</f>
        <v/>
      </c>
      <c r="AD54">
        <f>HYPERLINK("https://klasma.github.io/Logging_0680/tillsynsmail/A 9974-2023 tillsynsbegäran mail.docx", "A 9974-2023")</f>
        <v/>
      </c>
      <c r="AE54">
        <f>HYPERLINK("https://klasma.github.io/Logging_0680/fåglar/A 9974-2023 prioriterade fågelarter.docx", "A 9974-2023")</f>
        <v/>
      </c>
    </row>
    <row r="55" ht="15" customHeight="1">
      <c r="A55" t="inlineStr">
        <is>
          <t>A 23066-2025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45790</v>
      </c>
      <c r="E55" s="1" t="n">
        <v>46306</v>
      </c>
      <c r="F55" t="inlineStr">
        <is>
          <t>JÖNKÖPINGS LÄN</t>
        </is>
      </c>
      <c r="G55" t="inlineStr">
        <is>
          <t>JÖNKÖPING</t>
        </is>
      </c>
      <c r="I55" t="n">
        <v>1.5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Slåttergubbe
Nattviol</t>
        </is>
      </c>
      <c r="W55">
        <f>HYPERLINK("https://klasma.github.io/Logging_0680/artfynd/A 23066-2025 artfynd.xlsx", "A 23066-2025")</f>
        <v/>
      </c>
      <c r="X55">
        <f>HYPERLINK("https://klasma.github.io/Logging_0680/kartor/A 23066-2025 karta.png", "A 23066-2025")</f>
        <v/>
      </c>
      <c r="Y55">
        <f>HYPERLINK("https://klasma.github.io/Logging_0680/kartor_geotiff/A 23066-2025 georefererad karta.tif", "A 23066-2025")</f>
        <v/>
      </c>
      <c r="AA55">
        <f>HYPERLINK("https://klasma.github.io/Logging_0680/klagomål/A 23066-2025 FSC-klagomål.docx", "A 23066-2025")</f>
        <v/>
      </c>
      <c r="AB55">
        <f>HYPERLINK("https://klasma.github.io/Logging_0680/klagomålsmail/A 23066-2025 FSC-klagomål mail.docx", "A 23066-2025")</f>
        <v/>
      </c>
      <c r="AC55">
        <f>HYPERLINK("https://klasma.github.io/Logging_0680/tillsyn/A 23066-2025 tillsynsbegäran.docx", "A 23066-2025")</f>
        <v/>
      </c>
      <c r="AD55">
        <f>HYPERLINK("https://klasma.github.io/Logging_0680/tillsynsmail/A 23066-2025 tillsynsbegäran mail.docx", "A 23066-2025")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46306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3361-2025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46306</v>
      </c>
      <c r="F57" t="inlineStr">
        <is>
          <t>JÖNKÖPINGS LÄN</t>
        </is>
      </c>
      <c r="G57" t="inlineStr">
        <is>
          <t>JÖNKÖPING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2</v>
      </c>
      <c r="V57" s="2" t="inlineStr">
        <is>
          <t>Vårärt
Blåsippa</t>
        </is>
      </c>
      <c r="W57">
        <f>HYPERLINK("https://klasma.github.io/Logging_0680/artfynd/A 3361-2025 artfynd.xlsx", "A 3361-2025")</f>
        <v/>
      </c>
      <c r="X57">
        <f>HYPERLINK("https://klasma.github.io/Logging_0680/kartor/A 3361-2025 karta.png", "A 3361-2025")</f>
        <v/>
      </c>
      <c r="Y57">
        <f>HYPERLINK("https://klasma.github.io/Logging_0680/kartor_geotiff/A 3361-2025 georefererad karta.tif", "A 3361-2025")</f>
        <v/>
      </c>
      <c r="AA57">
        <f>HYPERLINK("https://klasma.github.io/Logging_0680/klagomål/A 3361-2025 FSC-klagomål.docx", "A 3361-2025")</f>
        <v/>
      </c>
      <c r="AB57">
        <f>HYPERLINK("https://klasma.github.io/Logging_0680/klagomålsmail/A 3361-2025 FSC-klagomål mail.docx", "A 3361-2025")</f>
        <v/>
      </c>
      <c r="AC57">
        <f>HYPERLINK("https://klasma.github.io/Logging_0680/tillsyn/A 3361-2025 tillsynsbegäran.docx", "A 3361-2025")</f>
        <v/>
      </c>
      <c r="AD57">
        <f>HYPERLINK("https://klasma.github.io/Logging_0680/tillsynsmail/A 3361-2025 tillsynsbegäran mail.docx", "A 3361-2025")</f>
        <v/>
      </c>
    </row>
    <row r="58" ht="15" customHeight="1">
      <c r="A58" t="inlineStr">
        <is>
          <t>A 45917-2024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46306</v>
      </c>
      <c r="F58" t="inlineStr">
        <is>
          <t>JÖNKÖPINGS LÄN</t>
        </is>
      </c>
      <c r="G58" t="inlineStr">
        <is>
          <t>JÖNKÖPING</t>
        </is>
      </c>
      <c r="I58" t="n">
        <v>1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Grön sköldmossa</t>
        </is>
      </c>
      <c r="W58">
        <f>HYPERLINK("https://klasma.github.io/Logging_0680/artfynd/A 45917-2024 artfynd.xlsx", "A 45917-2024")</f>
        <v/>
      </c>
      <c r="X58">
        <f>HYPERLINK("https://klasma.github.io/Logging_0680/kartor/A 45917-2024 karta.png", "A 45917-2024")</f>
        <v/>
      </c>
      <c r="Y58">
        <f>HYPERLINK("https://klasma.github.io/Logging_0680/kartor_geotiff/A 45917-2024 georefererad karta.tif", "A 45917-2024")</f>
        <v/>
      </c>
      <c r="AA58">
        <f>HYPERLINK("https://klasma.github.io/Logging_0680/klagomål/A 45917-2024 FSC-klagomål.docx", "A 45917-2024")</f>
        <v/>
      </c>
      <c r="AB58">
        <f>HYPERLINK("https://klasma.github.io/Logging_0680/klagomålsmail/A 45917-2024 FSC-klagomål mail.docx", "A 45917-2024")</f>
        <v/>
      </c>
      <c r="AC58">
        <f>HYPERLINK("https://klasma.github.io/Logging_0680/tillsyn/A 45917-2024 tillsynsbegäran.docx", "A 45917-2024")</f>
        <v/>
      </c>
      <c r="AD58">
        <f>HYPERLINK("https://klasma.github.io/Logging_0680/tillsynsmail/A 45917-2024 tillsynsbegäran mail.docx", "A 45917-2024")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46306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46306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51183-2024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46306</v>
      </c>
      <c r="F61" t="inlineStr">
        <is>
          <t>JÖNKÖPINGS LÄN</t>
        </is>
      </c>
      <c r="G61" t="inlineStr">
        <is>
          <t>JÖNKÖPING</t>
        </is>
      </c>
      <c r="I61" t="n">
        <v>5.9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Sångsvan
Trana</t>
        </is>
      </c>
      <c r="W61">
        <f>HYPERLINK("https://klasma.github.io/Logging_0680/artfynd/A 51183-2024 artfynd.xlsx", "A 51183-2024")</f>
        <v/>
      </c>
      <c r="X61">
        <f>HYPERLINK("https://klasma.github.io/Logging_0680/kartor/A 51183-2024 karta.png", "A 51183-2024")</f>
        <v/>
      </c>
      <c r="Y61">
        <f>HYPERLINK("https://klasma.github.io/Logging_0680/kartor_geotiff/A 51183-2024 georefererad karta.tif", "A 51183-2024")</f>
        <v/>
      </c>
      <c r="AA61">
        <f>HYPERLINK("https://klasma.github.io/Logging_0680/klagomål/A 51183-2024 FSC-klagomål.docx", "A 51183-2024")</f>
        <v/>
      </c>
      <c r="AB61">
        <f>HYPERLINK("https://klasma.github.io/Logging_0680/klagomålsmail/A 51183-2024 FSC-klagomål mail.docx", "A 51183-2024")</f>
        <v/>
      </c>
      <c r="AC61">
        <f>HYPERLINK("https://klasma.github.io/Logging_0680/tillsyn/A 51183-2024 tillsynsbegäran.docx", "A 51183-2024")</f>
        <v/>
      </c>
      <c r="AD61">
        <f>HYPERLINK("https://klasma.github.io/Logging_0680/tillsynsmail/A 51183-2024 tillsynsbegäran mail.docx", "A 51183-2024")</f>
        <v/>
      </c>
      <c r="AE61">
        <f>HYPERLINK("https://klasma.github.io/Logging_0680/fåglar/A 51183-2024 prioriterade fågelarter.docx", "A 51183-2024")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46306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10991-2023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44991</v>
      </c>
      <c r="E63" s="1" t="n">
        <v>46306</v>
      </c>
      <c r="F63" t="inlineStr">
        <is>
          <t>JÖNKÖPINGS LÄN</t>
        </is>
      </c>
      <c r="G63" t="inlineStr">
        <is>
          <t>JÖNKÖPING</t>
        </is>
      </c>
      <c r="I63" t="n">
        <v>0.7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Gulnål
Kornig nållav</t>
        </is>
      </c>
      <c r="W63">
        <f>HYPERLINK("https://klasma.github.io/Logging_0680/artfynd/A 10991-2023 artfynd.xlsx", "A 10991-2023")</f>
        <v/>
      </c>
      <c r="X63">
        <f>HYPERLINK("https://klasma.github.io/Logging_0680/kartor/A 10991-2023 karta.png", "A 10991-2023")</f>
        <v/>
      </c>
      <c r="Y63">
        <f>HYPERLINK("https://klasma.github.io/Logging_0680/kartor_geotiff/A 10991-2023 georefererad karta.tif", "A 10991-2023")</f>
        <v/>
      </c>
      <c r="AA63">
        <f>HYPERLINK("https://klasma.github.io/Logging_0680/klagomål/A 10991-2023 FSC-klagomål.docx", "A 10991-2023")</f>
        <v/>
      </c>
      <c r="AB63">
        <f>HYPERLINK("https://klasma.github.io/Logging_0680/klagomålsmail/A 10991-2023 FSC-klagomål mail.docx", "A 10991-2023")</f>
        <v/>
      </c>
      <c r="AC63">
        <f>HYPERLINK("https://klasma.github.io/Logging_0680/tillsyn/A 10991-2023 tillsynsbegäran.docx", "A 10991-2023")</f>
        <v/>
      </c>
      <c r="AD63">
        <f>HYPERLINK("https://klasma.github.io/Logging_0680/tillsynsmail/A 10991-2023 tillsynsbegäran mail.docx", "A 10991-2023")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46306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2486-2023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44943</v>
      </c>
      <c r="E65" s="1" t="n">
        <v>46306</v>
      </c>
      <c r="F65" t="inlineStr">
        <is>
          <t>JÖNKÖPINGS LÄN</t>
        </is>
      </c>
      <c r="G65" t="inlineStr">
        <is>
          <t>JÖNKÖPING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Solvända
Fällmossa</t>
        </is>
      </c>
      <c r="W65">
        <f>HYPERLINK("https://klasma.github.io/Logging_0680/artfynd/A 2486-2023 artfynd.xlsx", "A 2486-2023")</f>
        <v/>
      </c>
      <c r="X65">
        <f>HYPERLINK("https://klasma.github.io/Logging_0680/kartor/A 2486-2023 karta.png", "A 2486-2023")</f>
        <v/>
      </c>
      <c r="Y65">
        <f>HYPERLINK("https://klasma.github.io/Logging_0680/kartor_geotiff/A 2486-2023 georefererad karta.tif", "A 2486-2023")</f>
        <v/>
      </c>
      <c r="AA65">
        <f>HYPERLINK("https://klasma.github.io/Logging_0680/klagomål/A 2486-2023 FSC-klagomål.docx", "A 2486-2023")</f>
        <v/>
      </c>
      <c r="AB65">
        <f>HYPERLINK("https://klasma.github.io/Logging_0680/klagomålsmail/A 2486-2023 FSC-klagomål mail.docx", "A 2486-2023")</f>
        <v/>
      </c>
      <c r="AC65">
        <f>HYPERLINK("https://klasma.github.io/Logging_0680/tillsyn/A 2486-2023 tillsynsbegäran.docx", "A 2486-2023")</f>
        <v/>
      </c>
      <c r="AD65">
        <f>HYPERLINK("https://klasma.github.io/Logging_0680/tillsynsmail/A 2486-2023 tillsynsbegäran mail.docx", "A 2486-2023")</f>
        <v/>
      </c>
    </row>
    <row r="66" ht="15" customHeight="1">
      <c r="A66" t="inlineStr">
        <is>
          <t>A 4810-2026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46048</v>
      </c>
      <c r="E66" s="1" t="n">
        <v>46306</v>
      </c>
      <c r="F66" t="inlineStr">
        <is>
          <t>JÖNKÖPINGS LÄN</t>
        </is>
      </c>
      <c r="G66" t="inlineStr">
        <is>
          <t>JÖNKÖPING</t>
        </is>
      </c>
      <c r="I66" t="n">
        <v>0.4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2</v>
      </c>
      <c r="V66" s="2" t="inlineStr">
        <is>
          <t>Svinrot
Gullviva</t>
        </is>
      </c>
      <c r="W66">
        <f>HYPERLINK("https://klasma.github.io/Logging_0680/artfynd/A 4810-2026 artfynd.xlsx", "A 4810-2026")</f>
        <v/>
      </c>
      <c r="X66">
        <f>HYPERLINK("https://klasma.github.io/Logging_0680/kartor/A 4810-2026 karta.png", "A 4810-2026")</f>
        <v/>
      </c>
      <c r="Y66">
        <f>HYPERLINK("https://klasma.github.io/Logging_0680/kartor_geotiff/A 4810-2026 georefererad karta.tif", "A 4810-2026")</f>
        <v/>
      </c>
      <c r="AA66">
        <f>HYPERLINK("https://klasma.github.io/Logging_0680/klagomål/A 4810-2026 FSC-klagomål.docx", "A 4810-2026")</f>
        <v/>
      </c>
      <c r="AB66">
        <f>HYPERLINK("https://klasma.github.io/Logging_0680/klagomålsmail/A 4810-2026 FSC-klagomål mail.docx", "A 4810-2026")</f>
        <v/>
      </c>
      <c r="AC66">
        <f>HYPERLINK("https://klasma.github.io/Logging_0680/tillsyn/A 4810-2026 tillsynsbegäran.docx", "A 4810-2026")</f>
        <v/>
      </c>
      <c r="AD66">
        <f>HYPERLINK("https://klasma.github.io/Logging_0680/tillsynsmail/A 4810-2026 tillsynsbegäran mail.docx", "A 4810-2026")</f>
        <v/>
      </c>
    </row>
    <row r="67" ht="15" customHeight="1">
      <c r="A67" t="inlineStr">
        <is>
          <t>A 5125-2026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46306</v>
      </c>
      <c r="F67" t="inlineStr">
        <is>
          <t>JÖNKÖPINGS LÄN</t>
        </is>
      </c>
      <c r="G67" t="inlineStr">
        <is>
          <t>JÖNKÖPING</t>
        </is>
      </c>
      <c r="I67" t="n">
        <v>0.6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Sommarfibbla
Svinrot</t>
        </is>
      </c>
      <c r="W67">
        <f>HYPERLINK("https://klasma.github.io/Logging_0680/artfynd/A 5125-2026 artfynd.xlsx", "A 5125-2026")</f>
        <v/>
      </c>
      <c r="X67">
        <f>HYPERLINK("https://klasma.github.io/Logging_0680/kartor/A 5125-2026 karta.png", "A 5125-2026")</f>
        <v/>
      </c>
      <c r="Y67">
        <f>HYPERLINK("https://klasma.github.io/Logging_0680/kartor_geotiff/A 5125-2026 georefererad karta.tif", "A 5125-2026")</f>
        <v/>
      </c>
      <c r="AA67">
        <f>HYPERLINK("https://klasma.github.io/Logging_0680/klagomål/A 5125-2026 FSC-klagomål.docx", "A 5125-2026")</f>
        <v/>
      </c>
      <c r="AB67">
        <f>HYPERLINK("https://klasma.github.io/Logging_0680/klagomålsmail/A 5125-2026 FSC-klagomål mail.docx", "A 5125-2026")</f>
        <v/>
      </c>
      <c r="AC67">
        <f>HYPERLINK("https://klasma.github.io/Logging_0680/tillsyn/A 5125-2026 tillsynsbegäran.docx", "A 5125-2026")</f>
        <v/>
      </c>
      <c r="AD67">
        <f>HYPERLINK("https://klasma.github.io/Logging_0680/tillsynsmail/A 5125-2026 tillsynsbegäran mail.docx", "A 5125-2026")</f>
        <v/>
      </c>
    </row>
    <row r="68" ht="15" customHeight="1">
      <c r="A68" t="inlineStr">
        <is>
          <t>A 25071-2026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46306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Nattskärra
Tjäder</t>
        </is>
      </c>
      <c r="W68">
        <f>HYPERLINK("https://klasma.github.io/Logging_0680/artfynd/A 25071-2026 artfynd.xlsx", "A 25071-2026")</f>
        <v/>
      </c>
      <c r="X68">
        <f>HYPERLINK("https://klasma.github.io/Logging_0680/kartor/A 25071-2026 karta.png", "A 25071-2026")</f>
        <v/>
      </c>
      <c r="Y68">
        <f>HYPERLINK("https://klasma.github.io/Logging_0680/kartor_geotiff/A 25071-2026 georefererad karta.tif", "A 25071-2026")</f>
        <v/>
      </c>
      <c r="AA68">
        <f>HYPERLINK("https://klasma.github.io/Logging_0680/klagomål/A 25071-2026 FSC-klagomål.docx", "A 25071-2026")</f>
        <v/>
      </c>
      <c r="AB68">
        <f>HYPERLINK("https://klasma.github.io/Logging_0680/klagomålsmail/A 25071-2026 FSC-klagomål mail.docx", "A 25071-2026")</f>
        <v/>
      </c>
      <c r="AC68">
        <f>HYPERLINK("https://klasma.github.io/Logging_0680/tillsyn/A 25071-2026 tillsynsbegäran.docx", "A 25071-2026")</f>
        <v/>
      </c>
      <c r="AD68">
        <f>HYPERLINK("https://klasma.github.io/Logging_0680/tillsynsmail/A 25071-2026 tillsynsbegäran mail.docx", "A 25071-2026")</f>
        <v/>
      </c>
      <c r="AE68">
        <f>HYPERLINK("https://klasma.github.io/Logging_0680/fåglar/A 25071-2026 prioriterade fågelarter.docx", "A 25071-2026")</f>
        <v/>
      </c>
    </row>
    <row r="69" ht="15" customHeight="1">
      <c r="A69" t="inlineStr">
        <is>
          <t>A 28211-2026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46306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Backtimjan
Solvända</t>
        </is>
      </c>
      <c r="W69">
        <f>HYPERLINK("https://klasma.github.io/Logging_0680/artfynd/A 28211-2026 artfynd.xlsx", "A 28211-2026")</f>
        <v/>
      </c>
      <c r="X69">
        <f>HYPERLINK("https://klasma.github.io/Logging_0680/kartor/A 28211-2026 karta.png", "A 28211-2026")</f>
        <v/>
      </c>
      <c r="Y69">
        <f>HYPERLINK("https://klasma.github.io/Logging_0680/kartor_geotiff/A 28211-2026 georefererad karta.tif", "A 28211-2026")</f>
        <v/>
      </c>
      <c r="AA69">
        <f>HYPERLINK("https://klasma.github.io/Logging_0680/klagomål/A 28211-2026 FSC-klagomål.docx", "A 28211-2026")</f>
        <v/>
      </c>
      <c r="AB69">
        <f>HYPERLINK("https://klasma.github.io/Logging_0680/klagomålsmail/A 28211-2026 FSC-klagomål mail.docx", "A 28211-2026")</f>
        <v/>
      </c>
      <c r="AC69">
        <f>HYPERLINK("https://klasma.github.io/Logging_0680/tillsyn/A 28211-2026 tillsynsbegäran.docx", "A 28211-2026")</f>
        <v/>
      </c>
      <c r="AD69">
        <f>HYPERLINK("https://klasma.github.io/Logging_0680/tillsynsmail/A 28211-2026 tillsynsbegäran mail.docx", "A 28211-2026")</f>
        <v/>
      </c>
    </row>
    <row r="70" ht="15" customHeight="1">
      <c r="A70" t="inlineStr">
        <is>
          <t>A 31770-2026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46306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Grönpyrola</t>
        </is>
      </c>
      <c r="W70">
        <f>HYPERLINK("https://klasma.github.io/Logging_0680/artfynd/A 31770-2026 artfynd.xlsx", "A 31770-2026")</f>
        <v/>
      </c>
      <c r="X70">
        <f>HYPERLINK("https://klasma.github.io/Logging_0680/kartor/A 31770-2026 karta.png", "A 31770-2026")</f>
        <v/>
      </c>
      <c r="Y70">
        <f>HYPERLINK("https://klasma.github.io/Logging_0680/kartor_geotiff/A 31770-2026 georefererad karta.tif", "A 31770-2026")</f>
        <v/>
      </c>
      <c r="Z70">
        <f>HYPERLINK("https://klasma.github.io/Logging_0680/knärot/A 31770-2026 karta knärot.png", "A 31770-2026")</f>
        <v/>
      </c>
      <c r="AA70">
        <f>HYPERLINK("https://klasma.github.io/Logging_0680/klagomål/A 31770-2026 FSC-klagomål.docx", "A 31770-2026")</f>
        <v/>
      </c>
      <c r="AB70">
        <f>HYPERLINK("https://klasma.github.io/Logging_0680/klagomålsmail/A 31770-2026 FSC-klagomål mail.docx", "A 31770-2026")</f>
        <v/>
      </c>
      <c r="AC70">
        <f>HYPERLINK("https://klasma.github.io/Logging_0680/tillsyn/A 31770-2026 tillsynsbegäran.docx", "A 31770-2026")</f>
        <v/>
      </c>
      <c r="AD70">
        <f>HYPERLINK("https://klasma.github.io/Logging_0680/tillsynsmail/A 31770-2026 tillsynsbegäran mail.docx", "A 31770-2026")</f>
        <v/>
      </c>
    </row>
    <row r="71" ht="15" customHeight="1">
      <c r="A71" t="inlineStr">
        <is>
          <t>A 38934-2026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46306</v>
      </c>
      <c r="F71" t="inlineStr">
        <is>
          <t>JÖNKÖPINGS LÄN</t>
        </is>
      </c>
      <c r="G71" t="inlineStr">
        <is>
          <t>JÖNKÖPING</t>
        </is>
      </c>
      <c r="I71" t="n">
        <v>3.9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6</v>
      </c>
      <c r="U71" t="n">
        <v>0</v>
      </c>
      <c r="V71" s="2" t="inlineStr">
        <is>
          <t>Knärot
Revlummer</t>
        </is>
      </c>
      <c r="W71">
        <f>HYPERLINK("https://klasma.github.io/Logging_0680/artfynd/A 38934-2026 artfynd.xlsx", "A 38934-2026")</f>
        <v/>
      </c>
      <c r="X71">
        <f>HYPERLINK("https://klasma.github.io/Logging_0680/kartor/A 38934-2026 karta.png", "A 38934-2026")</f>
        <v/>
      </c>
      <c r="Y71">
        <f>HYPERLINK("https://klasma.github.io/Logging_0680/kartor_geotiff/A 38934-2026 georefererad karta.tif", "A 38934-2026")</f>
        <v/>
      </c>
      <c r="Z71">
        <f>HYPERLINK("https://klasma.github.io/Logging_0680/knärot/A 38934-2026 karta knärot.png", "A 38934-2026")</f>
        <v/>
      </c>
      <c r="AA71">
        <f>HYPERLINK("https://klasma.github.io/Logging_0680/klagomål/A 38934-2026 FSC-klagomål.docx", "A 38934-2026")</f>
        <v/>
      </c>
      <c r="AB71">
        <f>HYPERLINK("https://klasma.github.io/Logging_0680/klagomålsmail/A 38934-2026 FSC-klagomål mail.docx", "A 38934-2026")</f>
        <v/>
      </c>
      <c r="AC71">
        <f>HYPERLINK("https://klasma.github.io/Logging_0680/tillsyn/A 38934-2026 tillsynsbegäran.docx", "A 38934-2026")</f>
        <v/>
      </c>
      <c r="AD71">
        <f>HYPERLINK("https://klasma.github.io/Logging_0680/tillsynsmail/A 38934-2026 tillsynsbegäran mail.docx", "A 38934-2026")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46306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46306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46306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46306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46306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46306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46306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2498-2022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46306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2498-2022 artfynd.xlsx", "A 2498-2022")</f>
        <v/>
      </c>
      <c r="X79">
        <f>HYPERLINK("https://klasma.github.io/Logging_0680/kartor/A 2498-2022 karta.png", "A 2498-2022")</f>
        <v/>
      </c>
      <c r="Y79">
        <f>HYPERLINK("https://klasma.github.io/Logging_0680/kartor_geotiff/A 2498-2022 georefererad karta.tif", "A 2498-2022")</f>
        <v/>
      </c>
      <c r="AA79">
        <f>HYPERLINK("https://klasma.github.io/Logging_0680/klagomål/A 2498-2022 FSC-klagomål.docx", "A 2498-2022")</f>
        <v/>
      </c>
      <c r="AB79">
        <f>HYPERLINK("https://klasma.github.io/Logging_0680/klagomålsmail/A 2498-2022 FSC-klagomål mail.docx", "A 2498-2022")</f>
        <v/>
      </c>
      <c r="AC79">
        <f>HYPERLINK("https://klasma.github.io/Logging_0680/tillsyn/A 2498-2022 tillsynsbegäran.docx", "A 2498-2022")</f>
        <v/>
      </c>
      <c r="AD79">
        <f>HYPERLINK("https://klasma.github.io/Logging_0680/tillsynsmail/A 2498-2022 tillsynsbegäran mail.docx", "A 2498-2022")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46306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46306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18770-2025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45764</v>
      </c>
      <c r="E82" s="1" t="n">
        <v>46306</v>
      </c>
      <c r="F82" t="inlineStr">
        <is>
          <t>JÖNKÖPINGS LÄN</t>
        </is>
      </c>
      <c r="G82" t="inlineStr">
        <is>
          <t>JÖNKÖPING</t>
        </is>
      </c>
      <c r="I82" t="n">
        <v>3.3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Gullpudra</t>
        </is>
      </c>
      <c r="W82">
        <f>HYPERLINK("https://klasma.github.io/Logging_0680/artfynd/A 18770-2025 artfynd.xlsx", "A 18770-2025")</f>
        <v/>
      </c>
      <c r="X82">
        <f>HYPERLINK("https://klasma.github.io/Logging_0680/kartor/A 18770-2025 karta.png", "A 18770-2025")</f>
        <v/>
      </c>
      <c r="Y82">
        <f>HYPERLINK("https://klasma.github.io/Logging_0680/kartor_geotiff/A 18770-2025 georefererad karta.tif", "A 18770-2025")</f>
        <v/>
      </c>
      <c r="AA82">
        <f>HYPERLINK("https://klasma.github.io/Logging_0680/klagomål/A 18770-2025 FSC-klagomål.docx", "A 18770-2025")</f>
        <v/>
      </c>
      <c r="AB82">
        <f>HYPERLINK("https://klasma.github.io/Logging_0680/klagomålsmail/A 18770-2025 FSC-klagomål mail.docx", "A 18770-2025")</f>
        <v/>
      </c>
      <c r="AC82">
        <f>HYPERLINK("https://klasma.github.io/Logging_0680/tillsyn/A 18770-2025 tillsynsbegäran.docx", "A 18770-2025")</f>
        <v/>
      </c>
      <c r="AD82">
        <f>HYPERLINK("https://klasma.github.io/Logging_0680/tillsynsmail/A 18770-2025 tillsynsbegäran mail.docx", "A 18770-2025")</f>
        <v/>
      </c>
    </row>
    <row r="83" ht="15" customHeight="1">
      <c r="A83" t="inlineStr">
        <is>
          <t>A 16455-2025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45751</v>
      </c>
      <c r="E83" s="1" t="n">
        <v>46306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0.7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HYPERLINK("https://klasma.github.io/Logging_0680/artfynd/A 16455-2025 artfynd.xlsx", "A 16455-2025")</f>
        <v/>
      </c>
      <c r="X83">
        <f>HYPERLINK("https://klasma.github.io/Logging_0680/kartor/A 16455-2025 karta.png", "A 16455-2025")</f>
        <v/>
      </c>
      <c r="Y83">
        <f>HYPERLINK("https://klasma.github.io/Logging_0680/kartor_geotiff/A 16455-2025 georefererad karta.tif", "A 16455-2025")</f>
        <v/>
      </c>
      <c r="AA83">
        <f>HYPERLINK("https://klasma.github.io/Logging_0680/klagomål/A 16455-2025 FSC-klagomål.docx", "A 16455-2025")</f>
        <v/>
      </c>
      <c r="AB83">
        <f>HYPERLINK("https://klasma.github.io/Logging_0680/klagomålsmail/A 16455-2025 FSC-klagomål mail.docx", "A 16455-2025")</f>
        <v/>
      </c>
      <c r="AC83">
        <f>HYPERLINK("https://klasma.github.io/Logging_0680/tillsyn/A 16455-2025 tillsynsbegäran.docx", "A 16455-2025")</f>
        <v/>
      </c>
      <c r="AD83">
        <f>HYPERLINK("https://klasma.github.io/Logging_0680/tillsynsmail/A 16455-2025 tillsynsbegäran mail.docx", "A 16455-2025")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46306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58346-2022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46306</v>
      </c>
      <c r="F85" t="inlineStr">
        <is>
          <t>JÖNKÖPINGS LÄN</t>
        </is>
      </c>
      <c r="G85" t="inlineStr">
        <is>
          <t>JÖNKÖPING</t>
        </is>
      </c>
      <c r="H85" t="inlineStr">
        <is>
          <t>Övriga statliga verk och myndigheter</t>
        </is>
      </c>
      <c r="I85" t="n">
        <v>1.9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Gyllensopp</t>
        </is>
      </c>
      <c r="W85">
        <f>HYPERLINK("https://klasma.github.io/Logging_0680/artfynd/A 58346-2022 artfynd.xlsx", "A 58346-2022")</f>
        <v/>
      </c>
      <c r="X85">
        <f>HYPERLINK("https://klasma.github.io/Logging_0680/kartor/A 58346-2022 karta.png", "A 58346-2022")</f>
        <v/>
      </c>
      <c r="Y85">
        <f>HYPERLINK("https://klasma.github.io/Logging_0680/kartor_geotiff/A 58346-2022 georefererad karta.tif", "A 58346-2022")</f>
        <v/>
      </c>
      <c r="AA85">
        <f>HYPERLINK("https://klasma.github.io/Logging_0680/klagomål/A 58346-2022 FSC-klagomål.docx", "A 58346-2022")</f>
        <v/>
      </c>
      <c r="AB85">
        <f>HYPERLINK("https://klasma.github.io/Logging_0680/klagomålsmail/A 58346-2022 FSC-klagomål mail.docx", "A 58346-2022")</f>
        <v/>
      </c>
      <c r="AC85">
        <f>HYPERLINK("https://klasma.github.io/Logging_0680/tillsyn/A 58346-2022 tillsynsbegäran.docx", "A 58346-2022")</f>
        <v/>
      </c>
      <c r="AD85">
        <f>HYPERLINK("https://klasma.github.io/Logging_0680/tillsynsmail/A 58346-2022 tillsynsbegäran mail.docx", "A 58346-2022")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46306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28230-2024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46306</v>
      </c>
      <c r="F87" t="inlineStr">
        <is>
          <t>JÖNKÖPINGS LÄN</t>
        </is>
      </c>
      <c r="G87" t="inlineStr">
        <is>
          <t>JÖNKÖPING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HYPERLINK("https://klasma.github.io/Logging_0680/artfynd/A 28230-2024 artfynd.xlsx", "A 28230-2024")</f>
        <v/>
      </c>
      <c r="X87">
        <f>HYPERLINK("https://klasma.github.io/Logging_0680/kartor/A 28230-2024 karta.png", "A 28230-2024")</f>
        <v/>
      </c>
      <c r="Y87">
        <f>HYPERLINK("https://klasma.github.io/Logging_0680/kartor_geotiff/A 28230-2024 georefererad karta.tif", "A 28230-2024")</f>
        <v/>
      </c>
      <c r="AA87">
        <f>HYPERLINK("https://klasma.github.io/Logging_0680/klagomål/A 28230-2024 FSC-klagomål.docx", "A 28230-2024")</f>
        <v/>
      </c>
      <c r="AB87">
        <f>HYPERLINK("https://klasma.github.io/Logging_0680/klagomålsmail/A 28230-2024 FSC-klagomål mail.docx", "A 28230-2024")</f>
        <v/>
      </c>
      <c r="AC87">
        <f>HYPERLINK("https://klasma.github.io/Logging_0680/tillsyn/A 28230-2024 tillsynsbegäran.docx", "A 28230-2024")</f>
        <v/>
      </c>
      <c r="AD87">
        <f>HYPERLINK("https://klasma.github.io/Logging_0680/tillsynsmail/A 28230-2024 tillsynsbegäran mail.docx", "A 28230-2024")</f>
        <v/>
      </c>
    </row>
    <row r="88" ht="15" customHeight="1">
      <c r="A88" t="inlineStr">
        <is>
          <t>A 54424-2024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46306</v>
      </c>
      <c r="F88" t="inlineStr">
        <is>
          <t>JÖNKÖPINGS LÄN</t>
        </is>
      </c>
      <c r="G88" t="inlineStr">
        <is>
          <t>JÖNKÖPING</t>
        </is>
      </c>
      <c r="I88" t="n">
        <v>6.2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HYPERLINK("https://klasma.github.io/Logging_0680/artfynd/A 54424-2024 artfynd.xlsx", "A 54424-2024")</f>
        <v/>
      </c>
      <c r="X88">
        <f>HYPERLINK("https://klasma.github.io/Logging_0680/kartor/A 54424-2024 karta.png", "A 54424-2024")</f>
        <v/>
      </c>
      <c r="Y88">
        <f>HYPERLINK("https://klasma.github.io/Logging_0680/kartor_geotiff/A 54424-2024 georefererad karta.tif", "A 54424-2024")</f>
        <v/>
      </c>
      <c r="AA88">
        <f>HYPERLINK("https://klasma.github.io/Logging_0680/klagomål/A 54424-2024 FSC-klagomål.docx", "A 54424-2024")</f>
        <v/>
      </c>
      <c r="AB88">
        <f>HYPERLINK("https://klasma.github.io/Logging_0680/klagomålsmail/A 54424-2024 FSC-klagomål mail.docx", "A 54424-2024")</f>
        <v/>
      </c>
      <c r="AC88">
        <f>HYPERLINK("https://klasma.github.io/Logging_0680/tillsyn/A 54424-2024 tillsynsbegäran.docx", "A 54424-2024")</f>
        <v/>
      </c>
      <c r="AD88">
        <f>HYPERLINK("https://klasma.github.io/Logging_0680/tillsynsmail/A 54424-2024 tillsynsbegäran mail.docx", "A 54424-2024")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46306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45366-2022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46306</v>
      </c>
      <c r="F90" t="inlineStr">
        <is>
          <t>JÖNKÖPINGS LÄN</t>
        </is>
      </c>
      <c r="G90" t="inlineStr">
        <is>
          <t>JÖNKÖPING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husmossa</t>
        </is>
      </c>
      <c r="W90">
        <f>HYPERLINK("https://klasma.github.io/Logging_0680/artfynd/A 45366-2022 artfynd.xlsx", "A 45366-2022")</f>
        <v/>
      </c>
      <c r="X90">
        <f>HYPERLINK("https://klasma.github.io/Logging_0680/kartor/A 45366-2022 karta.png", "A 45366-2022")</f>
        <v/>
      </c>
      <c r="Y90">
        <f>HYPERLINK("https://klasma.github.io/Logging_0680/kartor_geotiff/A 45366-2022 georefererad karta.tif", "A 45366-2022")</f>
        <v/>
      </c>
      <c r="AA90">
        <f>HYPERLINK("https://klasma.github.io/Logging_0680/klagomål/A 45366-2022 FSC-klagomål.docx", "A 45366-2022")</f>
        <v/>
      </c>
      <c r="AB90">
        <f>HYPERLINK("https://klasma.github.io/Logging_0680/klagomålsmail/A 45366-2022 FSC-klagomål mail.docx", "A 45366-2022")</f>
        <v/>
      </c>
      <c r="AC90">
        <f>HYPERLINK("https://klasma.github.io/Logging_0680/tillsyn/A 45366-2022 tillsynsbegäran.docx", "A 45366-2022")</f>
        <v/>
      </c>
      <c r="AD90">
        <f>HYPERLINK("https://klasma.github.io/Logging_0680/tillsynsmail/A 45366-2022 tillsynsbegäran mail.docx", "A 45366-2022")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46306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74117-2021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46306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Nattskärra</t>
        </is>
      </c>
      <c r="W92">
        <f>HYPERLINK("https://klasma.github.io/Logging_0680/artfynd/A 74117-2021 artfynd.xlsx", "A 74117-2021")</f>
        <v/>
      </c>
      <c r="X92">
        <f>HYPERLINK("https://klasma.github.io/Logging_0680/kartor/A 74117-2021 karta.png", "A 74117-2021")</f>
        <v/>
      </c>
      <c r="Y92">
        <f>HYPERLINK("https://klasma.github.io/Logging_0680/kartor_geotiff/A 74117-2021 georefererad karta.tif", "A 74117-2021")</f>
        <v/>
      </c>
      <c r="AA92">
        <f>HYPERLINK("https://klasma.github.io/Logging_0680/klagomål/A 74117-2021 FSC-klagomål.docx", "A 74117-2021")</f>
        <v/>
      </c>
      <c r="AB92">
        <f>HYPERLINK("https://klasma.github.io/Logging_0680/klagomålsmail/A 74117-2021 FSC-klagomål mail.docx", "A 74117-2021")</f>
        <v/>
      </c>
      <c r="AC92">
        <f>HYPERLINK("https://klasma.github.io/Logging_0680/tillsyn/A 74117-2021 tillsynsbegäran.docx", "A 74117-2021")</f>
        <v/>
      </c>
      <c r="AD92">
        <f>HYPERLINK("https://klasma.github.io/Logging_0680/tillsynsmail/A 74117-2021 tillsynsbegäran mail.docx", "A 74117-2021")</f>
        <v/>
      </c>
      <c r="AE92">
        <f>HYPERLINK("https://klasma.github.io/Logging_0680/fåglar/A 74117-2021 prioriterade fågelarter.docx", "A 74117-2021")</f>
        <v/>
      </c>
    </row>
    <row r="93" ht="15" customHeight="1">
      <c r="A93" t="inlineStr">
        <is>
          <t>A 42038-2023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46306</v>
      </c>
      <c r="F93" t="inlineStr">
        <is>
          <t>JÖNKÖPINGS LÄN</t>
        </is>
      </c>
      <c r="G93" t="inlineStr">
        <is>
          <t>JÖNKÖPING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Ask</t>
        </is>
      </c>
      <c r="W93">
        <f>HYPERLINK("https://klasma.github.io/Logging_0680/artfynd/A 42038-2023 artfynd.xlsx", "A 42038-2023")</f>
        <v/>
      </c>
      <c r="X93">
        <f>HYPERLINK("https://klasma.github.io/Logging_0680/kartor/A 42038-2023 karta.png", "A 42038-2023")</f>
        <v/>
      </c>
      <c r="Y93">
        <f>HYPERLINK("https://klasma.github.io/Logging_0680/kartor_geotiff/A 42038-2023 georefererad karta.tif", "A 42038-2023")</f>
        <v/>
      </c>
      <c r="AA93">
        <f>HYPERLINK("https://klasma.github.io/Logging_0680/klagomål/A 42038-2023 FSC-klagomål.docx", "A 42038-2023")</f>
        <v/>
      </c>
      <c r="AB93">
        <f>HYPERLINK("https://klasma.github.io/Logging_0680/klagomålsmail/A 42038-2023 FSC-klagomål mail.docx", "A 42038-2023")</f>
        <v/>
      </c>
      <c r="AC93">
        <f>HYPERLINK("https://klasma.github.io/Logging_0680/tillsyn/A 42038-2023 tillsynsbegäran.docx", "A 42038-2023")</f>
        <v/>
      </c>
      <c r="AD93">
        <f>HYPERLINK("https://klasma.github.io/Logging_0680/tillsynsmail/A 42038-2023 tillsynsbegäran mail.docx", "A 42038-2023")</f>
        <v/>
      </c>
    </row>
    <row r="94" ht="15" customHeight="1">
      <c r="A94" t="inlineStr">
        <is>
          <t>A 50190-2024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45600</v>
      </c>
      <c r="E94" s="1" t="n">
        <v>46306</v>
      </c>
      <c r="F94" t="inlineStr">
        <is>
          <t>JÖNKÖPINGS LÄN</t>
        </is>
      </c>
      <c r="G94" t="inlineStr">
        <is>
          <t>JÖNKÖPING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HYPERLINK("https://klasma.github.io/Logging_0680/artfynd/A 50190-2024 artfynd.xlsx", "A 50190-2024")</f>
        <v/>
      </c>
      <c r="X94">
        <f>HYPERLINK("https://klasma.github.io/Logging_0680/kartor/A 50190-2024 karta.png", "A 50190-2024")</f>
        <v/>
      </c>
      <c r="Y94">
        <f>HYPERLINK("https://klasma.github.io/Logging_0680/kartor_geotiff/A 50190-2024 georefererad karta.tif", "A 50190-2024")</f>
        <v/>
      </c>
      <c r="AA94">
        <f>HYPERLINK("https://klasma.github.io/Logging_0680/klagomål/A 50190-2024 FSC-klagomål.docx", "A 50190-2024")</f>
        <v/>
      </c>
      <c r="AB94">
        <f>HYPERLINK("https://klasma.github.io/Logging_0680/klagomålsmail/A 50190-2024 FSC-klagomål mail.docx", "A 50190-2024")</f>
        <v/>
      </c>
      <c r="AC94">
        <f>HYPERLINK("https://klasma.github.io/Logging_0680/tillsyn/A 50190-2024 tillsynsbegäran.docx", "A 50190-2024")</f>
        <v/>
      </c>
      <c r="AD94">
        <f>HYPERLINK("https://klasma.github.io/Logging_0680/tillsynsmail/A 50190-2024 tillsynsbegäran mail.docx", "A 50190-2024")</f>
        <v/>
      </c>
    </row>
    <row r="95" ht="15" customHeight="1">
      <c r="A95" t="inlineStr">
        <is>
          <t>A 48371-2023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46306</v>
      </c>
      <c r="F95" t="inlineStr">
        <is>
          <t>JÖNKÖPINGS LÄN</t>
        </is>
      </c>
      <c r="G95" t="inlineStr">
        <is>
          <t>JÖNKÖPING</t>
        </is>
      </c>
      <c r="I95" t="n">
        <v>4.9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HYPERLINK("https://klasma.github.io/Logging_0680/artfynd/A 48371-2023 artfynd.xlsx", "A 48371-2023")</f>
        <v/>
      </c>
      <c r="X95">
        <f>HYPERLINK("https://klasma.github.io/Logging_0680/kartor/A 48371-2023 karta.png", "A 48371-2023")</f>
        <v/>
      </c>
      <c r="Y95">
        <f>HYPERLINK("https://klasma.github.io/Logging_0680/kartor_geotiff/A 48371-2023 georefererad karta.tif", "A 48371-2023")</f>
        <v/>
      </c>
      <c r="AA95">
        <f>HYPERLINK("https://klasma.github.io/Logging_0680/klagomål/A 48371-2023 FSC-klagomål.docx", "A 48371-2023")</f>
        <v/>
      </c>
      <c r="AB95">
        <f>HYPERLINK("https://klasma.github.io/Logging_0680/klagomålsmail/A 48371-2023 FSC-klagomål mail.docx", "A 48371-2023")</f>
        <v/>
      </c>
      <c r="AC95">
        <f>HYPERLINK("https://klasma.github.io/Logging_0680/tillsyn/A 48371-2023 tillsynsbegäran.docx", "A 48371-2023")</f>
        <v/>
      </c>
      <c r="AD95">
        <f>HYPERLINK("https://klasma.github.io/Logging_0680/tillsynsmail/A 48371-2023 tillsynsbegäran mail.docx", "A 48371-2023")</f>
        <v/>
      </c>
    </row>
    <row r="96" ht="15" customHeight="1">
      <c r="A96" t="inlineStr">
        <is>
          <t>A 46816-2025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46306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HYPERLINK("https://klasma.github.io/Logging_0680/artfynd/A 46816-2025 artfynd.xlsx", "A 46816-2025")</f>
        <v/>
      </c>
      <c r="X96">
        <f>HYPERLINK("https://klasma.github.io/Logging_0680/kartor/A 46816-2025 karta.png", "A 46816-2025")</f>
        <v/>
      </c>
      <c r="Y96">
        <f>HYPERLINK("https://klasma.github.io/Logging_0680/kartor_geotiff/A 46816-2025 georefererad karta.tif", "A 46816-2025")</f>
        <v/>
      </c>
      <c r="AA96">
        <f>HYPERLINK("https://klasma.github.io/Logging_0680/klagomål/A 46816-2025 FSC-klagomål.docx", "A 46816-2025")</f>
        <v/>
      </c>
      <c r="AB96">
        <f>HYPERLINK("https://klasma.github.io/Logging_0680/klagomålsmail/A 46816-2025 FSC-klagomål mail.docx", "A 46816-2025")</f>
        <v/>
      </c>
      <c r="AC96">
        <f>HYPERLINK("https://klasma.github.io/Logging_0680/tillsyn/A 46816-2025 tillsynsbegäran.docx", "A 46816-2025")</f>
        <v/>
      </c>
      <c r="AD96">
        <f>HYPERLINK("https://klasma.github.io/Logging_0680/tillsynsmail/A 46816-2025 tillsynsbegäran mail.docx", "A 46816-2025")</f>
        <v/>
      </c>
    </row>
    <row r="97" ht="15" customHeight="1">
      <c r="A97" t="inlineStr">
        <is>
          <t>A 14221-2025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46306</v>
      </c>
      <c r="F97" t="inlineStr">
        <is>
          <t>JÖNKÖPINGS LÄN</t>
        </is>
      </c>
      <c r="G97" t="inlineStr">
        <is>
          <t>JÖNKÖPING</t>
        </is>
      </c>
      <c r="I97" t="n">
        <v>8.699999999999999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1</v>
      </c>
      <c r="V97" s="2" t="inlineStr">
        <is>
          <t>Gaffelglim</t>
        </is>
      </c>
      <c r="W97">
        <f>HYPERLINK("https://klasma.github.io/Logging_0680/artfynd/A 14221-2025 artfynd.xlsx", "A 14221-2025")</f>
        <v/>
      </c>
      <c r="X97">
        <f>HYPERLINK("https://klasma.github.io/Logging_0680/kartor/A 14221-2025 karta.png", "A 14221-2025")</f>
        <v/>
      </c>
      <c r="Y97">
        <f>HYPERLINK("https://klasma.github.io/Logging_0680/kartor_geotiff/A 14221-2025 georefererad karta.tif", "A 14221-2025")</f>
        <v/>
      </c>
      <c r="AA97">
        <f>HYPERLINK("https://klasma.github.io/Logging_0680/klagomål/A 14221-2025 FSC-klagomål.docx", "A 14221-2025")</f>
        <v/>
      </c>
      <c r="AB97">
        <f>HYPERLINK("https://klasma.github.io/Logging_0680/klagomålsmail/A 14221-2025 FSC-klagomål mail.docx", "A 14221-2025")</f>
        <v/>
      </c>
      <c r="AC97">
        <f>HYPERLINK("https://klasma.github.io/Logging_0680/tillsyn/A 14221-2025 tillsynsbegäran.docx", "A 14221-2025")</f>
        <v/>
      </c>
      <c r="AD97">
        <f>HYPERLINK("https://klasma.github.io/Logging_0680/tillsynsmail/A 14221-2025 tillsynsbegäran mail.docx", "A 14221-2025")</f>
        <v/>
      </c>
    </row>
    <row r="98" ht="15" customHeight="1">
      <c r="A98" t="inlineStr">
        <is>
          <t>A 47492-2024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45587</v>
      </c>
      <c r="E98" s="1" t="n">
        <v>46306</v>
      </c>
      <c r="F98" t="inlineStr">
        <is>
          <t>JÖNKÖPINGS LÄN</t>
        </is>
      </c>
      <c r="G98" t="inlineStr">
        <is>
          <t>JÖNKÖPING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Ask</t>
        </is>
      </c>
      <c r="W98">
        <f>HYPERLINK("https://klasma.github.io/Logging_0680/artfynd/A 47492-2024 artfynd.xlsx", "A 47492-2024")</f>
        <v/>
      </c>
      <c r="X98">
        <f>HYPERLINK("https://klasma.github.io/Logging_0680/kartor/A 47492-2024 karta.png", "A 47492-2024")</f>
        <v/>
      </c>
      <c r="Y98">
        <f>HYPERLINK("https://klasma.github.io/Logging_0680/kartor_geotiff/A 47492-2024 georefererad karta.tif", "A 47492-2024")</f>
        <v/>
      </c>
      <c r="AA98">
        <f>HYPERLINK("https://klasma.github.io/Logging_0680/klagomål/A 47492-2024 FSC-klagomål.docx", "A 47492-2024")</f>
        <v/>
      </c>
      <c r="AB98">
        <f>HYPERLINK("https://klasma.github.io/Logging_0680/klagomålsmail/A 47492-2024 FSC-klagomål mail.docx", "A 47492-2024")</f>
        <v/>
      </c>
      <c r="AC98">
        <f>HYPERLINK("https://klasma.github.io/Logging_0680/tillsyn/A 47492-2024 tillsynsbegäran.docx", "A 47492-2024")</f>
        <v/>
      </c>
      <c r="AD98">
        <f>HYPERLINK("https://klasma.github.io/Logging_0680/tillsynsmail/A 47492-2024 tillsynsbegäran mail.docx", "A 47492-2024")</f>
        <v/>
      </c>
    </row>
    <row r="99" ht="15" customHeight="1">
      <c r="A99" t="inlineStr">
        <is>
          <t>A 47040-2023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46306</v>
      </c>
      <c r="F99" t="inlineStr">
        <is>
          <t>JÖNKÖPINGS LÄN</t>
        </is>
      </c>
      <c r="G99" t="inlineStr">
        <is>
          <t>JÖNKÖPING</t>
        </is>
      </c>
      <c r="I99" t="n">
        <v>2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Nordfladdermus</t>
        </is>
      </c>
      <c r="W99">
        <f>HYPERLINK("https://klasma.github.io/Logging_0680/artfynd/A 47040-2023 artfynd.xlsx", "A 47040-2023")</f>
        <v/>
      </c>
      <c r="X99">
        <f>HYPERLINK("https://klasma.github.io/Logging_0680/kartor/A 47040-2023 karta.png", "A 47040-2023")</f>
        <v/>
      </c>
      <c r="Y99">
        <f>HYPERLINK("https://klasma.github.io/Logging_0680/kartor_geotiff/A 47040-2023 georefererad karta.tif", "A 47040-2023")</f>
        <v/>
      </c>
      <c r="AA99">
        <f>HYPERLINK("https://klasma.github.io/Logging_0680/klagomål/A 47040-2023 FSC-klagomål.docx", "A 47040-2023")</f>
        <v/>
      </c>
      <c r="AB99">
        <f>HYPERLINK("https://klasma.github.io/Logging_0680/klagomålsmail/A 47040-2023 FSC-klagomål mail.docx", "A 47040-2023")</f>
        <v/>
      </c>
      <c r="AC99">
        <f>HYPERLINK("https://klasma.github.io/Logging_0680/tillsyn/A 47040-2023 tillsynsbegäran.docx", "A 47040-2023")</f>
        <v/>
      </c>
      <c r="AD99">
        <f>HYPERLINK("https://klasma.github.io/Logging_0680/tillsynsmail/A 47040-2023 tillsynsbegäran mail.docx", "A 47040-2023")</f>
        <v/>
      </c>
    </row>
    <row r="100" ht="15" customHeight="1">
      <c r="A100" t="inlineStr">
        <is>
          <t>A 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45295</v>
      </c>
      <c r="E100" s="1" t="n">
        <v>46306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Mattlummer</t>
        </is>
      </c>
      <c r="W100">
        <f>HYPERLINK("https://klasma.github.io/Logging_0680/artfynd/A 278-2024 artfynd.xlsx", "A 278-2024")</f>
        <v/>
      </c>
      <c r="X100">
        <f>HYPERLINK("https://klasma.github.io/Logging_0680/kartor/A 278-2024 karta.png", "A 278-2024")</f>
        <v/>
      </c>
      <c r="Y100">
        <f>HYPERLINK("https://klasma.github.io/Logging_0680/kartor_geotiff/A 278-2024 georefererad karta.tif", "A 278-2024")</f>
        <v/>
      </c>
      <c r="AA100">
        <f>HYPERLINK("https://klasma.github.io/Logging_0680/klagomål/A 278-2024 FSC-klagomål.docx", "A 278-2024")</f>
        <v/>
      </c>
      <c r="AB100">
        <f>HYPERLINK("https://klasma.github.io/Logging_0680/klagomålsmail/A 278-2024 FSC-klagomål mail.docx", "A 278-2024")</f>
        <v/>
      </c>
      <c r="AC100">
        <f>HYPERLINK("https://klasma.github.io/Logging_0680/tillsyn/A 278-2024 tillsynsbegäran.docx", "A 278-2024")</f>
        <v/>
      </c>
      <c r="AD100">
        <f>HYPERLINK("https://klasma.github.io/Logging_0680/tillsynsmail/A 278-2024 tillsynsbegäran mail.docx", "A 278-2024")</f>
        <v/>
      </c>
    </row>
    <row r="101" ht="15" customHeight="1">
      <c r="A101" t="inlineStr">
        <is>
          <t>A 7092-2024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46306</v>
      </c>
      <c r="F101" t="inlineStr">
        <is>
          <t>JÖNKÖPINGS LÄN</t>
        </is>
      </c>
      <c r="G101" t="inlineStr">
        <is>
          <t>JÖNKÖPING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HYPERLINK("https://klasma.github.io/Logging_0680/artfynd/A 7092-2024 artfynd.xlsx", "A 7092-2024")</f>
        <v/>
      </c>
      <c r="X101">
        <f>HYPERLINK("https://klasma.github.io/Logging_0680/kartor/A 7092-2024 karta.png", "A 7092-2024")</f>
        <v/>
      </c>
      <c r="Y101">
        <f>HYPERLINK("https://klasma.github.io/Logging_0680/kartor_geotiff/A 7092-2024 georefererad karta.tif", "A 7092-2024")</f>
        <v/>
      </c>
      <c r="AA101">
        <f>HYPERLINK("https://klasma.github.io/Logging_0680/klagomål/A 7092-2024 FSC-klagomål.docx", "A 7092-2024")</f>
        <v/>
      </c>
      <c r="AB101">
        <f>HYPERLINK("https://klasma.github.io/Logging_0680/klagomålsmail/A 7092-2024 FSC-klagomål mail.docx", "A 7092-2024")</f>
        <v/>
      </c>
      <c r="AC101">
        <f>HYPERLINK("https://klasma.github.io/Logging_0680/tillsyn/A 7092-2024 tillsynsbegäran.docx", "A 7092-2024")</f>
        <v/>
      </c>
      <c r="AD101">
        <f>HYPERLINK("https://klasma.github.io/Logging_0680/tillsynsmail/A 7092-2024 tillsynsbegäran mail.docx", "A 7092-2024")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46306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33849-2025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46306</v>
      </c>
      <c r="F103" t="inlineStr">
        <is>
          <t>JÖNKÖPINGS LÄN</t>
        </is>
      </c>
      <c r="G103" t="inlineStr">
        <is>
          <t>JÖNKÖPING</t>
        </is>
      </c>
      <c r="I103" t="n">
        <v>1.7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Jungfrulin</t>
        </is>
      </c>
      <c r="W103">
        <f>HYPERLINK("https://klasma.github.io/Logging_0680/artfynd/A 33849-2025 artfynd.xlsx", "A 33849-2025")</f>
        <v/>
      </c>
      <c r="X103">
        <f>HYPERLINK("https://klasma.github.io/Logging_0680/kartor/A 33849-2025 karta.png", "A 33849-2025")</f>
        <v/>
      </c>
      <c r="Y103">
        <f>HYPERLINK("https://klasma.github.io/Logging_0680/kartor_geotiff/A 33849-2025 georefererad karta.tif", "A 33849-2025")</f>
        <v/>
      </c>
      <c r="AA103">
        <f>HYPERLINK("https://klasma.github.io/Logging_0680/klagomål/A 33849-2025 FSC-klagomål.docx", "A 33849-2025")</f>
        <v/>
      </c>
      <c r="AB103">
        <f>HYPERLINK("https://klasma.github.io/Logging_0680/klagomålsmail/A 33849-2025 FSC-klagomål mail.docx", "A 33849-2025")</f>
        <v/>
      </c>
      <c r="AC103">
        <f>HYPERLINK("https://klasma.github.io/Logging_0680/tillsyn/A 33849-2025 tillsynsbegäran.docx", "A 33849-2025")</f>
        <v/>
      </c>
      <c r="AD103">
        <f>HYPERLINK("https://klasma.github.io/Logging_0680/tillsynsmail/A 33849-2025 tillsynsbegäran mail.docx", "A 33849-2025")</f>
        <v/>
      </c>
    </row>
    <row r="104" ht="15" customHeight="1">
      <c r="A104" t="inlineStr">
        <is>
          <t>A 33405-2025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46306</v>
      </c>
      <c r="F104" t="inlineStr">
        <is>
          <t>JÖNKÖPINGS LÄN</t>
        </is>
      </c>
      <c r="G104" t="inlineStr">
        <is>
          <t>JÖNKÖPING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Läkeögontröst</t>
        </is>
      </c>
      <c r="W104">
        <f>HYPERLINK("https://klasma.github.io/Logging_0680/artfynd/A 33405-2025 artfynd.xlsx", "A 33405-2025")</f>
        <v/>
      </c>
      <c r="X104">
        <f>HYPERLINK("https://klasma.github.io/Logging_0680/kartor/A 33405-2025 karta.png", "A 33405-2025")</f>
        <v/>
      </c>
      <c r="Y104">
        <f>HYPERLINK("https://klasma.github.io/Logging_0680/kartor_geotiff/A 33405-2025 georefererad karta.tif", "A 33405-2025")</f>
        <v/>
      </c>
      <c r="AA104">
        <f>HYPERLINK("https://klasma.github.io/Logging_0680/klagomål/A 33405-2025 FSC-klagomål.docx", "A 33405-2025")</f>
        <v/>
      </c>
      <c r="AB104">
        <f>HYPERLINK("https://klasma.github.io/Logging_0680/klagomålsmail/A 33405-2025 FSC-klagomål mail.docx", "A 33405-2025")</f>
        <v/>
      </c>
      <c r="AC104">
        <f>HYPERLINK("https://klasma.github.io/Logging_0680/tillsyn/A 33405-2025 tillsynsbegäran.docx", "A 33405-2025")</f>
        <v/>
      </c>
      <c r="AD104">
        <f>HYPERLINK("https://klasma.github.io/Logging_0680/tillsynsmail/A 33405-2025 tillsynsbegäran mail.docx", "A 33405-2025")</f>
        <v/>
      </c>
    </row>
    <row r="105" ht="15" customHeight="1">
      <c r="A105" t="inlineStr">
        <is>
          <t>A 54325-2024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45616</v>
      </c>
      <c r="E105" s="1" t="n">
        <v>46306</v>
      </c>
      <c r="F105" t="inlineStr">
        <is>
          <t>JÖNKÖPINGS LÄN</t>
        </is>
      </c>
      <c r="G105" t="inlineStr">
        <is>
          <t>JÖNKÖPING</t>
        </is>
      </c>
      <c r="I105" t="n">
        <v>8.699999999999999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HYPERLINK("https://klasma.github.io/Logging_0680/artfynd/A 54325-2024 artfynd.xlsx", "A 54325-2024")</f>
        <v/>
      </c>
      <c r="X105">
        <f>HYPERLINK("https://klasma.github.io/Logging_0680/kartor/A 54325-2024 karta.png", "A 54325-2024")</f>
        <v/>
      </c>
      <c r="Y105">
        <f>HYPERLINK("https://klasma.github.io/Logging_0680/kartor_geotiff/A 54325-2024 georefererad karta.tif", "A 54325-2024")</f>
        <v/>
      </c>
      <c r="AA105">
        <f>HYPERLINK("https://klasma.github.io/Logging_0680/klagomål/A 54325-2024 FSC-klagomål.docx", "A 54325-2024")</f>
        <v/>
      </c>
      <c r="AB105">
        <f>HYPERLINK("https://klasma.github.io/Logging_0680/klagomålsmail/A 54325-2024 FSC-klagomål mail.docx", "A 54325-2024")</f>
        <v/>
      </c>
      <c r="AC105">
        <f>HYPERLINK("https://klasma.github.io/Logging_0680/tillsyn/A 54325-2024 tillsynsbegäran.docx", "A 54325-2024")</f>
        <v/>
      </c>
      <c r="AD105">
        <f>HYPERLINK("https://klasma.github.io/Logging_0680/tillsynsmail/A 54325-2024 tillsynsbegäran mail.docx", "A 54325-2024")</f>
        <v/>
      </c>
      <c r="AE105">
        <f>HYPERLINK("https://klasma.github.io/Logging_0680/fåglar/A 54325-2024 prioriterade fågelarter.docx", "A 54325-2024")</f>
        <v/>
      </c>
    </row>
    <row r="106" ht="15" customHeight="1">
      <c r="A106" t="inlineStr">
        <is>
          <t>A 62844-2023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46306</v>
      </c>
      <c r="F106" t="inlineStr">
        <is>
          <t>JÖNKÖPINGS LÄN</t>
        </is>
      </c>
      <c r="G106" t="inlineStr">
        <is>
          <t>JÖNKÖPING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4</v>
      </c>
      <c r="U106" t="n">
        <v>0</v>
      </c>
      <c r="V106" s="2" t="inlineStr">
        <is>
          <t>Ask</t>
        </is>
      </c>
      <c r="W106">
        <f>HYPERLINK("https://klasma.github.io/Logging_0680/artfynd/A 62844-2023 artfynd.xlsx", "A 62844-2023")</f>
        <v/>
      </c>
      <c r="X106">
        <f>HYPERLINK("https://klasma.github.io/Logging_0680/kartor/A 62844-2023 karta.png", "A 62844-2023")</f>
        <v/>
      </c>
      <c r="Y106">
        <f>HYPERLINK("https://klasma.github.io/Logging_0680/kartor_geotiff/A 62844-2023 georefererad karta.tif", "A 62844-2023")</f>
        <v/>
      </c>
      <c r="AA106">
        <f>HYPERLINK("https://klasma.github.io/Logging_0680/klagomål/A 62844-2023 FSC-klagomål.docx", "A 62844-2023")</f>
        <v/>
      </c>
      <c r="AB106">
        <f>HYPERLINK("https://klasma.github.io/Logging_0680/klagomålsmail/A 62844-2023 FSC-klagomål mail.docx", "A 62844-2023")</f>
        <v/>
      </c>
      <c r="AC106">
        <f>HYPERLINK("https://klasma.github.io/Logging_0680/tillsyn/A 62844-2023 tillsynsbegäran.docx", "A 62844-2023")</f>
        <v/>
      </c>
      <c r="AD106">
        <f>HYPERLINK("https://klasma.github.io/Logging_0680/tillsynsmail/A 62844-2023 tillsynsbegäran mail.docx", "A 62844-2023")</f>
        <v/>
      </c>
    </row>
    <row r="107" ht="15" customHeight="1">
      <c r="A107" t="inlineStr">
        <is>
          <t>A 48114-2023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46306</v>
      </c>
      <c r="F107" t="inlineStr">
        <is>
          <t>JÖNKÖPINGS LÄN</t>
        </is>
      </c>
      <c r="G107" t="inlineStr">
        <is>
          <t>JÖNKÖPING</t>
        </is>
      </c>
      <c r="I107" t="n">
        <v>9.300000000000001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HYPERLINK("https://klasma.github.io/Logging_0680/artfynd/A 48114-2023 artfynd.xlsx", "A 48114-2023")</f>
        <v/>
      </c>
      <c r="X107">
        <f>HYPERLINK("https://klasma.github.io/Logging_0680/kartor/A 48114-2023 karta.png", "A 48114-2023")</f>
        <v/>
      </c>
      <c r="Y107">
        <f>HYPERLINK("https://klasma.github.io/Logging_0680/kartor_geotiff/A 48114-2023 georefererad karta.tif", "A 48114-2023")</f>
        <v/>
      </c>
      <c r="AA107">
        <f>HYPERLINK("https://klasma.github.io/Logging_0680/klagomål/A 48114-2023 FSC-klagomål.docx", "A 48114-2023")</f>
        <v/>
      </c>
      <c r="AB107">
        <f>HYPERLINK("https://klasma.github.io/Logging_0680/klagomålsmail/A 48114-2023 FSC-klagomål mail.docx", "A 48114-2023")</f>
        <v/>
      </c>
      <c r="AC107">
        <f>HYPERLINK("https://klasma.github.io/Logging_0680/tillsyn/A 48114-2023 tillsynsbegäran.docx", "A 48114-2023")</f>
        <v/>
      </c>
      <c r="AD107">
        <f>HYPERLINK("https://klasma.github.io/Logging_0680/tillsynsmail/A 48114-2023 tillsynsbegäran mail.docx", "A 48114-2023")</f>
        <v/>
      </c>
    </row>
    <row r="108" ht="15" customHeight="1">
      <c r="A108" t="inlineStr">
        <is>
          <t>A 34597-2025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46306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Kyrkan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HYPERLINK("https://klasma.github.io/Logging_0680/artfynd/A 34597-2025 artfynd.xlsx", "A 34597-2025")</f>
        <v/>
      </c>
      <c r="X108">
        <f>HYPERLINK("https://klasma.github.io/Logging_0680/kartor/A 34597-2025 karta.png", "A 34597-2025")</f>
        <v/>
      </c>
      <c r="Y108">
        <f>HYPERLINK("https://klasma.github.io/Logging_0680/kartor_geotiff/A 34597-2025 georefererad karta.tif", "A 34597-2025")</f>
        <v/>
      </c>
      <c r="Z108">
        <f>HYPERLINK("https://klasma.github.io/Logging_0680/knärot/A 34597-2025 karta knärot.png", "A 34597-2025")</f>
        <v/>
      </c>
      <c r="AA108">
        <f>HYPERLINK("https://klasma.github.io/Logging_0680/klagomål/A 34597-2025 FSC-klagomål.docx", "A 34597-2025")</f>
        <v/>
      </c>
      <c r="AB108">
        <f>HYPERLINK("https://klasma.github.io/Logging_0680/klagomålsmail/A 34597-2025 FSC-klagomål mail.docx", "A 34597-2025")</f>
        <v/>
      </c>
      <c r="AC108">
        <f>HYPERLINK("https://klasma.github.io/Logging_0680/tillsyn/A 34597-2025 tillsynsbegäran.docx", "A 34597-2025")</f>
        <v/>
      </c>
      <c r="AD108">
        <f>HYPERLINK("https://klasma.github.io/Logging_0680/tillsynsmail/A 34597-2025 tillsynsbegäran mail.docx", "A 34597-2025")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46306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46306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15516-2026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46306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Revlummer</t>
        </is>
      </c>
      <c r="W111">
        <f>HYPERLINK("https://klasma.github.io/Logging_0680/artfynd/A 15516-2026 artfynd.xlsx", "A 15516-2026")</f>
        <v/>
      </c>
      <c r="X111">
        <f>HYPERLINK("https://klasma.github.io/Logging_0680/kartor/A 15516-2026 karta.png", "A 15516-2026")</f>
        <v/>
      </c>
      <c r="Y111">
        <f>HYPERLINK("https://klasma.github.io/Logging_0680/kartor_geotiff/A 15516-2026 georefererad karta.tif", "A 15516-2026")</f>
        <v/>
      </c>
      <c r="AA111">
        <f>HYPERLINK("https://klasma.github.io/Logging_0680/klagomål/A 15516-2026 FSC-klagomål.docx", "A 15516-2026")</f>
        <v/>
      </c>
      <c r="AB111">
        <f>HYPERLINK("https://klasma.github.io/Logging_0680/klagomålsmail/A 15516-2026 FSC-klagomål mail.docx", "A 15516-2026")</f>
        <v/>
      </c>
      <c r="AC111">
        <f>HYPERLINK("https://klasma.github.io/Logging_0680/tillsyn/A 15516-2026 tillsynsbegäran.docx", "A 15516-2026")</f>
        <v/>
      </c>
      <c r="AD111">
        <f>HYPERLINK("https://klasma.github.io/Logging_0680/tillsynsmail/A 15516-2026 tillsynsbegäran mail.docx", "A 15516-2026")</f>
        <v/>
      </c>
    </row>
    <row r="112" ht="15" customHeight="1">
      <c r="A112" t="inlineStr">
        <is>
          <t>A 43624-2023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46306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Gullpudra</t>
        </is>
      </c>
      <c r="W112">
        <f>HYPERLINK("https://klasma.github.io/Logging_0680/artfynd/A 43624-2023 artfynd.xlsx", "A 43624-2023")</f>
        <v/>
      </c>
      <c r="X112">
        <f>HYPERLINK("https://klasma.github.io/Logging_0680/kartor/A 43624-2023 karta.png", "A 43624-2023")</f>
        <v/>
      </c>
      <c r="Y112">
        <f>HYPERLINK("https://klasma.github.io/Logging_0680/kartor_geotiff/A 43624-2023 georefererad karta.tif", "A 43624-2023")</f>
        <v/>
      </c>
      <c r="AA112">
        <f>HYPERLINK("https://klasma.github.io/Logging_0680/klagomål/A 43624-2023 FSC-klagomål.docx", "A 43624-2023")</f>
        <v/>
      </c>
      <c r="AB112">
        <f>HYPERLINK("https://klasma.github.io/Logging_0680/klagomålsmail/A 43624-2023 FSC-klagomål mail.docx", "A 43624-2023")</f>
        <v/>
      </c>
      <c r="AC112">
        <f>HYPERLINK("https://klasma.github.io/Logging_0680/tillsyn/A 43624-2023 tillsynsbegäran.docx", "A 43624-2023")</f>
        <v/>
      </c>
      <c r="AD112">
        <f>HYPERLINK("https://klasma.github.io/Logging_0680/tillsynsmail/A 43624-2023 tillsynsbegäran mail.docx", "A 43624-2023")</f>
        <v/>
      </c>
    </row>
    <row r="113" ht="15" customHeight="1">
      <c r="A113" t="inlineStr">
        <is>
          <t>A 63550-2025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46306</v>
      </c>
      <c r="F113" t="inlineStr">
        <is>
          <t>JÖNKÖPINGS LÄN</t>
        </is>
      </c>
      <c r="G113" t="inlineStr">
        <is>
          <t>JÖNKÖPING</t>
        </is>
      </c>
      <c r="I113" t="n">
        <v>2.7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63550-2025 artfynd.xlsx", "A 63550-2025")</f>
        <v/>
      </c>
      <c r="X113">
        <f>HYPERLINK("https://klasma.github.io/Logging_0680/kartor/A 63550-2025 karta.png", "A 63550-2025")</f>
        <v/>
      </c>
      <c r="Y113">
        <f>HYPERLINK("https://klasma.github.io/Logging_0680/kartor_geotiff/A 63550-2025 georefererad karta.tif", "A 63550-2025")</f>
        <v/>
      </c>
      <c r="AA113">
        <f>HYPERLINK("https://klasma.github.io/Logging_0680/klagomål/A 63550-2025 FSC-klagomål.docx", "A 63550-2025")</f>
        <v/>
      </c>
      <c r="AB113">
        <f>HYPERLINK("https://klasma.github.io/Logging_0680/klagomålsmail/A 63550-2025 FSC-klagomål mail.docx", "A 63550-2025")</f>
        <v/>
      </c>
      <c r="AC113">
        <f>HYPERLINK("https://klasma.github.io/Logging_0680/tillsyn/A 63550-2025 tillsynsbegäran.docx", "A 63550-2025")</f>
        <v/>
      </c>
      <c r="AD113">
        <f>HYPERLINK("https://klasma.github.io/Logging_0680/tillsynsmail/A 63550-2025 tillsynsbegäran mail.docx", "A 63550-2025")</f>
        <v/>
      </c>
    </row>
    <row r="114" ht="15" customHeight="1">
      <c r="A114" t="inlineStr">
        <is>
          <t>A 5898-2023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46306</v>
      </c>
      <c r="F114" t="inlineStr">
        <is>
          <t>JÖNKÖPINGS LÄN</t>
        </is>
      </c>
      <c r="G114" t="inlineStr">
        <is>
          <t>JÖNKÖPING</t>
        </is>
      </c>
      <c r="I114" t="n">
        <v>4.1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HYPERLINK("https://klasma.github.io/Logging_0680/artfynd/A 5898-2023 artfynd.xlsx", "A 5898-2023")</f>
        <v/>
      </c>
      <c r="X114">
        <f>HYPERLINK("https://klasma.github.io/Logging_0680/kartor/A 5898-2023 karta.png", "A 5898-2023")</f>
        <v/>
      </c>
      <c r="Y114">
        <f>HYPERLINK("https://klasma.github.io/Logging_0680/kartor_geotiff/A 5898-2023 georefererad karta.tif", "A 5898-2023")</f>
        <v/>
      </c>
      <c r="AA114">
        <f>HYPERLINK("https://klasma.github.io/Logging_0680/klagomål/A 5898-2023 FSC-klagomål.docx", "A 5898-2023")</f>
        <v/>
      </c>
      <c r="AB114">
        <f>HYPERLINK("https://klasma.github.io/Logging_0680/klagomålsmail/A 5898-2023 FSC-klagomål mail.docx", "A 5898-2023")</f>
        <v/>
      </c>
      <c r="AC114">
        <f>HYPERLINK("https://klasma.github.io/Logging_0680/tillsyn/A 5898-2023 tillsynsbegäran.docx", "A 5898-2023")</f>
        <v/>
      </c>
      <c r="AD114">
        <f>HYPERLINK("https://klasma.github.io/Logging_0680/tillsynsmail/A 5898-2023 tillsynsbegäran mail.docx", "A 5898-2023")</f>
        <v/>
      </c>
    </row>
    <row r="115" ht="15" customHeight="1">
      <c r="A115" t="inlineStr">
        <is>
          <t>A 11260-2023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46306</v>
      </c>
      <c r="F115" t="inlineStr">
        <is>
          <t>JÖNKÖPINGS LÄN</t>
        </is>
      </c>
      <c r="G115" t="inlineStr">
        <is>
          <t>JÖNKÖPING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Knärot</t>
        </is>
      </c>
      <c r="W115">
        <f>HYPERLINK("https://klasma.github.io/Logging_0680/artfynd/A 11260-2023 artfynd.xlsx", "A 11260-2023")</f>
        <v/>
      </c>
      <c r="X115">
        <f>HYPERLINK("https://klasma.github.io/Logging_0680/kartor/A 11260-2023 karta.png", "A 11260-2023")</f>
        <v/>
      </c>
      <c r="Y115">
        <f>HYPERLINK("https://klasma.github.io/Logging_0680/kartor_geotiff/A 11260-2023 georefererad karta.tif", "A 11260-2023")</f>
        <v/>
      </c>
      <c r="Z115">
        <f>HYPERLINK("https://klasma.github.io/Logging_0680/knärot/A 11260-2023 karta knärot.png", "A 11260-2023")</f>
        <v/>
      </c>
      <c r="AA115">
        <f>HYPERLINK("https://klasma.github.io/Logging_0680/klagomål/A 11260-2023 FSC-klagomål.docx", "A 11260-2023")</f>
        <v/>
      </c>
      <c r="AB115">
        <f>HYPERLINK("https://klasma.github.io/Logging_0680/klagomålsmail/A 11260-2023 FSC-klagomål mail.docx", "A 11260-2023")</f>
        <v/>
      </c>
      <c r="AC115">
        <f>HYPERLINK("https://klasma.github.io/Logging_0680/tillsyn/A 11260-2023 tillsynsbegäran.docx", "A 11260-2023")</f>
        <v/>
      </c>
      <c r="AD115">
        <f>HYPERLINK("https://klasma.github.io/Logging_0680/tillsynsmail/A 11260-2023 tillsynsbegäran mail.docx", "A 11260-2023")</f>
        <v/>
      </c>
    </row>
    <row r="116" ht="15" customHeight="1">
      <c r="A116" t="inlineStr">
        <is>
          <t>A 4582-2026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46306</v>
      </c>
      <c r="F116" t="inlineStr">
        <is>
          <t>JÖNKÖPINGS LÄN</t>
        </is>
      </c>
      <c r="G116" t="inlineStr">
        <is>
          <t>JÖNKÖPING</t>
        </is>
      </c>
      <c r="I116" t="n">
        <v>0.5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Grovticka</t>
        </is>
      </c>
      <c r="W116">
        <f>HYPERLINK("https://klasma.github.io/Logging_0680/artfynd/A 4582-2026 artfynd.xlsx", "A 4582-2026")</f>
        <v/>
      </c>
      <c r="X116">
        <f>HYPERLINK("https://klasma.github.io/Logging_0680/kartor/A 4582-2026 karta.png", "A 4582-2026")</f>
        <v/>
      </c>
      <c r="Y116">
        <f>HYPERLINK("https://klasma.github.io/Logging_0680/kartor_geotiff/A 4582-2026 georefererad karta.tif", "A 4582-2026")</f>
        <v/>
      </c>
      <c r="AA116">
        <f>HYPERLINK("https://klasma.github.io/Logging_0680/klagomål/A 4582-2026 FSC-klagomål.docx", "A 4582-2026")</f>
        <v/>
      </c>
      <c r="AB116">
        <f>HYPERLINK("https://klasma.github.io/Logging_0680/klagomålsmail/A 4582-2026 FSC-klagomål mail.docx", "A 4582-2026")</f>
        <v/>
      </c>
      <c r="AC116">
        <f>HYPERLINK("https://klasma.github.io/Logging_0680/tillsyn/A 4582-2026 tillsynsbegäran.docx", "A 4582-2026")</f>
        <v/>
      </c>
      <c r="AD116">
        <f>HYPERLINK("https://klasma.github.io/Logging_0680/tillsynsmail/A 4582-2026 tillsynsbegäran mail.docx", "A 4582-2026")</f>
        <v/>
      </c>
    </row>
    <row r="117" ht="15" customHeight="1">
      <c r="A117" t="inlineStr">
        <is>
          <t>A 6168-2026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46306</v>
      </c>
      <c r="F117" t="inlineStr">
        <is>
          <t>JÖNKÖPINGS LÄN</t>
        </is>
      </c>
      <c r="G117" t="inlineStr">
        <is>
          <t>JÖNKÖPING</t>
        </is>
      </c>
      <c r="I117" t="n">
        <v>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aspticka</t>
        </is>
      </c>
      <c r="W117">
        <f>HYPERLINK("https://klasma.github.io/Logging_0680/artfynd/A 6168-2026 artfynd.xlsx", "A 6168-2026")</f>
        <v/>
      </c>
      <c r="X117">
        <f>HYPERLINK("https://klasma.github.io/Logging_0680/kartor/A 6168-2026 karta.png", "A 6168-2026")</f>
        <v/>
      </c>
      <c r="Y117">
        <f>HYPERLINK("https://klasma.github.io/Logging_0680/kartor_geotiff/A 6168-2026 georefererad karta.tif", "A 6168-2026")</f>
        <v/>
      </c>
      <c r="AA117">
        <f>HYPERLINK("https://klasma.github.io/Logging_0680/klagomål/A 6168-2026 FSC-klagomål.docx", "A 6168-2026")</f>
        <v/>
      </c>
      <c r="AB117">
        <f>HYPERLINK("https://klasma.github.io/Logging_0680/klagomålsmail/A 6168-2026 FSC-klagomål mail.docx", "A 6168-2026")</f>
        <v/>
      </c>
      <c r="AC117">
        <f>HYPERLINK("https://klasma.github.io/Logging_0680/tillsyn/A 6168-2026 tillsynsbegäran.docx", "A 6168-2026")</f>
        <v/>
      </c>
      <c r="AD117">
        <f>HYPERLINK("https://klasma.github.io/Logging_0680/tillsynsmail/A 6168-2026 tillsynsbegäran mail.docx", "A 6168-2026")</f>
        <v/>
      </c>
    </row>
    <row r="118" ht="15" customHeight="1">
      <c r="A118" t="inlineStr">
        <is>
          <t>A 7511-2026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46306</v>
      </c>
      <c r="F118" t="inlineStr">
        <is>
          <t>JÖNKÖPINGS LÄN</t>
        </is>
      </c>
      <c r="G118" t="inlineStr">
        <is>
          <t>JÖNKÖPING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HYPERLINK("https://klasma.github.io/Logging_0680/artfynd/A 7511-2026 artfynd.xlsx", "A 7511-2026")</f>
        <v/>
      </c>
      <c r="X118">
        <f>HYPERLINK("https://klasma.github.io/Logging_0680/kartor/A 7511-2026 karta.png", "A 7511-2026")</f>
        <v/>
      </c>
      <c r="Y118">
        <f>HYPERLINK("https://klasma.github.io/Logging_0680/kartor_geotiff/A 7511-2026 georefererad karta.tif", "A 7511-2026")</f>
        <v/>
      </c>
      <c r="AA118">
        <f>HYPERLINK("https://klasma.github.io/Logging_0680/klagomål/A 7511-2026 FSC-klagomål.docx", "A 7511-2026")</f>
        <v/>
      </c>
      <c r="AB118">
        <f>HYPERLINK("https://klasma.github.io/Logging_0680/klagomålsmail/A 7511-2026 FSC-klagomål mail.docx", "A 7511-2026")</f>
        <v/>
      </c>
      <c r="AC118">
        <f>HYPERLINK("https://klasma.github.io/Logging_0680/tillsyn/A 7511-2026 tillsynsbegäran.docx", "A 7511-2026")</f>
        <v/>
      </c>
      <c r="AD118">
        <f>HYPERLINK("https://klasma.github.io/Logging_0680/tillsynsmail/A 7511-2026 tillsynsbegäran mail.docx", "A 7511-2026")</f>
        <v/>
      </c>
    </row>
    <row r="119" ht="15" customHeight="1">
      <c r="A119" t="inlineStr">
        <is>
          <t>A 23234-2026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46306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Klasefibbla</t>
        </is>
      </c>
      <c r="W119">
        <f>HYPERLINK("https://klasma.github.io/Logging_0680/artfynd/A 23234-2026 artfynd.xlsx", "A 23234-2026")</f>
        <v/>
      </c>
      <c r="X119">
        <f>HYPERLINK("https://klasma.github.io/Logging_0680/kartor/A 23234-2026 karta.png", "A 23234-2026")</f>
        <v/>
      </c>
      <c r="Y119">
        <f>HYPERLINK("https://klasma.github.io/Logging_0680/kartor_geotiff/A 23234-2026 georefererad karta.tif", "A 23234-2026")</f>
        <v/>
      </c>
      <c r="AA119">
        <f>HYPERLINK("https://klasma.github.io/Logging_0680/klagomål/A 23234-2026 FSC-klagomål.docx", "A 23234-2026")</f>
        <v/>
      </c>
      <c r="AB119">
        <f>HYPERLINK("https://klasma.github.io/Logging_0680/klagomålsmail/A 23234-2026 FSC-klagomål mail.docx", "A 23234-2026")</f>
        <v/>
      </c>
      <c r="AC119">
        <f>HYPERLINK("https://klasma.github.io/Logging_0680/tillsyn/A 23234-2026 tillsynsbegäran.docx", "A 23234-2026")</f>
        <v/>
      </c>
      <c r="AD119">
        <f>HYPERLINK("https://klasma.github.io/Logging_0680/tillsynsmail/A 23234-2026 tillsynsbegäran mail.docx", "A 23234-2026")</f>
        <v/>
      </c>
    </row>
    <row r="120" ht="15" customHeight="1">
      <c r="A120" t="inlineStr">
        <is>
          <t>A 23260-2026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46162</v>
      </c>
      <c r="E120" s="1" t="n">
        <v>46306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23260-2026 artfynd.xlsx", "A 23260-2026")</f>
        <v/>
      </c>
      <c r="X120">
        <f>HYPERLINK("https://klasma.github.io/Logging_0680/kartor/A 23260-2026 karta.png", "A 23260-2026")</f>
        <v/>
      </c>
      <c r="Y120">
        <f>HYPERLINK("https://klasma.github.io/Logging_0680/kartor_geotiff/A 23260-2026 georefererad karta.tif", "A 23260-2026")</f>
        <v/>
      </c>
      <c r="AA120">
        <f>HYPERLINK("https://klasma.github.io/Logging_0680/klagomål/A 23260-2026 FSC-klagomål.docx", "A 23260-2026")</f>
        <v/>
      </c>
      <c r="AB120">
        <f>HYPERLINK("https://klasma.github.io/Logging_0680/klagomålsmail/A 23260-2026 FSC-klagomål mail.docx", "A 23260-2026")</f>
        <v/>
      </c>
      <c r="AC120">
        <f>HYPERLINK("https://klasma.github.io/Logging_0680/tillsyn/A 23260-2026 tillsynsbegäran.docx", "A 23260-2026")</f>
        <v/>
      </c>
      <c r="AD120">
        <f>HYPERLINK("https://klasma.github.io/Logging_0680/tillsynsmail/A 23260-2026 tillsynsbegäran mail.docx", "A 23260-2026")</f>
        <v/>
      </c>
    </row>
    <row r="121" ht="15" customHeight="1">
      <c r="A121" t="inlineStr">
        <is>
          <t>A 29462-2026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46306</v>
      </c>
      <c r="F121" t="inlineStr">
        <is>
          <t>JÖNKÖPINGS LÄN</t>
        </is>
      </c>
      <c r="G121" t="inlineStr">
        <is>
          <t>JÖNKÖPING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Knärot</t>
        </is>
      </c>
      <c r="W121">
        <f>HYPERLINK("https://klasma.github.io/Logging_0680/artfynd/A 29462-2026 artfynd.xlsx", "A 29462-2026")</f>
        <v/>
      </c>
      <c r="X121">
        <f>HYPERLINK("https://klasma.github.io/Logging_0680/kartor/A 29462-2026 karta.png", "A 29462-2026")</f>
        <v/>
      </c>
      <c r="Y121">
        <f>HYPERLINK("https://klasma.github.io/Logging_0680/kartor_geotiff/A 29462-2026 georefererad karta.tif", "A 29462-2026")</f>
        <v/>
      </c>
      <c r="Z121">
        <f>HYPERLINK("https://klasma.github.io/Logging_0680/knärot/A 29462-2026 karta knärot.png", "A 29462-2026")</f>
        <v/>
      </c>
      <c r="AA121">
        <f>HYPERLINK("https://klasma.github.io/Logging_0680/klagomål/A 29462-2026 FSC-klagomål.docx", "A 29462-2026")</f>
        <v/>
      </c>
      <c r="AB121">
        <f>HYPERLINK("https://klasma.github.io/Logging_0680/klagomålsmail/A 29462-2026 FSC-klagomål mail.docx", "A 29462-2026")</f>
        <v/>
      </c>
      <c r="AC121">
        <f>HYPERLINK("https://klasma.github.io/Logging_0680/tillsyn/A 29462-2026 tillsynsbegäran.docx", "A 29462-2026")</f>
        <v/>
      </c>
      <c r="AD121">
        <f>HYPERLINK("https://klasma.github.io/Logging_0680/tillsynsmail/A 29462-2026 tillsynsbegäran mail.docx", "A 29462-2026")</f>
        <v/>
      </c>
    </row>
    <row r="122" ht="15" customHeight="1">
      <c r="A122" t="inlineStr">
        <is>
          <t>A 30718-2026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46211</v>
      </c>
      <c r="E122" s="1" t="n">
        <v>46306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11.4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Spindelblomster</t>
        </is>
      </c>
      <c r="W122">
        <f>HYPERLINK("https://klasma.github.io/Logging_0680/artfynd/A 30718-2026 artfynd.xlsx", "A 30718-2026")</f>
        <v/>
      </c>
      <c r="X122">
        <f>HYPERLINK("https://klasma.github.io/Logging_0680/kartor/A 30718-2026 karta.png", "A 30718-2026")</f>
        <v/>
      </c>
      <c r="Y122">
        <f>HYPERLINK("https://klasma.github.io/Logging_0680/kartor_geotiff/A 30718-2026 georefererad karta.tif", "A 30718-2026")</f>
        <v/>
      </c>
      <c r="AA122">
        <f>HYPERLINK("https://klasma.github.io/Logging_0680/klagomål/A 30718-2026 FSC-klagomål.docx", "A 30718-2026")</f>
        <v/>
      </c>
      <c r="AB122">
        <f>HYPERLINK("https://klasma.github.io/Logging_0680/klagomålsmail/A 30718-2026 FSC-klagomål mail.docx", "A 30718-2026")</f>
        <v/>
      </c>
      <c r="AC122">
        <f>HYPERLINK("https://klasma.github.io/Logging_0680/tillsyn/A 30718-2026 tillsynsbegäran.docx", "A 30718-2026")</f>
        <v/>
      </c>
      <c r="AD122">
        <f>HYPERLINK("https://klasma.github.io/Logging_0680/tillsynsmail/A 30718-2026 tillsynsbegäran mail.docx", "A 30718-2026")</f>
        <v/>
      </c>
    </row>
    <row r="123" ht="15" customHeight="1">
      <c r="A123" t="inlineStr">
        <is>
          <t>A 30868-2026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46306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Grönvit nattviol</t>
        </is>
      </c>
      <c r="W123">
        <f>HYPERLINK("https://klasma.github.io/Logging_0680/artfynd/A 30868-2026 artfynd.xlsx", "A 30868-2026")</f>
        <v/>
      </c>
      <c r="X123">
        <f>HYPERLINK("https://klasma.github.io/Logging_0680/kartor/A 30868-2026 karta.png", "A 30868-2026")</f>
        <v/>
      </c>
      <c r="Y123">
        <f>HYPERLINK("https://klasma.github.io/Logging_0680/kartor_geotiff/A 30868-2026 georefererad karta.tif", "A 30868-2026")</f>
        <v/>
      </c>
      <c r="AA123">
        <f>HYPERLINK("https://klasma.github.io/Logging_0680/klagomål/A 30868-2026 FSC-klagomål.docx", "A 30868-2026")</f>
        <v/>
      </c>
      <c r="AB123">
        <f>HYPERLINK("https://klasma.github.io/Logging_0680/klagomålsmail/A 30868-2026 FSC-klagomål mail.docx", "A 30868-2026")</f>
        <v/>
      </c>
      <c r="AC123">
        <f>HYPERLINK("https://klasma.github.io/Logging_0680/tillsyn/A 30868-2026 tillsynsbegäran.docx", "A 30868-2026")</f>
        <v/>
      </c>
      <c r="AD123">
        <f>HYPERLINK("https://klasma.github.io/Logging_0680/tillsynsmail/A 30868-2026 tillsynsbegäran mail.docx", "A 30868-2026")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46306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46306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46306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46306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41618-2026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46306</v>
      </c>
      <c r="F128" t="inlineStr">
        <is>
          <t>JÖNKÖPINGS LÄN</t>
        </is>
      </c>
      <c r="G128" t="inlineStr">
        <is>
          <t>JÖNKÖPING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HYPERLINK("https://klasma.github.io/Logging_0680/artfynd/A 41618-2026 artfynd.xlsx", "A 41618-2026")</f>
        <v/>
      </c>
      <c r="X128">
        <f>HYPERLINK("https://klasma.github.io/Logging_0680/kartor/A 41618-2026 karta.png", "A 41618-2026")</f>
        <v/>
      </c>
      <c r="Y128">
        <f>HYPERLINK("https://klasma.github.io/Logging_0680/kartor_geotiff/A 41618-2026 georefererad karta.tif", "A 41618-2026")</f>
        <v/>
      </c>
      <c r="AA128">
        <f>HYPERLINK("https://klasma.github.io/Logging_0680/klagomål/A 41618-2026 FSC-klagomål.docx", "A 41618-2026")</f>
        <v/>
      </c>
      <c r="AB128">
        <f>HYPERLINK("https://klasma.github.io/Logging_0680/klagomålsmail/A 41618-2026 FSC-klagomål mail.docx", "A 41618-2026")</f>
        <v/>
      </c>
      <c r="AC128">
        <f>HYPERLINK("https://klasma.github.io/Logging_0680/tillsyn/A 41618-2026 tillsynsbegäran.docx", "A 41618-2026")</f>
        <v/>
      </c>
      <c r="AD128">
        <f>HYPERLINK("https://klasma.github.io/Logging_0680/tillsynsmail/A 41618-2026 tillsynsbegäran mail.docx", "A 41618-2026")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46306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46306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46306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46306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46306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46306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46306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46306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46306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46306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46306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46306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46306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46306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46306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46306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46306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46306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46306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46306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46306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46306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46306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46306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46306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46306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46306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46306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46306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46306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46306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46306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46306</v>
      </c>
      <c r="F161" t="inlineStr">
        <is>
          <t>JÖNKÖPINGS LÄN</t>
        </is>
      </c>
      <c r="G161" t="inlineStr">
        <is>
          <t>JÖNKÖPING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44792</v>
      </c>
      <c r="E162" s="1" t="n">
        <v>46306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46306</v>
      </c>
      <c r="F163" t="inlineStr">
        <is>
          <t>JÖNKÖPINGS LÄN</t>
        </is>
      </c>
      <c r="G163" t="inlineStr">
        <is>
          <t>JÖNKÖPING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44787</v>
      </c>
      <c r="E164" s="1" t="n">
        <v>46306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46306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44488</v>
      </c>
      <c r="E166" s="1" t="n">
        <v>46306</v>
      </c>
      <c r="F166" t="inlineStr">
        <is>
          <t>JÖNKÖPINGS LÄN</t>
        </is>
      </c>
      <c r="G166" t="inlineStr">
        <is>
          <t>JÖNKÖPING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46306</v>
      </c>
      <c r="F167" t="inlineStr">
        <is>
          <t>JÖNKÖPINGS LÄN</t>
        </is>
      </c>
      <c r="G167" t="inlineStr">
        <is>
          <t>JÖNKÖPING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46306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46306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46306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46306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46306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46306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46306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46306</v>
      </c>
      <c r="F175" t="inlineStr">
        <is>
          <t>JÖNKÖPINGS LÄN</t>
        </is>
      </c>
      <c r="G175" t="inlineStr">
        <is>
          <t>JÖNKÖPING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46306</v>
      </c>
      <c r="F176" t="inlineStr">
        <is>
          <t>JÖNKÖPINGS LÄN</t>
        </is>
      </c>
      <c r="G176" t="inlineStr">
        <is>
          <t>JÖNKÖPING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61253-2021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44498</v>
      </c>
      <c r="E177" s="1" t="n">
        <v>46306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46306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46306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46306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46306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46306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44579</v>
      </c>
      <c r="E183" s="1" t="n">
        <v>46306</v>
      </c>
      <c r="F183" t="inlineStr">
        <is>
          <t>JÖNKÖPINGS LÄN</t>
        </is>
      </c>
      <c r="G183" t="inlineStr">
        <is>
          <t>JÖNKÖPING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74120-2021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46306</v>
      </c>
      <c r="F184" t="inlineStr">
        <is>
          <t>JÖNKÖPINGS LÄN</t>
        </is>
      </c>
      <c r="G184" t="inlineStr">
        <is>
          <t>JÖNKÖPING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44616</v>
      </c>
      <c r="E185" s="1" t="n">
        <v>46306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46306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46306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46306</v>
      </c>
      <c r="F188" t="inlineStr">
        <is>
          <t>JÖNKÖPINGS LÄN</t>
        </is>
      </c>
      <c r="G188" t="inlineStr">
        <is>
          <t>JÖNKÖPING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46306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44805</v>
      </c>
      <c r="E190" s="1" t="n">
        <v>46306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44811</v>
      </c>
      <c r="E191" s="1" t="n">
        <v>46306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46306</v>
      </c>
      <c r="F192" t="inlineStr">
        <is>
          <t>JÖNKÖPINGS LÄN</t>
        </is>
      </c>
      <c r="G192" t="inlineStr">
        <is>
          <t>JÖNKÖPING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45406</v>
      </c>
      <c r="E193" s="1" t="n">
        <v>46306</v>
      </c>
      <c r="F193" t="inlineStr">
        <is>
          <t>JÖNKÖPINGS LÄN</t>
        </is>
      </c>
      <c r="G193" t="inlineStr">
        <is>
          <t>JÖNKÖPING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46306</v>
      </c>
      <c r="F194" t="inlineStr">
        <is>
          <t>JÖNKÖPINGS LÄN</t>
        </is>
      </c>
      <c r="G194" t="inlineStr">
        <is>
          <t>JÖNKÖPING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46306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46306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46306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46306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Kommuner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46306</v>
      </c>
      <c r="F199" t="inlineStr">
        <is>
          <t>JÖNKÖPINGS LÄN</t>
        </is>
      </c>
      <c r="G199" t="inlineStr">
        <is>
          <t>JÖNKÖPING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46306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46306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46306</v>
      </c>
      <c r="F202" t="inlineStr">
        <is>
          <t>JÖNKÖPINGS LÄN</t>
        </is>
      </c>
      <c r="G202" t="inlineStr">
        <is>
          <t>JÖNKÖPING</t>
        </is>
      </c>
      <c r="H202" t="inlineStr">
        <is>
          <t>Kommuner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46306</v>
      </c>
      <c r="F203" t="inlineStr">
        <is>
          <t>JÖNKÖPINGS LÄN</t>
        </is>
      </c>
      <c r="G203" t="inlineStr">
        <is>
          <t>JÖNKÖPING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46306</v>
      </c>
      <c r="F204" t="inlineStr">
        <is>
          <t>JÖNKÖPINGS LÄN</t>
        </is>
      </c>
      <c r="G204" t="inlineStr">
        <is>
          <t>JÖNKÖPING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46306</v>
      </c>
      <c r="F205" t="inlineStr">
        <is>
          <t>JÖNKÖPINGS LÄN</t>
        </is>
      </c>
      <c r="G205" t="inlineStr">
        <is>
          <t>JÖNKÖPING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46306</v>
      </c>
      <c r="F206" t="inlineStr">
        <is>
          <t>JÖNKÖPINGS LÄN</t>
        </is>
      </c>
      <c r="G206" t="inlineStr">
        <is>
          <t>JÖNKÖPING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46306</v>
      </c>
      <c r="F207" t="inlineStr">
        <is>
          <t>JÖNKÖPINGS LÄN</t>
        </is>
      </c>
      <c r="G207" t="inlineStr">
        <is>
          <t>JÖNKÖPING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46306</v>
      </c>
      <c r="F208" t="inlineStr">
        <is>
          <t>JÖNKÖPINGS LÄN</t>
        </is>
      </c>
      <c r="G208" t="inlineStr">
        <is>
          <t>JÖNKÖPING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46306</v>
      </c>
      <c r="F209" t="inlineStr">
        <is>
          <t>JÖNKÖPINGS LÄN</t>
        </is>
      </c>
      <c r="G209" t="inlineStr">
        <is>
          <t>JÖNKÖPING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46306</v>
      </c>
      <c r="F210" t="inlineStr">
        <is>
          <t>JÖNKÖPINGS LÄN</t>
        </is>
      </c>
      <c r="G210" t="inlineStr">
        <is>
          <t>JÖNKÖPING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45605</v>
      </c>
      <c r="E211" s="1" t="n">
        <v>46306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46306</v>
      </c>
      <c r="F212" t="inlineStr">
        <is>
          <t>JÖNKÖPINGS LÄN</t>
        </is>
      </c>
      <c r="G212" t="inlineStr">
        <is>
          <t>JÖNKÖPING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46306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8554-2024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45355</v>
      </c>
      <c r="E214" s="1" t="n">
        <v>46306</v>
      </c>
      <c r="F214" t="inlineStr">
        <is>
          <t>JÖNKÖPINGS LÄN</t>
        </is>
      </c>
      <c r="G214" t="inlineStr">
        <is>
          <t>JÖNKÖPING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46306</v>
      </c>
      <c r="F215" t="inlineStr">
        <is>
          <t>JÖNKÖPINGS LÄN</t>
        </is>
      </c>
      <c r="G215" t="inlineStr">
        <is>
          <t>JÖNKÖPING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45152</v>
      </c>
      <c r="E216" s="1" t="n">
        <v>46306</v>
      </c>
      <c r="F216" t="inlineStr">
        <is>
          <t>JÖNKÖPINGS LÄN</t>
        </is>
      </c>
      <c r="G216" t="inlineStr">
        <is>
          <t>JÖNKÖPING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46306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Kyrkan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46306</v>
      </c>
      <c r="F218" t="inlineStr">
        <is>
          <t>JÖNKÖPINGS LÄN</t>
        </is>
      </c>
      <c r="G218" t="inlineStr">
        <is>
          <t>JÖNKÖPING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46306</v>
      </c>
      <c r="F219" t="inlineStr">
        <is>
          <t>JÖNKÖPINGS LÄN</t>
        </is>
      </c>
      <c r="G219" t="inlineStr">
        <is>
          <t>JÖNKÖPING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46306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46306</v>
      </c>
      <c r="F221" t="inlineStr">
        <is>
          <t>JÖNKÖPINGS LÄN</t>
        </is>
      </c>
      <c r="G221" t="inlineStr">
        <is>
          <t>JÖNKÖPING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46306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46306</v>
      </c>
      <c r="F223" t="inlineStr">
        <is>
          <t>JÖNKÖPINGS LÄN</t>
        </is>
      </c>
      <c r="G223" t="inlineStr">
        <is>
          <t>JÖNKÖPING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46306</v>
      </c>
      <c r="F224" t="inlineStr">
        <is>
          <t>JÖNKÖPINGS LÄN</t>
        </is>
      </c>
      <c r="G224" t="inlineStr">
        <is>
          <t>JÖNKÖPING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46306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45697</v>
      </c>
      <c r="E226" s="1" t="n">
        <v>46306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46306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45201</v>
      </c>
      <c r="E228" s="1" t="n">
        <v>46306</v>
      </c>
      <c r="F228" t="inlineStr">
        <is>
          <t>JÖNKÖPINGS LÄN</t>
        </is>
      </c>
      <c r="G228" t="inlineStr">
        <is>
          <t>JÖNKÖPING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56062-2023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45240</v>
      </c>
      <c r="E229" s="1" t="n">
        <v>46306</v>
      </c>
      <c r="F229" t="inlineStr">
        <is>
          <t>JÖNKÖPINGS LÄN</t>
        </is>
      </c>
      <c r="G229" t="inlineStr">
        <is>
          <t>JÖNKÖPING</t>
        </is>
      </c>
      <c r="I229" t="n">
        <v>13.6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46306</v>
      </c>
      <c r="F230" t="inlineStr">
        <is>
          <t>JÖNKÖPINGS LÄN</t>
        </is>
      </c>
      <c r="G230" t="inlineStr">
        <is>
          <t>JÖNKÖPING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46306</v>
      </c>
      <c r="F231" t="inlineStr">
        <is>
          <t>JÖNKÖPINGS LÄN</t>
        </is>
      </c>
      <c r="G231" t="inlineStr">
        <is>
          <t>JÖNKÖPING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46306</v>
      </c>
      <c r="F232" t="inlineStr">
        <is>
          <t>JÖNKÖPINGS LÄN</t>
        </is>
      </c>
      <c r="G232" t="inlineStr">
        <is>
          <t>JÖNKÖPING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46306</v>
      </c>
      <c r="F233" t="inlineStr">
        <is>
          <t>JÖNKÖPINGS LÄN</t>
        </is>
      </c>
      <c r="G233" t="inlineStr">
        <is>
          <t>JÖNKÖPING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46306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45270</v>
      </c>
      <c r="E235" s="1" t="n">
        <v>46306</v>
      </c>
      <c r="F235" t="inlineStr">
        <is>
          <t>JÖNKÖPINGS LÄN</t>
        </is>
      </c>
      <c r="G235" t="inlineStr">
        <is>
          <t>JÖNKÖPING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46306</v>
      </c>
      <c r="F236" t="inlineStr">
        <is>
          <t>JÖNKÖPINGS LÄN</t>
        </is>
      </c>
      <c r="G236" t="inlineStr">
        <is>
          <t>JÖNKÖPING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46306</v>
      </c>
      <c r="F237" t="inlineStr">
        <is>
          <t>JÖNKÖPINGS LÄN</t>
        </is>
      </c>
      <c r="G237" t="inlineStr">
        <is>
          <t>JÖNKÖPING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46306</v>
      </c>
      <c r="F238" t="inlineStr">
        <is>
          <t>JÖNKÖPINGS LÄN</t>
        </is>
      </c>
      <c r="G238" t="inlineStr">
        <is>
          <t>JÖNKÖPING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46306</v>
      </c>
      <c r="F239" t="inlineStr">
        <is>
          <t>JÖNKÖPINGS LÄN</t>
        </is>
      </c>
      <c r="G239" t="inlineStr">
        <is>
          <t>JÖNKÖPING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46306</v>
      </c>
      <c r="F240" t="inlineStr">
        <is>
          <t>JÖNKÖPINGS LÄN</t>
        </is>
      </c>
      <c r="G240" t="inlineStr">
        <is>
          <t>JÖNKÖPING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46306</v>
      </c>
      <c r="F241" t="inlineStr">
        <is>
          <t>JÖNKÖPINGS LÄN</t>
        </is>
      </c>
      <c r="G241" t="inlineStr">
        <is>
          <t>JÖNKÖPING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47740-2024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46306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46306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Övriga statliga verk och myndigheter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9924-2023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44985</v>
      </c>
      <c r="E244" s="1" t="n">
        <v>46306</v>
      </c>
      <c r="F244" t="inlineStr">
        <is>
          <t>JÖNKÖPINGS LÄN</t>
        </is>
      </c>
      <c r="G244" t="inlineStr">
        <is>
          <t>JÖNKÖPING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45111</v>
      </c>
      <c r="E245" s="1" t="n">
        <v>46306</v>
      </c>
      <c r="F245" t="inlineStr">
        <is>
          <t>JÖNKÖPINGS LÄN</t>
        </is>
      </c>
      <c r="G245" t="inlineStr">
        <is>
          <t>JÖNKÖPING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45112</v>
      </c>
      <c r="E246" s="1" t="n">
        <v>46306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44950</v>
      </c>
      <c r="E247" s="1" t="n">
        <v>46306</v>
      </c>
      <c r="F247" t="inlineStr">
        <is>
          <t>JÖNKÖPINGS LÄN</t>
        </is>
      </c>
      <c r="G247" t="inlineStr">
        <is>
          <t>JÖNKÖPING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46306</v>
      </c>
      <c r="F248" t="inlineStr">
        <is>
          <t>JÖNKÖPINGS LÄN</t>
        </is>
      </c>
      <c r="G248" t="inlineStr">
        <is>
          <t>JÖNKÖPING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46306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Övriga Aktiebolag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28337-2023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46306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46306</v>
      </c>
      <c r="F251" t="inlineStr">
        <is>
          <t>JÖNKÖPINGS LÄN</t>
        </is>
      </c>
      <c r="G251" t="inlineStr">
        <is>
          <t>JÖNKÖPING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45363</v>
      </c>
      <c r="E252" s="1" t="n">
        <v>46306</v>
      </c>
      <c r="F252" t="inlineStr">
        <is>
          <t>JÖNKÖPINGS LÄN</t>
        </is>
      </c>
      <c r="G252" t="inlineStr">
        <is>
          <t>JÖNKÖPING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46306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46306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43668-2022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44837</v>
      </c>
      <c r="E255" s="1" t="n">
        <v>46306</v>
      </c>
      <c r="F255" t="inlineStr">
        <is>
          <t>JÖNKÖPINGS LÄN</t>
        </is>
      </c>
      <c r="G255" t="inlineStr">
        <is>
          <t>JÖNKÖPING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45477</v>
      </c>
      <c r="E256" s="1" t="n">
        <v>46306</v>
      </c>
      <c r="F256" t="inlineStr">
        <is>
          <t>JÖNKÖPINGS LÄN</t>
        </is>
      </c>
      <c r="G256" t="inlineStr">
        <is>
          <t>JÖNKÖPING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45177</v>
      </c>
      <c r="E257" s="1" t="n">
        <v>46306</v>
      </c>
      <c r="F257" t="inlineStr">
        <is>
          <t>JÖNKÖPINGS LÄN</t>
        </is>
      </c>
      <c r="G257" t="inlineStr">
        <is>
          <t>JÖNKÖPING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45223</v>
      </c>
      <c r="E258" s="1" t="n">
        <v>46306</v>
      </c>
      <c r="F258" t="inlineStr">
        <is>
          <t>JÖNKÖPINGS LÄN</t>
        </is>
      </c>
      <c r="G258" t="inlineStr">
        <is>
          <t>JÖNKÖPING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46306</v>
      </c>
      <c r="F259" t="inlineStr">
        <is>
          <t>JÖNKÖPINGS LÄN</t>
        </is>
      </c>
      <c r="G259" t="inlineStr">
        <is>
          <t>JÖNKÖPING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46306</v>
      </c>
      <c r="F260" t="inlineStr">
        <is>
          <t>JÖNKÖPINGS LÄN</t>
        </is>
      </c>
      <c r="G260" t="inlineStr">
        <is>
          <t>JÖNKÖPING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46306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45455</v>
      </c>
      <c r="E262" s="1" t="n">
        <v>46306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44963</v>
      </c>
      <c r="E263" s="1" t="n">
        <v>46306</v>
      </c>
      <c r="F263" t="inlineStr">
        <is>
          <t>JÖNKÖPINGS LÄN</t>
        </is>
      </c>
      <c r="G263" t="inlineStr">
        <is>
          <t>JÖNKÖPING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45116</v>
      </c>
      <c r="E264" s="1" t="n">
        <v>46306</v>
      </c>
      <c r="F264" t="inlineStr">
        <is>
          <t>JÖNKÖPINGS LÄN</t>
        </is>
      </c>
      <c r="G264" t="inlineStr">
        <is>
          <t>JÖNKÖPING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57930-2021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44487</v>
      </c>
      <c r="E265" s="1" t="n">
        <v>46306</v>
      </c>
      <c r="F265" t="inlineStr">
        <is>
          <t>JÖNKÖPINGS LÄN</t>
        </is>
      </c>
      <c r="G265" t="inlineStr">
        <is>
          <t>JÖNKÖPING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8809-2024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45356</v>
      </c>
      <c r="E266" s="1" t="n">
        <v>46306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46306</v>
      </c>
      <c r="F267" t="inlineStr">
        <is>
          <t>JÖNKÖPINGS LÄN</t>
        </is>
      </c>
      <c r="G267" t="inlineStr">
        <is>
          <t>JÖNKÖPING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46306</v>
      </c>
      <c r="F268" t="inlineStr">
        <is>
          <t>JÖNKÖPINGS LÄN</t>
        </is>
      </c>
      <c r="G268" t="inlineStr">
        <is>
          <t>JÖNKÖPING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45118</v>
      </c>
      <c r="E269" s="1" t="n">
        <v>46306</v>
      </c>
      <c r="F269" t="inlineStr">
        <is>
          <t>JÖNKÖPINGS LÄN</t>
        </is>
      </c>
      <c r="G269" t="inlineStr">
        <is>
          <t>JÖNKÖPING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46306</v>
      </c>
      <c r="F270" t="inlineStr">
        <is>
          <t>JÖNKÖPINGS LÄN</t>
        </is>
      </c>
      <c r="G270" t="inlineStr">
        <is>
          <t>JÖNKÖPING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46306</v>
      </c>
      <c r="F271" t="inlineStr">
        <is>
          <t>JÖNKÖPINGS LÄN</t>
        </is>
      </c>
      <c r="G271" t="inlineStr">
        <is>
          <t>JÖNKÖPING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44588</v>
      </c>
      <c r="E272" s="1" t="n">
        <v>46306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45338</v>
      </c>
      <c r="E273" s="1" t="n">
        <v>46306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Kyrkan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46306</v>
      </c>
      <c r="F274" t="inlineStr">
        <is>
          <t>JÖNKÖPINGS LÄN</t>
        </is>
      </c>
      <c r="G274" t="inlineStr">
        <is>
          <t>JÖNKÖPING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45533</v>
      </c>
      <c r="E275" s="1" t="n">
        <v>46306</v>
      </c>
      <c r="F275" t="inlineStr">
        <is>
          <t>JÖNKÖPINGS LÄN</t>
        </is>
      </c>
      <c r="G275" t="inlineStr">
        <is>
          <t>JÖNKÖPING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37003-2024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45539</v>
      </c>
      <c r="E276" s="1" t="n">
        <v>46306</v>
      </c>
      <c r="F276" t="inlineStr">
        <is>
          <t>JÖNKÖPINGS LÄN</t>
        </is>
      </c>
      <c r="G276" t="inlineStr">
        <is>
          <t>JÖNKÖPING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46306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Kyrkan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45462</v>
      </c>
      <c r="E278" s="1" t="n">
        <v>46306</v>
      </c>
      <c r="F278" t="inlineStr">
        <is>
          <t>JÖNKÖPINGS LÄN</t>
        </is>
      </c>
      <c r="G278" t="inlineStr">
        <is>
          <t>JÖNKÖPING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45545</v>
      </c>
      <c r="E279" s="1" t="n">
        <v>46306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46306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26108-2024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46306</v>
      </c>
      <c r="F281" t="inlineStr">
        <is>
          <t>JÖNKÖPINGS LÄN</t>
        </is>
      </c>
      <c r="G281" t="inlineStr">
        <is>
          <t>JÖNKÖPING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46306</v>
      </c>
      <c r="F282" t="inlineStr">
        <is>
          <t>JÖNKÖPINGS LÄN</t>
        </is>
      </c>
      <c r="G282" t="inlineStr">
        <is>
          <t>JÖNKÖPING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46306</v>
      </c>
      <c r="F283" t="inlineStr">
        <is>
          <t>JÖNKÖPINGS LÄN</t>
        </is>
      </c>
      <c r="G283" t="inlineStr">
        <is>
          <t>JÖNKÖPING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46306</v>
      </c>
      <c r="F284" t="inlineStr">
        <is>
          <t>JÖNKÖPINGS LÄN</t>
        </is>
      </c>
      <c r="G284" t="inlineStr">
        <is>
          <t>JÖNKÖPING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45502</v>
      </c>
      <c r="E285" s="1" t="n">
        <v>46306</v>
      </c>
      <c r="F285" t="inlineStr">
        <is>
          <t>JÖNKÖPINGS LÄN</t>
        </is>
      </c>
      <c r="G285" t="inlineStr">
        <is>
          <t>JÖNKÖPING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47314-2022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44853</v>
      </c>
      <c r="E286" s="1" t="n">
        <v>46306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46306</v>
      </c>
      <c r="F287" t="inlineStr">
        <is>
          <t>JÖNKÖPINGS LÄN</t>
        </is>
      </c>
      <c r="G287" t="inlineStr">
        <is>
          <t>JÖNKÖPING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46306</v>
      </c>
      <c r="F288" t="inlineStr">
        <is>
          <t>JÖNKÖPINGS LÄN</t>
        </is>
      </c>
      <c r="G288" t="inlineStr">
        <is>
          <t>JÖNKÖPING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46306</v>
      </c>
      <c r="F289" t="inlineStr">
        <is>
          <t>JÖNKÖPINGS LÄN</t>
        </is>
      </c>
      <c r="G289" t="inlineStr">
        <is>
          <t>JÖNKÖPING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46306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62332-2022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44923</v>
      </c>
      <c r="E291" s="1" t="n">
        <v>46306</v>
      </c>
      <c r="F291" t="inlineStr">
        <is>
          <t>JÖNKÖPINGS LÄN</t>
        </is>
      </c>
      <c r="G291" t="inlineStr">
        <is>
          <t>JÖNKÖPING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45414</v>
      </c>
      <c r="E292" s="1" t="n">
        <v>46306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46306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45377</v>
      </c>
      <c r="E294" s="1" t="n">
        <v>46306</v>
      </c>
      <c r="F294" t="inlineStr">
        <is>
          <t>JÖNKÖPINGS LÄN</t>
        </is>
      </c>
      <c r="G294" t="inlineStr">
        <is>
          <t>JÖNKÖPING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45358</v>
      </c>
      <c r="E295" s="1" t="n">
        <v>46306</v>
      </c>
      <c r="F295" t="inlineStr">
        <is>
          <t>JÖNKÖPINGS LÄN</t>
        </is>
      </c>
      <c r="G295" t="inlineStr">
        <is>
          <t>JÖNKÖPING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44484</v>
      </c>
      <c r="E296" s="1" t="n">
        <v>46306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45351</v>
      </c>
      <c r="E297" s="1" t="n">
        <v>46306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46306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58559-2021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44488</v>
      </c>
      <c r="E299" s="1" t="n">
        <v>46306</v>
      </c>
      <c r="F299" t="inlineStr">
        <is>
          <t>JÖNKÖPINGS LÄN</t>
        </is>
      </c>
      <c r="G299" t="inlineStr">
        <is>
          <t>JÖNKÖPING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46306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46306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Kyrkan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46306</v>
      </c>
      <c r="F302" t="inlineStr">
        <is>
          <t>JÖNKÖPINGS LÄN</t>
        </is>
      </c>
      <c r="G302" t="inlineStr">
        <is>
          <t>JÖNKÖPING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44936</v>
      </c>
      <c r="E303" s="1" t="n">
        <v>46306</v>
      </c>
      <c r="F303" t="inlineStr">
        <is>
          <t>JÖNKÖPINGS LÄN</t>
        </is>
      </c>
      <c r="G303" t="inlineStr">
        <is>
          <t>JÖNKÖPING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46306</v>
      </c>
      <c r="F304" t="inlineStr">
        <is>
          <t>JÖNKÖPINGS LÄN</t>
        </is>
      </c>
      <c r="G304" t="inlineStr">
        <is>
          <t>JÖNKÖPING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44628</v>
      </c>
      <c r="E305" s="1" t="n">
        <v>46306</v>
      </c>
      <c r="F305" t="inlineStr">
        <is>
          <t>JÖNKÖPINGS LÄN</t>
        </is>
      </c>
      <c r="G305" t="inlineStr">
        <is>
          <t>JÖNKÖPING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46306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38901-2025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45887</v>
      </c>
      <c r="E307" s="1" t="n">
        <v>46306</v>
      </c>
      <c r="F307" t="inlineStr">
        <is>
          <t>JÖNKÖPINGS LÄN</t>
        </is>
      </c>
      <c r="G307" t="inlineStr">
        <is>
          <t>JÖNKÖPING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45477</v>
      </c>
      <c r="E308" s="1" t="n">
        <v>46306</v>
      </c>
      <c r="F308" t="inlineStr">
        <is>
          <t>JÖNKÖPINGS LÄN</t>
        </is>
      </c>
      <c r="G308" t="inlineStr">
        <is>
          <t>JÖNKÖPING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44853</v>
      </c>
      <c r="E309" s="1" t="n">
        <v>46306</v>
      </c>
      <c r="F309" t="inlineStr">
        <is>
          <t>JÖNKÖPINGS LÄN</t>
        </is>
      </c>
      <c r="G309" t="inlineStr">
        <is>
          <t>JÖNKÖPING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46306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46306</v>
      </c>
      <c r="F311" t="inlineStr">
        <is>
          <t>JÖNKÖPINGS LÄN</t>
        </is>
      </c>
      <c r="G311" t="inlineStr">
        <is>
          <t>JÖNKÖPING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45406</v>
      </c>
      <c r="E312" s="1" t="n">
        <v>46306</v>
      </c>
      <c r="F312" t="inlineStr">
        <is>
          <t>JÖNKÖPINGS LÄN</t>
        </is>
      </c>
      <c r="G312" t="inlineStr">
        <is>
          <t>JÖNKÖPING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46306</v>
      </c>
      <c r="F313" t="inlineStr">
        <is>
          <t>JÖNKÖPINGS LÄN</t>
        </is>
      </c>
      <c r="G313" t="inlineStr">
        <is>
          <t>JÖNKÖPING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46306</v>
      </c>
      <c r="F314" t="inlineStr">
        <is>
          <t>JÖNKÖPINGS LÄN</t>
        </is>
      </c>
      <c r="G314" t="inlineStr">
        <is>
          <t>JÖNKÖPING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44507</v>
      </c>
      <c r="E315" s="1" t="n">
        <v>46306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45892</v>
      </c>
      <c r="E316" s="1" t="n">
        <v>46306</v>
      </c>
      <c r="F316" t="inlineStr">
        <is>
          <t>JÖNKÖPINGS LÄN</t>
        </is>
      </c>
      <c r="G316" t="inlineStr">
        <is>
          <t>JÖNKÖPING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45892</v>
      </c>
      <c r="E317" s="1" t="n">
        <v>46306</v>
      </c>
      <c r="F317" t="inlineStr">
        <is>
          <t>JÖNKÖPINGS LÄN</t>
        </is>
      </c>
      <c r="G317" t="inlineStr">
        <is>
          <t>JÖNKÖPING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45892</v>
      </c>
      <c r="E318" s="1" t="n">
        <v>46306</v>
      </c>
      <c r="F318" t="inlineStr">
        <is>
          <t>JÖNKÖPINGS LÄN</t>
        </is>
      </c>
      <c r="G318" t="inlineStr">
        <is>
          <t>JÖNKÖPING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46306</v>
      </c>
      <c r="F319" t="inlineStr">
        <is>
          <t>JÖNKÖPINGS LÄN</t>
        </is>
      </c>
      <c r="G319" t="inlineStr">
        <is>
          <t>JÖNKÖPING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46306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45012</v>
      </c>
      <c r="E321" s="1" t="n">
        <v>46306</v>
      </c>
      <c r="F321" t="inlineStr">
        <is>
          <t>JÖNKÖPINGS LÄN</t>
        </is>
      </c>
      <c r="G321" t="inlineStr">
        <is>
          <t>JÖNKÖPING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57095-2021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44482</v>
      </c>
      <c r="E322" s="1" t="n">
        <v>46306</v>
      </c>
      <c r="F322" t="inlineStr">
        <is>
          <t>JÖNKÖPINGS LÄN</t>
        </is>
      </c>
      <c r="G322" t="inlineStr">
        <is>
          <t>JÖNKÖPING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45492</v>
      </c>
      <c r="E323" s="1" t="n">
        <v>46306</v>
      </c>
      <c r="F323" t="inlineStr">
        <is>
          <t>JÖNKÖPINGS LÄN</t>
        </is>
      </c>
      <c r="G323" t="inlineStr">
        <is>
          <t>JÖNKÖPING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46306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45557</v>
      </c>
      <c r="E325" s="1" t="n">
        <v>46306</v>
      </c>
      <c r="F325" t="inlineStr">
        <is>
          <t>JÖNKÖPINGS LÄN</t>
        </is>
      </c>
      <c r="G325" t="inlineStr">
        <is>
          <t>JÖNKÖPING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45635</v>
      </c>
      <c r="E326" s="1" t="n">
        <v>46306</v>
      </c>
      <c r="F326" t="inlineStr">
        <is>
          <t>JÖNKÖPINGS LÄN</t>
        </is>
      </c>
      <c r="G326" t="inlineStr">
        <is>
          <t>JÖNKÖPING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45295</v>
      </c>
      <c r="E327" s="1" t="n">
        <v>46306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46306</v>
      </c>
      <c r="F328" t="inlineStr">
        <is>
          <t>JÖNKÖPINGS LÄN</t>
        </is>
      </c>
      <c r="G328" t="inlineStr">
        <is>
          <t>JÖNKÖPING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46306</v>
      </c>
      <c r="F329" t="inlineStr">
        <is>
          <t>JÖNKÖPINGS LÄN</t>
        </is>
      </c>
      <c r="G329" t="inlineStr">
        <is>
          <t>JÖNKÖPING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46306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46306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Kyrkan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45618</v>
      </c>
      <c r="E332" s="1" t="n">
        <v>46306</v>
      </c>
      <c r="F332" t="inlineStr">
        <is>
          <t>JÖNKÖPINGS LÄN</t>
        </is>
      </c>
      <c r="G332" t="inlineStr">
        <is>
          <t>JÖNKÖPING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46306</v>
      </c>
      <c r="F333" t="inlineStr">
        <is>
          <t>JÖNKÖPINGS LÄN</t>
        </is>
      </c>
      <c r="G333" t="inlineStr">
        <is>
          <t>JÖNKÖPING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46306</v>
      </c>
      <c r="F334" t="inlineStr">
        <is>
          <t>JÖNKÖPINGS LÄN</t>
        </is>
      </c>
      <c r="G334" t="inlineStr">
        <is>
          <t>JÖNKÖPING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44589</v>
      </c>
      <c r="E335" s="1" t="n">
        <v>46306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46306</v>
      </c>
      <c r="F336" t="inlineStr">
        <is>
          <t>JÖNKÖPINGS LÄN</t>
        </is>
      </c>
      <c r="G336" t="inlineStr">
        <is>
          <t>JÖNKÖPING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56569-2022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44893</v>
      </c>
      <c r="E337" s="1" t="n">
        <v>46306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46306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Sveaskog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46306</v>
      </c>
      <c r="F339" t="inlineStr">
        <is>
          <t>JÖNKÖPINGS LÄN</t>
        </is>
      </c>
      <c r="G339" t="inlineStr">
        <is>
          <t>JÖNKÖPING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46306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46306</v>
      </c>
      <c r="F341" t="inlineStr">
        <is>
          <t>JÖNKÖPINGS LÄN</t>
        </is>
      </c>
      <c r="G341" t="inlineStr">
        <is>
          <t>JÖNKÖPING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46306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45124</v>
      </c>
      <c r="E343" s="1" t="n">
        <v>46306</v>
      </c>
      <c r="F343" t="inlineStr">
        <is>
          <t>JÖNKÖPINGS LÄN</t>
        </is>
      </c>
      <c r="G343" t="inlineStr">
        <is>
          <t>JÖNKÖPING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46306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46306</v>
      </c>
      <c r="F345" t="inlineStr">
        <is>
          <t>JÖNKÖPINGS LÄN</t>
        </is>
      </c>
      <c r="G345" t="inlineStr">
        <is>
          <t>JÖNKÖPING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46306</v>
      </c>
      <c r="F346" t="inlineStr">
        <is>
          <t>JÖNKÖPINGS LÄN</t>
        </is>
      </c>
      <c r="G346" t="inlineStr">
        <is>
          <t>JÖNKÖPING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46306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46306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46306</v>
      </c>
      <c r="F349" t="inlineStr">
        <is>
          <t>JÖNKÖPINGS LÄN</t>
        </is>
      </c>
      <c r="G349" t="inlineStr">
        <is>
          <t>JÖNKÖPING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46306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46306</v>
      </c>
      <c r="F351" t="inlineStr">
        <is>
          <t>JÖNKÖPINGS LÄN</t>
        </is>
      </c>
      <c r="G351" t="inlineStr">
        <is>
          <t>JÖNKÖPING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46306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46306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46306</v>
      </c>
      <c r="F354" t="inlineStr">
        <is>
          <t>JÖNKÖPINGS LÄN</t>
        </is>
      </c>
      <c r="G354" t="inlineStr">
        <is>
          <t>JÖNKÖPING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73003-2021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46306</v>
      </c>
      <c r="F355" t="inlineStr">
        <is>
          <t>JÖNKÖPINGS LÄN</t>
        </is>
      </c>
      <c r="G355" t="inlineStr">
        <is>
          <t>JÖNKÖPING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7177-2022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44605</v>
      </c>
      <c r="E356" s="1" t="n">
        <v>46306</v>
      </c>
      <c r="F356" t="inlineStr">
        <is>
          <t>JÖNKÖPINGS LÄN</t>
        </is>
      </c>
      <c r="G356" t="inlineStr">
        <is>
          <t>JÖNKÖPING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47190-2024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46306</v>
      </c>
      <c r="F357" t="inlineStr">
        <is>
          <t>JÖNKÖPINGS LÄN</t>
        </is>
      </c>
      <c r="G357" t="inlineStr">
        <is>
          <t>JÖNKÖPING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44589</v>
      </c>
      <c r="E358" s="1" t="n">
        <v>46306</v>
      </c>
      <c r="F358" t="inlineStr">
        <is>
          <t>JÖNKÖPINGS LÄN</t>
        </is>
      </c>
      <c r="G358" t="inlineStr">
        <is>
          <t>JÖNKÖPING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45519</v>
      </c>
      <c r="E359" s="1" t="n">
        <v>46306</v>
      </c>
      <c r="F359" t="inlineStr">
        <is>
          <t>JÖNKÖPINGS LÄN</t>
        </is>
      </c>
      <c r="G359" t="inlineStr">
        <is>
          <t>JÖNKÖPING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41481-2023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46306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46306</v>
      </c>
      <c r="F361" t="inlineStr">
        <is>
          <t>JÖNKÖPINGS LÄN</t>
        </is>
      </c>
      <c r="G361" t="inlineStr">
        <is>
          <t>JÖNKÖPING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46306</v>
      </c>
      <c r="F362" t="inlineStr">
        <is>
          <t>JÖNKÖPINGS LÄN</t>
        </is>
      </c>
      <c r="G362" t="inlineStr">
        <is>
          <t>JÖNKÖPING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44943</v>
      </c>
      <c r="E363" s="1" t="n">
        <v>46306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46306</v>
      </c>
      <c r="F364" t="inlineStr">
        <is>
          <t>JÖNKÖPINGS LÄN</t>
        </is>
      </c>
      <c r="G364" t="inlineStr">
        <is>
          <t>JÖNKÖPING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46306</v>
      </c>
      <c r="F365" t="inlineStr">
        <is>
          <t>JÖNKÖPINGS LÄN</t>
        </is>
      </c>
      <c r="G365" t="inlineStr">
        <is>
          <t>JÖNKÖPING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46306</v>
      </c>
      <c r="F366" t="inlineStr">
        <is>
          <t>JÖNKÖPINGS LÄN</t>
        </is>
      </c>
      <c r="G366" t="inlineStr">
        <is>
          <t>JÖNKÖPING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46306</v>
      </c>
      <c r="F367" t="inlineStr">
        <is>
          <t>JÖNKÖPINGS LÄN</t>
        </is>
      </c>
      <c r="G367" t="inlineStr">
        <is>
          <t>JÖNKÖPING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46306</v>
      </c>
      <c r="F368" t="inlineStr">
        <is>
          <t>JÖNKÖPINGS LÄN</t>
        </is>
      </c>
      <c r="G368" t="inlineStr">
        <is>
          <t>JÖNKÖPING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46306</v>
      </c>
      <c r="F369" t="inlineStr">
        <is>
          <t>JÖNKÖPINGS LÄN</t>
        </is>
      </c>
      <c r="G369" t="inlineStr">
        <is>
          <t>JÖNKÖPING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45547</v>
      </c>
      <c r="E370" s="1" t="n">
        <v>46306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44578</v>
      </c>
      <c r="E371" s="1" t="n">
        <v>46306</v>
      </c>
      <c r="F371" t="inlineStr">
        <is>
          <t>JÖNKÖPINGS LÄN</t>
        </is>
      </c>
      <c r="G371" t="inlineStr">
        <is>
          <t>JÖNKÖPING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44592</v>
      </c>
      <c r="E372" s="1" t="n">
        <v>46306</v>
      </c>
      <c r="F372" t="inlineStr">
        <is>
          <t>JÖNKÖPINGS LÄN</t>
        </is>
      </c>
      <c r="G372" t="inlineStr">
        <is>
          <t>JÖNKÖPING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37510-2024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45541</v>
      </c>
      <c r="E373" s="1" t="n">
        <v>46306</v>
      </c>
      <c r="F373" t="inlineStr">
        <is>
          <t>JÖNKÖPINGS LÄN</t>
        </is>
      </c>
      <c r="G373" t="inlineStr">
        <is>
          <t>JÖNKÖPING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46306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Övriga Aktiebolag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45552</v>
      </c>
      <c r="E375" s="1" t="n">
        <v>46306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25079-2024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45462</v>
      </c>
      <c r="E376" s="1" t="n">
        <v>46306</v>
      </c>
      <c r="F376" t="inlineStr">
        <is>
          <t>JÖNKÖPINGS LÄN</t>
        </is>
      </c>
      <c r="G376" t="inlineStr">
        <is>
          <t>JÖNKÖPING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44585</v>
      </c>
      <c r="E377" s="1" t="n">
        <v>46306</v>
      </c>
      <c r="F377" t="inlineStr">
        <is>
          <t>JÖNKÖPINGS LÄN</t>
        </is>
      </c>
      <c r="G377" t="inlineStr">
        <is>
          <t>JÖNKÖPING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46306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46306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46306</v>
      </c>
      <c r="F380" t="inlineStr">
        <is>
          <t>JÖNKÖPINGS LÄN</t>
        </is>
      </c>
      <c r="G380" t="inlineStr">
        <is>
          <t>JÖNKÖPING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46306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45105</v>
      </c>
      <c r="E382" s="1" t="n">
        <v>46306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46306</v>
      </c>
      <c r="F383" t="inlineStr">
        <is>
          <t>JÖNKÖPINGS LÄN</t>
        </is>
      </c>
      <c r="G383" t="inlineStr">
        <is>
          <t>JÖNKÖPING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45551</v>
      </c>
      <c r="E384" s="1" t="n">
        <v>46306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46306</v>
      </c>
      <c r="F385" t="inlineStr">
        <is>
          <t>JÖNKÖPINGS LÄN</t>
        </is>
      </c>
      <c r="G385" t="inlineStr">
        <is>
          <t>JÖNKÖPING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46306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45184</v>
      </c>
      <c r="E387" s="1" t="n">
        <v>46306</v>
      </c>
      <c r="F387" t="inlineStr">
        <is>
          <t>JÖNKÖPINGS LÄN</t>
        </is>
      </c>
      <c r="G387" t="inlineStr">
        <is>
          <t>JÖNKÖPING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45406-2023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45194</v>
      </c>
      <c r="E388" s="1" t="n">
        <v>46306</v>
      </c>
      <c r="F388" t="inlineStr">
        <is>
          <t>JÖNKÖPINGS LÄN</t>
        </is>
      </c>
      <c r="G388" t="inlineStr">
        <is>
          <t>JÖNKÖPING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46306</v>
      </c>
      <c r="F389" t="inlineStr">
        <is>
          <t>JÖNKÖPINGS LÄN</t>
        </is>
      </c>
      <c r="G389" t="inlineStr">
        <is>
          <t>JÖNKÖPING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7959-2024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45350</v>
      </c>
      <c r="E390" s="1" t="n">
        <v>46306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46306</v>
      </c>
      <c r="F391" t="inlineStr">
        <is>
          <t>JÖNKÖPINGS LÄN</t>
        </is>
      </c>
      <c r="G391" t="inlineStr">
        <is>
          <t>JÖNKÖPING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46306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46306</v>
      </c>
      <c r="F393" t="inlineStr">
        <is>
          <t>JÖNKÖPINGS LÄN</t>
        </is>
      </c>
      <c r="G393" t="inlineStr">
        <is>
          <t>JÖNKÖPING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45681</v>
      </c>
      <c r="E394" s="1" t="n">
        <v>46306</v>
      </c>
      <c r="F394" t="inlineStr">
        <is>
          <t>JÖNKÖPINGS LÄN</t>
        </is>
      </c>
      <c r="G394" t="inlineStr">
        <is>
          <t>JÖNKÖPING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45570</v>
      </c>
      <c r="E395" s="1" t="n">
        <v>46306</v>
      </c>
      <c r="F395" t="inlineStr">
        <is>
          <t>JÖNKÖPINGS LÄN</t>
        </is>
      </c>
      <c r="G395" t="inlineStr">
        <is>
          <t>JÖNKÖPING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44591</v>
      </c>
      <c r="E396" s="1" t="n">
        <v>46306</v>
      </c>
      <c r="F396" t="inlineStr">
        <is>
          <t>JÖNKÖPINGS LÄN</t>
        </is>
      </c>
      <c r="G396" t="inlineStr">
        <is>
          <t>JÖNKÖPING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46306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Kyrkan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44608</v>
      </c>
      <c r="E398" s="1" t="n">
        <v>46306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40273-2023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46306</v>
      </c>
      <c r="F399" t="inlineStr">
        <is>
          <t>JÖNKÖPINGS LÄN</t>
        </is>
      </c>
      <c r="G399" t="inlineStr">
        <is>
          <t>JÖNKÖPING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46306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44626</v>
      </c>
      <c r="E401" s="1" t="n">
        <v>46306</v>
      </c>
      <c r="F401" t="inlineStr">
        <is>
          <t>JÖNKÖPINGS LÄN</t>
        </is>
      </c>
      <c r="G401" t="inlineStr">
        <is>
          <t>JÖNKÖPING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46306</v>
      </c>
      <c r="F402" t="inlineStr">
        <is>
          <t>JÖNKÖPINGS LÄN</t>
        </is>
      </c>
      <c r="G402" t="inlineStr">
        <is>
          <t>JÖNKÖPING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46306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46306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46306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46306</v>
      </c>
      <c r="F406" t="inlineStr">
        <is>
          <t>JÖNKÖPINGS LÄN</t>
        </is>
      </c>
      <c r="G406" t="inlineStr">
        <is>
          <t>JÖNKÖPING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45934</v>
      </c>
      <c r="E407" s="1" t="n">
        <v>46306</v>
      </c>
      <c r="F407" t="inlineStr">
        <is>
          <t>JÖNKÖPINGS LÄN</t>
        </is>
      </c>
      <c r="G407" t="inlineStr">
        <is>
          <t>JÖNKÖPING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46306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46306</v>
      </c>
      <c r="F409" t="inlineStr">
        <is>
          <t>JÖNKÖPINGS LÄN</t>
        </is>
      </c>
      <c r="G409" t="inlineStr">
        <is>
          <t>JÖNKÖPING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20384-2024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45435</v>
      </c>
      <c r="E410" s="1" t="n">
        <v>46306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46306</v>
      </c>
      <c r="F411" t="inlineStr">
        <is>
          <t>JÖNKÖPINGS LÄN</t>
        </is>
      </c>
      <c r="G411" t="inlineStr">
        <is>
          <t>JÖNKÖPING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16652-2023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45030</v>
      </c>
      <c r="E412" s="1" t="n">
        <v>46306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44575</v>
      </c>
      <c r="E413" s="1" t="n">
        <v>46306</v>
      </c>
      <c r="F413" t="inlineStr">
        <is>
          <t>JÖNKÖPINGS LÄN</t>
        </is>
      </c>
      <c r="G413" t="inlineStr">
        <is>
          <t>JÖNKÖPING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11236-2024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45371</v>
      </c>
      <c r="E414" s="1" t="n">
        <v>46306</v>
      </c>
      <c r="F414" t="inlineStr">
        <is>
          <t>JÖNKÖPINGS LÄN</t>
        </is>
      </c>
      <c r="G414" t="inlineStr">
        <is>
          <t>JÖNKÖPING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46306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46306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44950</v>
      </c>
      <c r="E417" s="1" t="n">
        <v>46306</v>
      </c>
      <c r="F417" t="inlineStr">
        <is>
          <t>JÖNKÖPINGS LÄN</t>
        </is>
      </c>
      <c r="G417" t="inlineStr">
        <is>
          <t>JÖNKÖPING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46306</v>
      </c>
      <c r="F418" t="inlineStr">
        <is>
          <t>JÖNKÖPINGS LÄN</t>
        </is>
      </c>
      <c r="G418" t="inlineStr">
        <is>
          <t>JÖNKÖPING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46306</v>
      </c>
      <c r="F419" t="inlineStr">
        <is>
          <t>JÖNKÖPINGS LÄN</t>
        </is>
      </c>
      <c r="G419" t="inlineStr">
        <is>
          <t>JÖNKÖPING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46306</v>
      </c>
      <c r="F420" t="inlineStr">
        <is>
          <t>JÖNKÖPINGS LÄN</t>
        </is>
      </c>
      <c r="G420" t="inlineStr">
        <is>
          <t>JÖNKÖPING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46306</v>
      </c>
      <c r="F421" t="inlineStr">
        <is>
          <t>JÖNKÖPINGS LÄN</t>
        </is>
      </c>
      <c r="G421" t="inlineStr">
        <is>
          <t>JÖNKÖPING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45726</v>
      </c>
      <c r="E422" s="1" t="n">
        <v>46306</v>
      </c>
      <c r="F422" t="inlineStr">
        <is>
          <t>JÖNKÖPINGS LÄN</t>
        </is>
      </c>
      <c r="G422" t="inlineStr">
        <is>
          <t>JÖNKÖPING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44571</v>
      </c>
      <c r="E423" s="1" t="n">
        <v>46306</v>
      </c>
      <c r="F423" t="inlineStr">
        <is>
          <t>JÖNKÖPINGS LÄN</t>
        </is>
      </c>
      <c r="G423" t="inlineStr">
        <is>
          <t>JÖNKÖPING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46306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44992</v>
      </c>
      <c r="E425" s="1" t="n">
        <v>46306</v>
      </c>
      <c r="F425" t="inlineStr">
        <is>
          <t>JÖNKÖPINGS LÄN</t>
        </is>
      </c>
      <c r="G425" t="inlineStr">
        <is>
          <t>JÖNKÖPING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45179</v>
      </c>
      <c r="E426" s="1" t="n">
        <v>46306</v>
      </c>
      <c r="F426" t="inlineStr">
        <is>
          <t>JÖNKÖPINGS LÄN</t>
        </is>
      </c>
      <c r="G426" t="inlineStr">
        <is>
          <t>JÖNKÖPING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46306</v>
      </c>
      <c r="F427" t="inlineStr">
        <is>
          <t>JÖNKÖPINGS LÄN</t>
        </is>
      </c>
      <c r="G427" t="inlineStr">
        <is>
          <t>JÖNKÖPING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45806</v>
      </c>
      <c r="E428" s="1" t="n">
        <v>46306</v>
      </c>
      <c r="F428" t="inlineStr">
        <is>
          <t>JÖNKÖPINGS LÄN</t>
        </is>
      </c>
      <c r="G428" t="inlineStr">
        <is>
          <t>JÖNKÖPING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44988</v>
      </c>
      <c r="E429" s="1" t="n">
        <v>46306</v>
      </c>
      <c r="F429" t="inlineStr">
        <is>
          <t>JÖNKÖPINGS LÄN</t>
        </is>
      </c>
      <c r="G429" t="inlineStr">
        <is>
          <t>JÖNKÖPING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46306</v>
      </c>
      <c r="F430" t="inlineStr">
        <is>
          <t>JÖNKÖPINGS LÄN</t>
        </is>
      </c>
      <c r="G430" t="inlineStr">
        <is>
          <t>JÖNKÖPING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50192-2024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45600</v>
      </c>
      <c r="E431" s="1" t="n">
        <v>46306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50193-2024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45600</v>
      </c>
      <c r="E432" s="1" t="n">
        <v>46306</v>
      </c>
      <c r="F432" t="inlineStr">
        <is>
          <t>JÖNKÖPINGS LÄN</t>
        </is>
      </c>
      <c r="G432" t="inlineStr">
        <is>
          <t>JÖNKÖPING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45597</v>
      </c>
      <c r="E433" s="1" t="n">
        <v>46306</v>
      </c>
      <c r="F433" t="inlineStr">
        <is>
          <t>JÖNKÖPINGS LÄN</t>
        </is>
      </c>
      <c r="G433" t="inlineStr">
        <is>
          <t>JÖNKÖPING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46306</v>
      </c>
      <c r="F434" t="inlineStr">
        <is>
          <t>JÖNKÖPINGS LÄN</t>
        </is>
      </c>
      <c r="G434" t="inlineStr">
        <is>
          <t>JÖNKÖPING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21924-2022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46306</v>
      </c>
      <c r="F435" t="inlineStr">
        <is>
          <t>JÖNKÖPINGS LÄN</t>
        </is>
      </c>
      <c r="G435" t="inlineStr">
        <is>
          <t>JÖNKÖPING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44998</v>
      </c>
      <c r="E436" s="1" t="n">
        <v>46306</v>
      </c>
      <c r="F436" t="inlineStr">
        <is>
          <t>JÖNKÖPINGS LÄN</t>
        </is>
      </c>
      <c r="G436" t="inlineStr">
        <is>
          <t>JÖNKÖPING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45440</v>
      </c>
      <c r="E437" s="1" t="n">
        <v>46306</v>
      </c>
      <c r="F437" t="inlineStr">
        <is>
          <t>JÖNKÖPINGS LÄN</t>
        </is>
      </c>
      <c r="G437" t="inlineStr">
        <is>
          <t>JÖNKÖPING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46306</v>
      </c>
      <c r="F438" t="inlineStr">
        <is>
          <t>JÖNKÖPINGS LÄN</t>
        </is>
      </c>
      <c r="G438" t="inlineStr">
        <is>
          <t>JÖNKÖPING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46306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44614</v>
      </c>
      <c r="E440" s="1" t="n">
        <v>46306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46306</v>
      </c>
      <c r="F441" t="inlineStr">
        <is>
          <t>JÖNKÖPINGS LÄN</t>
        </is>
      </c>
      <c r="G441" t="inlineStr">
        <is>
          <t>JÖNKÖPING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46306</v>
      </c>
      <c r="F442" t="inlineStr">
        <is>
          <t>JÖNKÖPINGS LÄN</t>
        </is>
      </c>
      <c r="G442" t="inlineStr">
        <is>
          <t>JÖNKÖPING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46306</v>
      </c>
      <c r="F443" t="inlineStr">
        <is>
          <t>JÖNKÖPINGS LÄN</t>
        </is>
      </c>
      <c r="G443" t="inlineStr">
        <is>
          <t>JÖNKÖPING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46306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45295</v>
      </c>
      <c r="E445" s="1" t="n">
        <v>46306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44839</v>
      </c>
      <c r="E446" s="1" t="n">
        <v>46306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46306</v>
      </c>
      <c r="F447" t="inlineStr">
        <is>
          <t>JÖNKÖPINGS LÄN</t>
        </is>
      </c>
      <c r="G447" t="inlineStr">
        <is>
          <t>JÖNKÖPING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46306</v>
      </c>
      <c r="F448" t="inlineStr">
        <is>
          <t>JÖNKÖPINGS LÄN</t>
        </is>
      </c>
      <c r="G448" t="inlineStr">
        <is>
          <t>JÖNKÖPING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44659</v>
      </c>
      <c r="E449" s="1" t="n">
        <v>46306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7401-2025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45705</v>
      </c>
      <c r="E450" s="1" t="n">
        <v>46306</v>
      </c>
      <c r="F450" t="inlineStr">
        <is>
          <t>JÖNKÖPINGS LÄN</t>
        </is>
      </c>
      <c r="G450" t="inlineStr">
        <is>
          <t>JÖNKÖPING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45671</v>
      </c>
      <c r="E451" s="1" t="n">
        <v>46306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46306</v>
      </c>
      <c r="F452" t="inlineStr">
        <is>
          <t>JÖNKÖPINGS LÄN</t>
        </is>
      </c>
      <c r="G452" t="inlineStr">
        <is>
          <t>JÖNKÖPING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46306</v>
      </c>
      <c r="F453" t="inlineStr">
        <is>
          <t>JÖNKÖPINGS LÄN</t>
        </is>
      </c>
      <c r="G453" t="inlineStr">
        <is>
          <t>JÖNKÖPING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20388-2024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45435</v>
      </c>
      <c r="E454" s="1" t="n">
        <v>46306</v>
      </c>
      <c r="F454" t="inlineStr">
        <is>
          <t>JÖNKÖPINGS LÄN</t>
        </is>
      </c>
      <c r="G454" t="inlineStr">
        <is>
          <t>JÖNKÖPING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46306</v>
      </c>
      <c r="F455" t="inlineStr">
        <is>
          <t>JÖNKÖPINGS LÄN</t>
        </is>
      </c>
      <c r="G455" t="inlineStr">
        <is>
          <t>JÖNKÖPING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46306</v>
      </c>
      <c r="F456" t="inlineStr">
        <is>
          <t>JÖNKÖPINGS LÄN</t>
        </is>
      </c>
      <c r="G456" t="inlineStr">
        <is>
          <t>JÖNKÖPING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46306</v>
      </c>
      <c r="F457" t="inlineStr">
        <is>
          <t>JÖNKÖPINGS LÄN</t>
        </is>
      </c>
      <c r="G457" t="inlineStr">
        <is>
          <t>JÖNKÖPING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45456</v>
      </c>
      <c r="E458" s="1" t="n">
        <v>46306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46306</v>
      </c>
      <c r="F459" t="inlineStr">
        <is>
          <t>JÖNKÖPINGS LÄN</t>
        </is>
      </c>
      <c r="G459" t="inlineStr">
        <is>
          <t>JÖNKÖPING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45404</v>
      </c>
      <c r="E460" s="1" t="n">
        <v>46306</v>
      </c>
      <c r="F460" t="inlineStr">
        <is>
          <t>JÖNKÖPINGS LÄN</t>
        </is>
      </c>
      <c r="G460" t="inlineStr">
        <is>
          <t>JÖNKÖPING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45523</v>
      </c>
      <c r="E461" s="1" t="n">
        <v>46306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44965</v>
      </c>
      <c r="E462" s="1" t="n">
        <v>46306</v>
      </c>
      <c r="F462" t="inlineStr">
        <is>
          <t>JÖNKÖPINGS LÄN</t>
        </is>
      </c>
      <c r="G462" t="inlineStr">
        <is>
          <t>JÖNKÖPING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46306</v>
      </c>
      <c r="F463" t="inlineStr">
        <is>
          <t>JÖNKÖPINGS LÄN</t>
        </is>
      </c>
      <c r="G463" t="inlineStr">
        <is>
          <t>JÖNKÖPING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44704</v>
      </c>
      <c r="E464" s="1" t="n">
        <v>46306</v>
      </c>
      <c r="F464" t="inlineStr">
        <is>
          <t>JÖNKÖPINGS LÄN</t>
        </is>
      </c>
      <c r="G464" t="inlineStr">
        <is>
          <t>JÖNKÖPING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45198</v>
      </c>
      <c r="E465" s="1" t="n">
        <v>46306</v>
      </c>
      <c r="F465" t="inlineStr">
        <is>
          <t>JÖNKÖPINGS LÄN</t>
        </is>
      </c>
      <c r="G465" t="inlineStr">
        <is>
          <t>JÖNKÖPING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46306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44734</v>
      </c>
      <c r="E467" s="1" t="n">
        <v>46306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46741-2023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46306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45671</v>
      </c>
      <c r="E469" s="1" t="n">
        <v>46306</v>
      </c>
      <c r="F469" t="inlineStr">
        <is>
          <t>JÖNKÖPINGS LÄN</t>
        </is>
      </c>
      <c r="G469" t="inlineStr">
        <is>
          <t>JÖNKÖPING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53281-2025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45958</v>
      </c>
      <c r="E470" s="1" t="n">
        <v>46306</v>
      </c>
      <c r="F470" t="inlineStr">
        <is>
          <t>JÖNKÖPINGS LÄN</t>
        </is>
      </c>
      <c r="G470" t="inlineStr">
        <is>
          <t>JÖNKÖPING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46306</v>
      </c>
      <c r="F471" t="inlineStr">
        <is>
          <t>JÖNKÖPINGS LÄN</t>
        </is>
      </c>
      <c r="G471" t="inlineStr">
        <is>
          <t>JÖNKÖPING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45958</v>
      </c>
      <c r="E472" s="1" t="n">
        <v>46306</v>
      </c>
      <c r="F472" t="inlineStr">
        <is>
          <t>JÖNKÖPINGS LÄN</t>
        </is>
      </c>
      <c r="G472" t="inlineStr">
        <is>
          <t>JÖNKÖPING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45015</v>
      </c>
      <c r="E473" s="1" t="n">
        <v>46306</v>
      </c>
      <c r="F473" t="inlineStr">
        <is>
          <t>JÖNKÖPINGS LÄN</t>
        </is>
      </c>
      <c r="G473" t="inlineStr">
        <is>
          <t>JÖNKÖPING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44655</v>
      </c>
      <c r="E474" s="1" t="n">
        <v>46306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46306</v>
      </c>
      <c r="F475" t="inlineStr">
        <is>
          <t>JÖNKÖPINGS LÄN</t>
        </is>
      </c>
      <c r="G475" t="inlineStr">
        <is>
          <t>JÖNKÖPING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44734</v>
      </c>
      <c r="E476" s="1" t="n">
        <v>46306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Kyrkan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26213-2022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44734</v>
      </c>
      <c r="E477" s="1" t="n">
        <v>46306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Kyrkan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45408-2023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45194</v>
      </c>
      <c r="E478" s="1" t="n">
        <v>46306</v>
      </c>
      <c r="F478" t="inlineStr">
        <is>
          <t>JÖNKÖPINGS LÄN</t>
        </is>
      </c>
      <c r="G478" t="inlineStr">
        <is>
          <t>JÖNKÖPING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45681</v>
      </c>
      <c r="E479" s="1" t="n">
        <v>46306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46306</v>
      </c>
      <c r="F480" t="inlineStr">
        <is>
          <t>JÖNKÖPINGS LÄN</t>
        </is>
      </c>
      <c r="G480" t="inlineStr">
        <is>
          <t>JÖNKÖPING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46306</v>
      </c>
      <c r="F481" t="inlineStr">
        <is>
          <t>JÖNKÖPINGS LÄN</t>
        </is>
      </c>
      <c r="G481" t="inlineStr">
        <is>
          <t>JÖNKÖPING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46306</v>
      </c>
      <c r="F482" t="inlineStr">
        <is>
          <t>JÖNKÖPINGS LÄN</t>
        </is>
      </c>
      <c r="G482" t="inlineStr">
        <is>
          <t>JÖNKÖPING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60822-2024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46306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46306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46306</v>
      </c>
      <c r="F485" t="inlineStr">
        <is>
          <t>JÖNKÖPINGS LÄN</t>
        </is>
      </c>
      <c r="G485" t="inlineStr">
        <is>
          <t>JÖNKÖPING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46306</v>
      </c>
      <c r="F486" t="inlineStr">
        <is>
          <t>JÖNKÖPINGS LÄN</t>
        </is>
      </c>
      <c r="G486" t="inlineStr">
        <is>
          <t>JÖNKÖPING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46306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46306</v>
      </c>
      <c r="F488" t="inlineStr">
        <is>
          <t>JÖNKÖPINGS LÄN</t>
        </is>
      </c>
      <c r="G488" t="inlineStr">
        <is>
          <t>JÖNKÖPING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46306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55198-2025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46306</v>
      </c>
      <c r="F490" t="inlineStr">
        <is>
          <t>JÖNKÖPINGS LÄN</t>
        </is>
      </c>
      <c r="G490" t="inlineStr">
        <is>
          <t>JÖNKÖPING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45197</v>
      </c>
      <c r="E491" s="1" t="n">
        <v>46306</v>
      </c>
      <c r="F491" t="inlineStr">
        <is>
          <t>JÖNKÖPINGS LÄN</t>
        </is>
      </c>
      <c r="G491" t="inlineStr">
        <is>
          <t>JÖNKÖPING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45617</v>
      </c>
      <c r="E492" s="1" t="n">
        <v>46306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45842</v>
      </c>
      <c r="E493" s="1" t="n">
        <v>46306</v>
      </c>
      <c r="F493" t="inlineStr">
        <is>
          <t>JÖNKÖPINGS LÄN</t>
        </is>
      </c>
      <c r="G493" t="inlineStr">
        <is>
          <t>JÖNKÖPING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44614</v>
      </c>
      <c r="E494" s="1" t="n">
        <v>46306</v>
      </c>
      <c r="F494" t="inlineStr">
        <is>
          <t>JÖNKÖPINGS LÄN</t>
        </is>
      </c>
      <c r="G494" t="inlineStr">
        <is>
          <t>JÖNKÖPING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45846</v>
      </c>
      <c r="E495" s="1" t="n">
        <v>46306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Kyrkan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45846</v>
      </c>
      <c r="E496" s="1" t="n">
        <v>46306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Kyrkan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45756</v>
      </c>
      <c r="E497" s="1" t="n">
        <v>46306</v>
      </c>
      <c r="F497" t="inlineStr">
        <is>
          <t>JÖNKÖPINGS LÄN</t>
        </is>
      </c>
      <c r="G497" t="inlineStr">
        <is>
          <t>JÖNKÖPING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46306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45587</v>
      </c>
      <c r="E499" s="1" t="n">
        <v>46306</v>
      </c>
      <c r="F499" t="inlineStr">
        <is>
          <t>JÖNKÖPINGS LÄN</t>
        </is>
      </c>
      <c r="G499" t="inlineStr">
        <is>
          <t>JÖNKÖPING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45759</v>
      </c>
      <c r="E500" s="1" t="n">
        <v>46306</v>
      </c>
      <c r="F500" t="inlineStr">
        <is>
          <t>JÖNKÖPINGS LÄN</t>
        </is>
      </c>
      <c r="G500" t="inlineStr">
        <is>
          <t>JÖNKÖPING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45314</v>
      </c>
      <c r="E501" s="1" t="n">
        <v>46306</v>
      </c>
      <c r="F501" t="inlineStr">
        <is>
          <t>JÖNKÖPINGS LÄN</t>
        </is>
      </c>
      <c r="G501" t="inlineStr">
        <is>
          <t>JÖNKÖPING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46306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45693</v>
      </c>
      <c r="E503" s="1" t="n">
        <v>46306</v>
      </c>
      <c r="F503" t="inlineStr">
        <is>
          <t>JÖNKÖPINGS LÄN</t>
        </is>
      </c>
      <c r="G503" t="inlineStr">
        <is>
          <t>JÖNKÖPING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25067-2022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44729</v>
      </c>
      <c r="E504" s="1" t="n">
        <v>46306</v>
      </c>
      <c r="F504" t="inlineStr">
        <is>
          <t>JÖNKÖPINGS LÄN</t>
        </is>
      </c>
      <c r="G504" t="inlineStr">
        <is>
          <t>JÖNKÖPING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45974</v>
      </c>
      <c r="E505" s="1" t="n">
        <v>46306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56251-2025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45974</v>
      </c>
      <c r="E506" s="1" t="n">
        <v>46306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46306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46306</v>
      </c>
      <c r="F508" t="inlineStr">
        <is>
          <t>JÖNKÖPINGS LÄN</t>
        </is>
      </c>
      <c r="G508" t="inlineStr">
        <is>
          <t>JÖNKÖPING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45189</v>
      </c>
      <c r="E509" s="1" t="n">
        <v>46306</v>
      </c>
      <c r="F509" t="inlineStr">
        <is>
          <t>JÖNKÖPINGS LÄN</t>
        </is>
      </c>
      <c r="G509" t="inlineStr">
        <is>
          <t>JÖNKÖPING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46306</v>
      </c>
      <c r="F510" t="inlineStr">
        <is>
          <t>JÖNKÖPINGS LÄN</t>
        </is>
      </c>
      <c r="G510" t="inlineStr">
        <is>
          <t>JÖNKÖPING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45294</v>
      </c>
      <c r="E511" s="1" t="n">
        <v>46306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45974</v>
      </c>
      <c r="E512" s="1" t="n">
        <v>46306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46306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Kommuner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46306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59294-2022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46306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Kommuner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57567-2023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46306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Kyrkan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45974</v>
      </c>
      <c r="E517" s="1" t="n">
        <v>46306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45974</v>
      </c>
      <c r="E518" s="1" t="n">
        <v>46306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45974</v>
      </c>
      <c r="E519" s="1" t="n">
        <v>46306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46306</v>
      </c>
      <c r="F520" t="inlineStr">
        <is>
          <t>JÖNKÖPINGS LÄN</t>
        </is>
      </c>
      <c r="G520" t="inlineStr">
        <is>
          <t>JÖNKÖPING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46306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46306</v>
      </c>
      <c r="F522" t="inlineStr">
        <is>
          <t>JÖNKÖPINGS LÄN</t>
        </is>
      </c>
      <c r="G522" t="inlineStr">
        <is>
          <t>JÖNKÖPING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45149</v>
      </c>
      <c r="E523" s="1" t="n">
        <v>46306</v>
      </c>
      <c r="F523" t="inlineStr">
        <is>
          <t>JÖNKÖPINGS LÄN</t>
        </is>
      </c>
      <c r="G523" t="inlineStr">
        <is>
          <t>JÖNKÖPING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56408-2025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45975</v>
      </c>
      <c r="E524" s="1" t="n">
        <v>46306</v>
      </c>
      <c r="F524" t="inlineStr">
        <is>
          <t>JÖNKÖPINGS LÄN</t>
        </is>
      </c>
      <c r="G524" t="inlineStr">
        <is>
          <t>JÖNKÖPING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47070-2023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46306</v>
      </c>
      <c r="F525" t="inlineStr">
        <is>
          <t>JÖNKÖPINGS LÄN</t>
        </is>
      </c>
      <c r="G525" t="inlineStr">
        <is>
          <t>JÖNKÖPING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46306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45726</v>
      </c>
      <c r="E527" s="1" t="n">
        <v>46306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Övriga Aktiebolag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46306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44719</v>
      </c>
      <c r="E529" s="1" t="n">
        <v>46306</v>
      </c>
      <c r="F529" t="inlineStr">
        <is>
          <t>JÖNKÖPINGS LÄN</t>
        </is>
      </c>
      <c r="G529" t="inlineStr">
        <is>
          <t>JÖNKÖPING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45701</v>
      </c>
      <c r="E530" s="1" t="n">
        <v>46306</v>
      </c>
      <c r="F530" t="inlineStr">
        <is>
          <t>JÖNKÖPINGS LÄN</t>
        </is>
      </c>
      <c r="G530" t="inlineStr">
        <is>
          <t>JÖNKÖPING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45788</v>
      </c>
      <c r="E531" s="1" t="n">
        <v>46306</v>
      </c>
      <c r="F531" t="inlineStr">
        <is>
          <t>JÖNKÖPINGS LÄN</t>
        </is>
      </c>
      <c r="G531" t="inlineStr">
        <is>
          <t>JÖNKÖPING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45035</v>
      </c>
      <c r="E532" s="1" t="n">
        <v>46306</v>
      </c>
      <c r="F532" t="inlineStr">
        <is>
          <t>JÖNKÖPINGS LÄN</t>
        </is>
      </c>
      <c r="G532" t="inlineStr">
        <is>
          <t>JÖNKÖPING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52812-2023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45226</v>
      </c>
      <c r="E533" s="1" t="n">
        <v>46306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35820-2025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45861</v>
      </c>
      <c r="E534" s="1" t="n">
        <v>46306</v>
      </c>
      <c r="F534" t="inlineStr">
        <is>
          <t>JÖNKÖPINGS LÄN</t>
        </is>
      </c>
      <c r="G534" t="inlineStr">
        <is>
          <t>JÖNKÖPING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46306</v>
      </c>
      <c r="F535" t="inlineStr">
        <is>
          <t>JÖNKÖPINGS LÄN</t>
        </is>
      </c>
      <c r="G535" t="inlineStr">
        <is>
          <t>JÖNKÖPING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36189-2022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44803</v>
      </c>
      <c r="E536" s="1" t="n">
        <v>46306</v>
      </c>
      <c r="F536" t="inlineStr">
        <is>
          <t>JÖNKÖPINGS LÄN</t>
        </is>
      </c>
      <c r="G536" t="inlineStr">
        <is>
          <t>JÖNKÖPING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54451-2022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44882</v>
      </c>
      <c r="E537" s="1" t="n">
        <v>46306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56051-2023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45240</v>
      </c>
      <c r="E538" s="1" t="n">
        <v>46306</v>
      </c>
      <c r="F538" t="inlineStr">
        <is>
          <t>JÖNKÖPINGS LÄN</t>
        </is>
      </c>
      <c r="G538" t="inlineStr">
        <is>
          <t>JÖNKÖPING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46306</v>
      </c>
      <c r="F539" t="inlineStr">
        <is>
          <t>JÖNKÖPINGS LÄN</t>
        </is>
      </c>
      <c r="G539" t="inlineStr">
        <is>
          <t>JÖNKÖPING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55260-2024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45621</v>
      </c>
      <c r="E540" s="1" t="n">
        <v>46306</v>
      </c>
      <c r="F540" t="inlineStr">
        <is>
          <t>JÖNKÖPINGS LÄN</t>
        </is>
      </c>
      <c r="G540" t="inlineStr">
        <is>
          <t>JÖNKÖPING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46306</v>
      </c>
      <c r="F541" t="inlineStr">
        <is>
          <t>JÖNKÖPINGS LÄN</t>
        </is>
      </c>
      <c r="G541" t="inlineStr">
        <is>
          <t>JÖNKÖPING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36618-2025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46306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22542-2025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45788</v>
      </c>
      <c r="E543" s="1" t="n">
        <v>46306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46306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46306</v>
      </c>
      <c r="F545" t="inlineStr">
        <is>
          <t>JÖNKÖPINGS LÄN</t>
        </is>
      </c>
      <c r="G545" t="inlineStr">
        <is>
          <t>JÖNKÖPING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44627</v>
      </c>
      <c r="E546" s="1" t="n">
        <v>46306</v>
      </c>
      <c r="F546" t="inlineStr">
        <is>
          <t>JÖNKÖPINGS LÄN</t>
        </is>
      </c>
      <c r="G546" t="inlineStr">
        <is>
          <t>JÖNKÖPING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44985</v>
      </c>
      <c r="E547" s="1" t="n">
        <v>46306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46306</v>
      </c>
      <c r="F548" t="inlineStr">
        <is>
          <t>JÖNKÖPINGS LÄN</t>
        </is>
      </c>
      <c r="G548" t="inlineStr">
        <is>
          <t>JÖNKÖPING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57090-2025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45979</v>
      </c>
      <c r="E549" s="1" t="n">
        <v>46306</v>
      </c>
      <c r="F549" t="inlineStr">
        <is>
          <t>JÖNKÖPINGS LÄN</t>
        </is>
      </c>
      <c r="G549" t="inlineStr">
        <is>
          <t>JÖNKÖPING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45875</v>
      </c>
      <c r="E550" s="1" t="n">
        <v>46306</v>
      </c>
      <c r="F550" t="inlineStr">
        <is>
          <t>JÖNKÖPINGS LÄN</t>
        </is>
      </c>
      <c r="G550" t="inlineStr">
        <is>
          <t>JÖNKÖPING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45682</v>
      </c>
      <c r="E551" s="1" t="n">
        <v>46306</v>
      </c>
      <c r="F551" t="inlineStr">
        <is>
          <t>JÖNKÖPINGS LÄN</t>
        </is>
      </c>
      <c r="G551" t="inlineStr">
        <is>
          <t>JÖNKÖPING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46306</v>
      </c>
      <c r="F552" t="inlineStr">
        <is>
          <t>JÖNKÖPINGS LÄN</t>
        </is>
      </c>
      <c r="G552" t="inlineStr">
        <is>
          <t>JÖNKÖPING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56131-2022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44889</v>
      </c>
      <c r="E553" s="1" t="n">
        <v>46306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45198</v>
      </c>
      <c r="E554" s="1" t="n">
        <v>46306</v>
      </c>
      <c r="F554" t="inlineStr">
        <is>
          <t>JÖNKÖPINGS LÄN</t>
        </is>
      </c>
      <c r="G554" t="inlineStr">
        <is>
          <t>JÖNKÖPING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46628-2023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45198</v>
      </c>
      <c r="E555" s="1" t="n">
        <v>46306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46306</v>
      </c>
      <c r="F556" t="inlineStr">
        <is>
          <t>JÖNKÖPINGS LÄN</t>
        </is>
      </c>
      <c r="G556" t="inlineStr">
        <is>
          <t>JÖNKÖPING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45201</v>
      </c>
      <c r="E557" s="1" t="n">
        <v>46306</v>
      </c>
      <c r="F557" t="inlineStr">
        <is>
          <t>JÖNKÖPINGS LÄN</t>
        </is>
      </c>
      <c r="G557" t="inlineStr">
        <is>
          <t>JÖNKÖPING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62892-2023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45272</v>
      </c>
      <c r="E558" s="1" t="n">
        <v>46306</v>
      </c>
      <c r="F558" t="inlineStr">
        <is>
          <t>JÖNKÖPINGS LÄN</t>
        </is>
      </c>
      <c r="G558" t="inlineStr">
        <is>
          <t>JÖNKÖPING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46306</v>
      </c>
      <c r="F559" t="inlineStr">
        <is>
          <t>JÖNKÖPINGS LÄN</t>
        </is>
      </c>
      <c r="G559" t="inlineStr">
        <is>
          <t>JÖNKÖPING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60829-2023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45260</v>
      </c>
      <c r="E560" s="1" t="n">
        <v>46306</v>
      </c>
      <c r="F560" t="inlineStr">
        <is>
          <t>JÖNKÖPINGS LÄN</t>
        </is>
      </c>
      <c r="G560" t="inlineStr">
        <is>
          <t>JÖNKÖPING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44886</v>
      </c>
      <c r="E561" s="1" t="n">
        <v>46306</v>
      </c>
      <c r="F561" t="inlineStr">
        <is>
          <t>JÖNKÖPINGS LÄN</t>
        </is>
      </c>
      <c r="G561" t="inlineStr">
        <is>
          <t>JÖNKÖPING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46101</v>
      </c>
      <c r="E562" s="1" t="n">
        <v>46306</v>
      </c>
      <c r="F562" t="inlineStr">
        <is>
          <t>JÖNKÖPINGS LÄN</t>
        </is>
      </c>
      <c r="G562" t="inlineStr">
        <is>
          <t>JÖNKÖPING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59370-2023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45253</v>
      </c>
      <c r="E563" s="1" t="n">
        <v>46306</v>
      </c>
      <c r="F563" t="inlineStr">
        <is>
          <t>JÖNKÖPINGS LÄN</t>
        </is>
      </c>
      <c r="G563" t="inlineStr">
        <is>
          <t>JÖNKÖPING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46306</v>
      </c>
      <c r="F564" t="inlineStr">
        <is>
          <t>JÖNKÖPINGS LÄN</t>
        </is>
      </c>
      <c r="G564" t="inlineStr">
        <is>
          <t>JÖNKÖPING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50168-2023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46306</v>
      </c>
      <c r="F565" t="inlineStr">
        <is>
          <t>JÖNKÖPINGS LÄN</t>
        </is>
      </c>
      <c r="G565" t="inlineStr">
        <is>
          <t>JÖNKÖPING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46306</v>
      </c>
      <c r="F566" t="inlineStr">
        <is>
          <t>JÖNKÖPINGS LÄN</t>
        </is>
      </c>
      <c r="G566" t="inlineStr">
        <is>
          <t>JÖNKÖPING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45043</v>
      </c>
      <c r="E567" s="1" t="n">
        <v>46306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44867</v>
      </c>
      <c r="E568" s="1" t="n">
        <v>46306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44741</v>
      </c>
      <c r="E569" s="1" t="n">
        <v>46306</v>
      </c>
      <c r="F569" t="inlineStr">
        <is>
          <t>JÖNKÖPINGS LÄN</t>
        </is>
      </c>
      <c r="G569" t="inlineStr">
        <is>
          <t>JÖNKÖPING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46306</v>
      </c>
      <c r="F570" t="inlineStr">
        <is>
          <t>JÖNKÖPINGS LÄN</t>
        </is>
      </c>
      <c r="G570" t="inlineStr">
        <is>
          <t>JÖNKÖPING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46306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59312-2022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46306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46306</v>
      </c>
      <c r="F573" t="inlineStr">
        <is>
          <t>JÖNKÖPINGS LÄN</t>
        </is>
      </c>
      <c r="G573" t="inlineStr">
        <is>
          <t>JÖNKÖPING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45112</v>
      </c>
      <c r="E574" s="1" t="n">
        <v>46306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46306</v>
      </c>
      <c r="F575" t="inlineStr">
        <is>
          <t>JÖNKÖPINGS LÄN</t>
        </is>
      </c>
      <c r="G575" t="inlineStr">
        <is>
          <t>JÖNKÖPING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47569-2024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45587</v>
      </c>
      <c r="E576" s="1" t="n">
        <v>46306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46306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46306</v>
      </c>
      <c r="F578" t="inlineStr">
        <is>
          <t>JÖNKÖPINGS LÄN</t>
        </is>
      </c>
      <c r="G578" t="inlineStr">
        <is>
          <t>JÖNKÖPING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46119</v>
      </c>
      <c r="E579" s="1" t="n">
        <v>46306</v>
      </c>
      <c r="F579" t="inlineStr">
        <is>
          <t>JÖNKÖPINGS LÄN</t>
        </is>
      </c>
      <c r="G579" t="inlineStr">
        <is>
          <t>JÖNKÖPING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46306</v>
      </c>
      <c r="F580" t="inlineStr">
        <is>
          <t>JÖNKÖPINGS LÄN</t>
        </is>
      </c>
      <c r="G580" t="inlineStr">
        <is>
          <t>JÖNKÖPING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46120</v>
      </c>
      <c r="E581" s="1" t="n">
        <v>46306</v>
      </c>
      <c r="F581" t="inlineStr">
        <is>
          <t>JÖNKÖPINGS LÄN</t>
        </is>
      </c>
      <c r="G581" t="inlineStr">
        <is>
          <t>JÖNKÖPING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46306</v>
      </c>
      <c r="F582" t="inlineStr">
        <is>
          <t>JÖNKÖPINGS LÄN</t>
        </is>
      </c>
      <c r="G582" t="inlineStr">
        <is>
          <t>JÖNKÖPING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46306</v>
      </c>
      <c r="F583" t="inlineStr">
        <is>
          <t>JÖNKÖPINGS LÄN</t>
        </is>
      </c>
      <c r="G583" t="inlineStr">
        <is>
          <t>JÖNKÖPING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56599-2022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46306</v>
      </c>
      <c r="F584" t="inlineStr">
        <is>
          <t>JÖNKÖPINGS LÄN</t>
        </is>
      </c>
      <c r="G584" t="inlineStr">
        <is>
          <t>JÖNKÖPING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16212-2024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45406</v>
      </c>
      <c r="E585" s="1" t="n">
        <v>46306</v>
      </c>
      <c r="F585" t="inlineStr">
        <is>
          <t>JÖNKÖPINGS LÄN</t>
        </is>
      </c>
      <c r="G585" t="inlineStr">
        <is>
          <t>JÖNKÖPING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16213-2024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45406</v>
      </c>
      <c r="E586" s="1" t="n">
        <v>46306</v>
      </c>
      <c r="F586" t="inlineStr">
        <is>
          <t>JÖNKÖPINGS LÄN</t>
        </is>
      </c>
      <c r="G586" t="inlineStr">
        <is>
          <t>JÖNKÖPING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46306</v>
      </c>
      <c r="F587" t="inlineStr">
        <is>
          <t>JÖNKÖPINGS LÄN</t>
        </is>
      </c>
      <c r="G587" t="inlineStr">
        <is>
          <t>JÖNKÖPING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48308-2022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44853</v>
      </c>
      <c r="E588" s="1" t="n">
        <v>46306</v>
      </c>
      <c r="F588" t="inlineStr">
        <is>
          <t>JÖNKÖPINGS LÄN</t>
        </is>
      </c>
      <c r="G588" t="inlineStr">
        <is>
          <t>JÖNKÖPING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57715-2021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44484</v>
      </c>
      <c r="E589" s="1" t="n">
        <v>46306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44949</v>
      </c>
      <c r="E590" s="1" t="n">
        <v>46306</v>
      </c>
      <c r="F590" t="inlineStr">
        <is>
          <t>JÖNKÖPINGS LÄN</t>
        </is>
      </c>
      <c r="G590" t="inlineStr">
        <is>
          <t>JÖNKÖPING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13691-2022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44648</v>
      </c>
      <c r="E591" s="1" t="n">
        <v>46306</v>
      </c>
      <c r="F591" t="inlineStr">
        <is>
          <t>JÖNKÖPINGS LÄN</t>
        </is>
      </c>
      <c r="G591" t="inlineStr">
        <is>
          <t>JÖNKÖPING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61236-2025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46000</v>
      </c>
      <c r="E592" s="1" t="n">
        <v>46306</v>
      </c>
      <c r="F592" t="inlineStr">
        <is>
          <t>JÖNKÖPINGS LÄN</t>
        </is>
      </c>
      <c r="G592" t="inlineStr">
        <is>
          <t>JÖNKÖPING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49392-2022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46306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44938</v>
      </c>
      <c r="E594" s="1" t="n">
        <v>46306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Kyrkan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11801-2024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45375</v>
      </c>
      <c r="E595" s="1" t="n">
        <v>46306</v>
      </c>
      <c r="F595" t="inlineStr">
        <is>
          <t>JÖNKÖPINGS LÄN</t>
        </is>
      </c>
      <c r="G595" t="inlineStr">
        <is>
          <t>JÖNKÖPING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46306</v>
      </c>
      <c r="F596" t="inlineStr">
        <is>
          <t>JÖNKÖPINGS LÄN</t>
        </is>
      </c>
      <c r="G596" t="inlineStr">
        <is>
          <t>JÖNKÖPING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44943</v>
      </c>
      <c r="E597" s="1" t="n">
        <v>46306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8864-2022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46306</v>
      </c>
      <c r="F598" t="inlineStr">
        <is>
          <t>JÖNKÖPINGS LÄN</t>
        </is>
      </c>
      <c r="G598" t="inlineStr">
        <is>
          <t>JÖNKÖPING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21935-2022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44711</v>
      </c>
      <c r="E599" s="1" t="n">
        <v>46306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44622</v>
      </c>
      <c r="E600" s="1" t="n">
        <v>46306</v>
      </c>
      <c r="F600" t="inlineStr">
        <is>
          <t>JÖNKÖPINGS LÄN</t>
        </is>
      </c>
      <c r="G600" t="inlineStr">
        <is>
          <t>JÖNKÖPING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51363-2025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45947</v>
      </c>
      <c r="E601" s="1" t="n">
        <v>46306</v>
      </c>
      <c r="F601" t="inlineStr">
        <is>
          <t>JÖNKÖPINGS LÄN</t>
        </is>
      </c>
      <c r="G601" t="inlineStr">
        <is>
          <t>JÖNKÖPING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45058</v>
      </c>
      <c r="E602" s="1" t="n">
        <v>46306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17829-2025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45758</v>
      </c>
      <c r="E603" s="1" t="n">
        <v>46306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Kyrkan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15605-2022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44662</v>
      </c>
      <c r="E604" s="1" t="n">
        <v>46306</v>
      </c>
      <c r="F604" t="inlineStr">
        <is>
          <t>JÖNKÖPINGS LÄN</t>
        </is>
      </c>
      <c r="G604" t="inlineStr">
        <is>
          <t>JÖNKÖPING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46009</v>
      </c>
      <c r="E605" s="1" t="n">
        <v>46306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63127-2025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46009</v>
      </c>
      <c r="E606" s="1" t="n">
        <v>46306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63126-2025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46009</v>
      </c>
      <c r="E607" s="1" t="n">
        <v>46306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63125-2025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46009</v>
      </c>
      <c r="E608" s="1" t="n">
        <v>46306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63346-2025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46306</v>
      </c>
      <c r="F609" t="inlineStr">
        <is>
          <t>JÖNKÖPINGS LÄN</t>
        </is>
      </c>
      <c r="G609" t="inlineStr">
        <is>
          <t>JÖNKÖPING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40923-2024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45558</v>
      </c>
      <c r="E610" s="1" t="n">
        <v>46306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62909-2023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45271</v>
      </c>
      <c r="E611" s="1" t="n">
        <v>46306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62876-2025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46306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63076-2025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46306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49379-2022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44861</v>
      </c>
      <c r="E614" s="1" t="n">
        <v>46306</v>
      </c>
      <c r="F614" t="inlineStr">
        <is>
          <t>JÖNKÖPINGS LÄN</t>
        </is>
      </c>
      <c r="G614" t="inlineStr">
        <is>
          <t>JÖNKÖPING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49396-2022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44861</v>
      </c>
      <c r="E615" s="1" t="n">
        <v>46306</v>
      </c>
      <c r="F615" t="inlineStr">
        <is>
          <t>JÖNKÖPINGS LÄN</t>
        </is>
      </c>
      <c r="G615" t="inlineStr">
        <is>
          <t>JÖNKÖPING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45958</v>
      </c>
      <c r="E616" s="1" t="n">
        <v>46306</v>
      </c>
      <c r="F616" t="inlineStr">
        <is>
          <t>JÖNKÖPINGS LÄN</t>
        </is>
      </c>
      <c r="G616" t="inlineStr">
        <is>
          <t>JÖNKÖPING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63563-2025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46013</v>
      </c>
      <c r="E617" s="1" t="n">
        <v>46306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46013</v>
      </c>
      <c r="E618" s="1" t="n">
        <v>46306</v>
      </c>
      <c r="F618" t="inlineStr">
        <is>
          <t>JÖNKÖPINGS LÄN</t>
        </is>
      </c>
      <c r="G618" t="inlineStr">
        <is>
          <t>JÖNKÖPING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63564-2025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46013</v>
      </c>
      <c r="E619" s="1" t="n">
        <v>46306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63577-2025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46013</v>
      </c>
      <c r="E620" s="1" t="n">
        <v>46306</v>
      </c>
      <c r="F620" t="inlineStr">
        <is>
          <t>JÖNKÖPINGS LÄN</t>
        </is>
      </c>
      <c r="G620" t="inlineStr">
        <is>
          <t>JÖNKÖPING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63452-2025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46013</v>
      </c>
      <c r="E621" s="1" t="n">
        <v>46306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63435-2025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46013</v>
      </c>
      <c r="E622" s="1" t="n">
        <v>46306</v>
      </c>
      <c r="F622" t="inlineStr">
        <is>
          <t>JÖNKÖPINGS LÄN</t>
        </is>
      </c>
      <c r="G622" t="inlineStr">
        <is>
          <t>JÖNKÖPING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24972-2024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45461</v>
      </c>
      <c r="E623" s="1" t="n">
        <v>46306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37498-2024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46306</v>
      </c>
      <c r="F624" t="inlineStr">
        <is>
          <t>JÖNKÖPINGS LÄN</t>
        </is>
      </c>
      <c r="G624" t="inlineStr">
        <is>
          <t>JÖNKÖPING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34450-2025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45846</v>
      </c>
      <c r="E625" s="1" t="n">
        <v>46306</v>
      </c>
      <c r="F625" t="inlineStr">
        <is>
          <t>JÖNKÖPINGS LÄN</t>
        </is>
      </c>
      <c r="G625" t="inlineStr">
        <is>
          <t>JÖNKÖPING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12376-2025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45730</v>
      </c>
      <c r="E626" s="1" t="n">
        <v>46306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45043</v>
      </c>
      <c r="E627" s="1" t="n">
        <v>46306</v>
      </c>
      <c r="F627" t="inlineStr">
        <is>
          <t>JÖNKÖPINGS LÄN</t>
        </is>
      </c>
      <c r="G627" t="inlineStr">
        <is>
          <t>JÖNKÖPING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46026</v>
      </c>
      <c r="E628" s="1" t="n">
        <v>46306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46026</v>
      </c>
      <c r="E629" s="1" t="n">
        <v>46306</v>
      </c>
      <c r="F629" t="inlineStr">
        <is>
          <t>JÖNKÖPINGS LÄN</t>
        </is>
      </c>
      <c r="G629" t="inlineStr">
        <is>
          <t>JÖNKÖPING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57620-2022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44897</v>
      </c>
      <c r="E630" s="1" t="n">
        <v>46306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Kyrkan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45455</v>
      </c>
      <c r="E631" s="1" t="n">
        <v>46306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63176-2021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44507</v>
      </c>
      <c r="E632" s="1" t="n">
        <v>46306</v>
      </c>
      <c r="F632" t="inlineStr">
        <is>
          <t>JÖNKÖPINGS LÄN</t>
        </is>
      </c>
      <c r="G632" t="inlineStr">
        <is>
          <t>JÖNKÖPING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43573-2024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45569</v>
      </c>
      <c r="E633" s="1" t="n">
        <v>46306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46306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46306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45920-2024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45580</v>
      </c>
      <c r="E636" s="1" t="n">
        <v>46306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46306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46029</v>
      </c>
      <c r="E638" s="1" t="n">
        <v>46306</v>
      </c>
      <c r="F638" t="inlineStr">
        <is>
          <t>JÖNKÖPINGS LÄN</t>
        </is>
      </c>
      <c r="G638" t="inlineStr">
        <is>
          <t>JÖNKÖPING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26888-2025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45810</v>
      </c>
      <c r="E639" s="1" t="n">
        <v>46306</v>
      </c>
      <c r="F639" t="inlineStr">
        <is>
          <t>JÖNKÖPINGS LÄN</t>
        </is>
      </c>
      <c r="G639" t="inlineStr">
        <is>
          <t>JÖNKÖPING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46306</v>
      </c>
      <c r="F640" t="inlineStr">
        <is>
          <t>JÖNKÖPINGS LÄN</t>
        </is>
      </c>
      <c r="G640" t="inlineStr">
        <is>
          <t>JÖNKÖPING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46306</v>
      </c>
      <c r="F641" t="inlineStr">
        <is>
          <t>JÖNKÖPINGS LÄN</t>
        </is>
      </c>
      <c r="G641" t="inlineStr">
        <is>
          <t>JÖNKÖPING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46306</v>
      </c>
      <c r="F642" t="inlineStr">
        <is>
          <t>JÖNKÖPINGS LÄN</t>
        </is>
      </c>
      <c r="G642" t="inlineStr">
        <is>
          <t>JÖNKÖPING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45841</v>
      </c>
      <c r="E643" s="1" t="n">
        <v>46306</v>
      </c>
      <c r="F643" t="inlineStr">
        <is>
          <t>JÖNKÖPINGS LÄN</t>
        </is>
      </c>
      <c r="G643" t="inlineStr">
        <is>
          <t>JÖNKÖPING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38917-2024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45547</v>
      </c>
      <c r="E644" s="1" t="n">
        <v>46306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45034</v>
      </c>
      <c r="E645" s="1" t="n">
        <v>46306</v>
      </c>
      <c r="F645" t="inlineStr">
        <is>
          <t>JÖNKÖPINGS LÄN</t>
        </is>
      </c>
      <c r="G645" t="inlineStr">
        <is>
          <t>JÖNKÖPING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46306</v>
      </c>
      <c r="F646" t="inlineStr">
        <is>
          <t>JÖNKÖPINGS LÄN</t>
        </is>
      </c>
      <c r="G646" t="inlineStr">
        <is>
          <t>JÖNKÖPING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31757-2025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46306</v>
      </c>
      <c r="F647" t="inlineStr">
        <is>
          <t>JÖNKÖPINGS LÄN</t>
        </is>
      </c>
      <c r="G647" t="inlineStr">
        <is>
          <t>JÖNKÖPING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17203-2022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44677</v>
      </c>
      <c r="E648" s="1" t="n">
        <v>46306</v>
      </c>
      <c r="F648" t="inlineStr">
        <is>
          <t>JÖNKÖPINGS LÄN</t>
        </is>
      </c>
      <c r="G648" t="inlineStr">
        <is>
          <t>JÖNKÖPING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46306</v>
      </c>
      <c r="F649" t="inlineStr">
        <is>
          <t>JÖNKÖPINGS LÄN</t>
        </is>
      </c>
      <c r="G649" t="inlineStr">
        <is>
          <t>JÖNKÖPING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46035</v>
      </c>
      <c r="E650" s="1" t="n">
        <v>46306</v>
      </c>
      <c r="F650" t="inlineStr">
        <is>
          <t>JÖNKÖPINGS LÄN</t>
        </is>
      </c>
      <c r="G650" t="inlineStr">
        <is>
          <t>JÖNKÖPING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46038</v>
      </c>
      <c r="E651" s="1" t="n">
        <v>46306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15190-2022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44658</v>
      </c>
      <c r="E652" s="1" t="n">
        <v>46306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46306</v>
      </c>
      <c r="F653" t="inlineStr">
        <is>
          <t>JÖNKÖPINGS LÄN</t>
        </is>
      </c>
      <c r="G653" t="inlineStr">
        <is>
          <t>JÖNKÖPING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45048</v>
      </c>
      <c r="E654" s="1" t="n">
        <v>46306</v>
      </c>
      <c r="F654" t="inlineStr">
        <is>
          <t>JÖNKÖPINGS LÄN</t>
        </is>
      </c>
      <c r="G654" t="inlineStr">
        <is>
          <t>JÖNKÖPING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46306</v>
      </c>
      <c r="F655" t="inlineStr">
        <is>
          <t>JÖNKÖPINGS LÄN</t>
        </is>
      </c>
      <c r="G655" t="inlineStr">
        <is>
          <t>JÖNKÖPING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46041</v>
      </c>
      <c r="E656" s="1" t="n">
        <v>46306</v>
      </c>
      <c r="F656" t="inlineStr">
        <is>
          <t>JÖNKÖPINGS LÄN</t>
        </is>
      </c>
      <c r="G656" t="inlineStr">
        <is>
          <t>JÖNKÖPING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7425-2026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46059</v>
      </c>
      <c r="E657" s="1" t="n">
        <v>46306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3667-2026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46043</v>
      </c>
      <c r="E658" s="1" t="n">
        <v>46306</v>
      </c>
      <c r="F658" t="inlineStr">
        <is>
          <t>JÖNKÖPINGS LÄN</t>
        </is>
      </c>
      <c r="G658" t="inlineStr">
        <is>
          <t>JÖNKÖPING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46306</v>
      </c>
      <c r="F659" t="inlineStr">
        <is>
          <t>JÖNKÖPINGS LÄN</t>
        </is>
      </c>
      <c r="G659" t="inlineStr">
        <is>
          <t>JÖNKÖPING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45875</v>
      </c>
      <c r="E660" s="1" t="n">
        <v>46306</v>
      </c>
      <c r="F660" t="inlineStr">
        <is>
          <t>JÖNKÖPINGS LÄN</t>
        </is>
      </c>
      <c r="G660" t="inlineStr">
        <is>
          <t>JÖNKÖPING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45051</v>
      </c>
      <c r="E661" s="1" t="n">
        <v>46306</v>
      </c>
      <c r="F661" t="inlineStr">
        <is>
          <t>JÖNKÖPINGS LÄN</t>
        </is>
      </c>
      <c r="G661" t="inlineStr">
        <is>
          <t>JÖNKÖPING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4579-2026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46306</v>
      </c>
      <c r="F662" t="inlineStr">
        <is>
          <t>JÖNKÖPINGS LÄN</t>
        </is>
      </c>
      <c r="G662" t="inlineStr">
        <is>
          <t>JÖNKÖPING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46306</v>
      </c>
      <c r="F663" t="inlineStr">
        <is>
          <t>JÖNKÖPINGS LÄN</t>
        </is>
      </c>
      <c r="G663" t="inlineStr">
        <is>
          <t>JÖNKÖPING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46306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46306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Övriga Aktiebolag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26378-2022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44735</v>
      </c>
      <c r="E666" s="1" t="n">
        <v>46306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45976-2022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44846</v>
      </c>
      <c r="E667" s="1" t="n">
        <v>46306</v>
      </c>
      <c r="F667" t="inlineStr">
        <is>
          <t>JÖNKÖPINGS LÄN</t>
        </is>
      </c>
      <c r="G667" t="inlineStr">
        <is>
          <t>JÖNKÖPING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33448-2023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45130</v>
      </c>
      <c r="E668" s="1" t="n">
        <v>46306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4805-2026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46048</v>
      </c>
      <c r="E669" s="1" t="n">
        <v>46306</v>
      </c>
      <c r="F669" t="inlineStr">
        <is>
          <t>JÖNKÖPINGS LÄN</t>
        </is>
      </c>
      <c r="G669" t="inlineStr">
        <is>
          <t>JÖNKÖPING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46306</v>
      </c>
      <c r="F670" t="inlineStr">
        <is>
          <t>JÖNKÖPINGS LÄN</t>
        </is>
      </c>
      <c r="G670" t="inlineStr">
        <is>
          <t>JÖNKÖPING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46002</v>
      </c>
      <c r="E671" s="1" t="n">
        <v>46306</v>
      </c>
      <c r="F671" t="inlineStr">
        <is>
          <t>JÖNKÖPINGS LÄN</t>
        </is>
      </c>
      <c r="G671" t="inlineStr">
        <is>
          <t>JÖNKÖPING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46306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46306</v>
      </c>
      <c r="F673" t="inlineStr">
        <is>
          <t>JÖNKÖPINGS LÄN</t>
        </is>
      </c>
      <c r="G673" t="inlineStr">
        <is>
          <t>JÖNKÖPING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5332-2026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46050</v>
      </c>
      <c r="E674" s="1" t="n">
        <v>46306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45471</v>
      </c>
      <c r="E675" s="1" t="n">
        <v>46306</v>
      </c>
      <c r="F675" t="inlineStr">
        <is>
          <t>JÖNKÖPINGS LÄN</t>
        </is>
      </c>
      <c r="G675" t="inlineStr">
        <is>
          <t>JÖNKÖPING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8347-2023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44977</v>
      </c>
      <c r="E676" s="1" t="n">
        <v>46306</v>
      </c>
      <c r="F676" t="inlineStr">
        <is>
          <t>JÖNKÖPINGS LÄN</t>
        </is>
      </c>
      <c r="G676" t="inlineStr">
        <is>
          <t>JÖNKÖPING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46306</v>
      </c>
      <c r="F677" t="inlineStr">
        <is>
          <t>JÖNKÖPINGS LÄN</t>
        </is>
      </c>
      <c r="G677" t="inlineStr">
        <is>
          <t>JÖNKÖPING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12932-2025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45734</v>
      </c>
      <c r="E678" s="1" t="n">
        <v>46306</v>
      </c>
      <c r="F678" t="inlineStr">
        <is>
          <t>JÖNKÖPINGS LÄN</t>
        </is>
      </c>
      <c r="G678" t="inlineStr">
        <is>
          <t>JÖNKÖPING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46306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46055</v>
      </c>
      <c r="E680" s="1" t="n">
        <v>46306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46306</v>
      </c>
      <c r="F681" t="inlineStr">
        <is>
          <t>JÖNKÖPINGS LÄN</t>
        </is>
      </c>
      <c r="G681" t="inlineStr">
        <is>
          <t>JÖNKÖPING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7442-2026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46059</v>
      </c>
      <c r="E682" s="1" t="n">
        <v>46306</v>
      </c>
      <c r="F682" t="inlineStr">
        <is>
          <t>JÖNKÖPINGS LÄN</t>
        </is>
      </c>
      <c r="G682" t="inlineStr">
        <is>
          <t>JÖNKÖPING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46059</v>
      </c>
      <c r="E683" s="1" t="n">
        <v>46306</v>
      </c>
      <c r="F683" t="inlineStr">
        <is>
          <t>JÖNKÖPINGS LÄN</t>
        </is>
      </c>
      <c r="G683" t="inlineStr">
        <is>
          <t>JÖNKÖPING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7504-2026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46059</v>
      </c>
      <c r="E684" s="1" t="n">
        <v>46306</v>
      </c>
      <c r="F684" t="inlineStr">
        <is>
          <t>JÖNKÖPINGS LÄN</t>
        </is>
      </c>
      <c r="G684" t="inlineStr">
        <is>
          <t>JÖNKÖPING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46306</v>
      </c>
      <c r="F685" t="inlineStr">
        <is>
          <t>JÖNKÖPINGS LÄN</t>
        </is>
      </c>
      <c r="G685" t="inlineStr">
        <is>
          <t>JÖNKÖPING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46306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7551-2026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46059</v>
      </c>
      <c r="E687" s="1" t="n">
        <v>46306</v>
      </c>
      <c r="F687" t="inlineStr">
        <is>
          <t>JÖNKÖPINGS LÄN</t>
        </is>
      </c>
      <c r="G687" t="inlineStr">
        <is>
          <t>JÖNKÖPING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46059</v>
      </c>
      <c r="E688" s="1" t="n">
        <v>46306</v>
      </c>
      <c r="F688" t="inlineStr">
        <is>
          <t>JÖNKÖPINGS LÄN</t>
        </is>
      </c>
      <c r="G688" t="inlineStr">
        <is>
          <t>JÖNKÖPING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46306</v>
      </c>
      <c r="F689" t="inlineStr">
        <is>
          <t>JÖNKÖPINGS LÄN</t>
        </is>
      </c>
      <c r="G689" t="inlineStr">
        <is>
          <t>JÖNKÖPING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46306</v>
      </c>
      <c r="F690" t="inlineStr">
        <is>
          <t>JÖNKÖPINGS LÄN</t>
        </is>
      </c>
      <c r="G690" t="inlineStr">
        <is>
          <t>JÖNKÖPING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46306</v>
      </c>
      <c r="F691" t="inlineStr">
        <is>
          <t>JÖNKÖPINGS LÄN</t>
        </is>
      </c>
      <c r="G691" t="inlineStr">
        <is>
          <t>JÖNKÖPING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7821-2026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46306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7512-2026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46306</v>
      </c>
      <c r="F693" t="inlineStr">
        <is>
          <t>JÖNKÖPINGS LÄN</t>
        </is>
      </c>
      <c r="G693" t="inlineStr">
        <is>
          <t>JÖNKÖPING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46306</v>
      </c>
      <c r="F694" t="inlineStr">
        <is>
          <t>JÖNKÖPINGS LÄN</t>
        </is>
      </c>
      <c r="G694" t="inlineStr">
        <is>
          <t>JÖNKÖPING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46306</v>
      </c>
      <c r="F695" t="inlineStr">
        <is>
          <t>JÖNKÖPINGS LÄN</t>
        </is>
      </c>
      <c r="G695" t="inlineStr">
        <is>
          <t>JÖNKÖPING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9073-2026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46069</v>
      </c>
      <c r="E696" s="1" t="n">
        <v>46306</v>
      </c>
      <c r="F696" t="inlineStr">
        <is>
          <t>JÖNKÖPINGS LÄN</t>
        </is>
      </c>
      <c r="G696" t="inlineStr">
        <is>
          <t>JÖNKÖPING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46069</v>
      </c>
      <c r="E697" s="1" t="n">
        <v>46306</v>
      </c>
      <c r="F697" t="inlineStr">
        <is>
          <t>JÖNKÖPINGS LÄN</t>
        </is>
      </c>
      <c r="G697" t="inlineStr">
        <is>
          <t>JÖNKÖPING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9067-2026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46069</v>
      </c>
      <c r="E698" s="1" t="n">
        <v>46306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46070</v>
      </c>
      <c r="E699" s="1" t="n">
        <v>46306</v>
      </c>
      <c r="F699" t="inlineStr">
        <is>
          <t>JÖNKÖPINGS LÄN</t>
        </is>
      </c>
      <c r="G699" t="inlineStr">
        <is>
          <t>JÖNKÖPING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46306</v>
      </c>
      <c r="F700" t="inlineStr">
        <is>
          <t>JÖNKÖPINGS LÄN</t>
        </is>
      </c>
      <c r="G700" t="inlineStr">
        <is>
          <t>JÖNKÖPING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9376-2026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46070</v>
      </c>
      <c r="E701" s="1" t="n">
        <v>46306</v>
      </c>
      <c r="F701" t="inlineStr">
        <is>
          <t>JÖNKÖPINGS LÄN</t>
        </is>
      </c>
      <c r="G701" t="inlineStr">
        <is>
          <t>JÖNKÖPING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9926-2026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46073</v>
      </c>
      <c r="E702" s="1" t="n">
        <v>46306</v>
      </c>
      <c r="F702" t="inlineStr">
        <is>
          <t>JÖNKÖPINGS LÄN</t>
        </is>
      </c>
      <c r="G702" t="inlineStr">
        <is>
          <t>JÖNKÖPING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46079</v>
      </c>
      <c r="E703" s="1" t="n">
        <v>46306</v>
      </c>
      <c r="F703" t="inlineStr">
        <is>
          <t>JÖNKÖPINGS LÄN</t>
        </is>
      </c>
      <c r="G703" t="inlineStr">
        <is>
          <t>JÖNKÖPING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26896-2024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46306</v>
      </c>
      <c r="F704" t="inlineStr">
        <is>
          <t>JÖNKÖPINGS LÄN</t>
        </is>
      </c>
      <c r="G704" t="inlineStr">
        <is>
          <t>JÖNKÖPING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12256-2026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46306</v>
      </c>
      <c r="F705" t="inlineStr">
        <is>
          <t>JÖNKÖPINGS LÄN</t>
        </is>
      </c>
      <c r="G705" t="inlineStr">
        <is>
          <t>JÖNKÖPING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12657-2026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46091</v>
      </c>
      <c r="E706" s="1" t="n">
        <v>46306</v>
      </c>
      <c r="F706" t="inlineStr">
        <is>
          <t>JÖNKÖPINGS LÄN</t>
        </is>
      </c>
      <c r="G706" t="inlineStr">
        <is>
          <t>JÖNKÖPING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46306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23311-2026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46306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46306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46306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46306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23255-2026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46306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46167</v>
      </c>
      <c r="E713" s="1" t="n">
        <v>46306</v>
      </c>
      <c r="F713" t="inlineStr">
        <is>
          <t>JÖNKÖPINGS LÄN</t>
        </is>
      </c>
      <c r="G713" t="inlineStr">
        <is>
          <t>JÖNKÖPING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46306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46306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24422-2026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46168</v>
      </c>
      <c r="E716" s="1" t="n">
        <v>46306</v>
      </c>
      <c r="F716" t="inlineStr">
        <is>
          <t>JÖNKÖPINGS LÄN</t>
        </is>
      </c>
      <c r="G716" t="inlineStr">
        <is>
          <t>JÖNKÖPING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46306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46306</v>
      </c>
      <c r="F718" t="inlineStr">
        <is>
          <t>JÖNKÖPINGS LÄN</t>
        </is>
      </c>
      <c r="G718" t="inlineStr">
        <is>
          <t>JÖNKÖPING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46170</v>
      </c>
      <c r="E719" s="1" t="n">
        <v>46306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11039-2022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44628</v>
      </c>
      <c r="E720" s="1" t="n">
        <v>46306</v>
      </c>
      <c r="F720" t="inlineStr">
        <is>
          <t>JÖNKÖPINGS LÄN</t>
        </is>
      </c>
      <c r="G720" t="inlineStr">
        <is>
          <t>JÖNKÖPING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24486-2026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46306</v>
      </c>
      <c r="F721" t="inlineStr">
        <is>
          <t>JÖNKÖPINGS LÄN</t>
        </is>
      </c>
      <c r="G721" t="inlineStr">
        <is>
          <t>JÖNKÖPING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46306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46306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25063-2026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46306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25069-2026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46174</v>
      </c>
      <c r="E725" s="1" t="n">
        <v>46306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47009-2025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45929</v>
      </c>
      <c r="E726" s="1" t="n">
        <v>46306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46306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46306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27791-2026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46189</v>
      </c>
      <c r="E729" s="1" t="n">
        <v>46306</v>
      </c>
      <c r="F729" t="inlineStr">
        <is>
          <t>JÖNKÖPINGS LÄN</t>
        </is>
      </c>
      <c r="G729" t="inlineStr">
        <is>
          <t>JÖNKÖPING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46306</v>
      </c>
      <c r="F730" t="inlineStr">
        <is>
          <t>JÖNKÖPINGS LÄN</t>
        </is>
      </c>
      <c r="G730" t="inlineStr">
        <is>
          <t>JÖNKÖPING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29292-2026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46197</v>
      </c>
      <c r="E731" s="1" t="n">
        <v>46306</v>
      </c>
      <c r="F731" t="inlineStr">
        <is>
          <t>JÖNKÖPINGS LÄN</t>
        </is>
      </c>
      <c r="G731" t="inlineStr">
        <is>
          <t>JÖNKÖPING</t>
        </is>
      </c>
      <c r="I731" t="n">
        <v>7.5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29112-2026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46201</v>
      </c>
      <c r="E732" s="1" t="n">
        <v>46306</v>
      </c>
      <c r="F732" t="inlineStr">
        <is>
          <t>JÖNKÖPINGS LÄN</t>
        </is>
      </c>
      <c r="G732" t="inlineStr">
        <is>
          <t>JÖNKÖPING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46201</v>
      </c>
      <c r="E733" s="1" t="n">
        <v>46306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46201</v>
      </c>
      <c r="E734" s="1" t="n">
        <v>46306</v>
      </c>
      <c r="F734" t="inlineStr">
        <is>
          <t>JÖNKÖPINGS LÄN</t>
        </is>
      </c>
      <c r="G734" t="inlineStr">
        <is>
          <t>JÖNKÖPING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46306</v>
      </c>
      <c r="F735" t="inlineStr">
        <is>
          <t>JÖNKÖPINGS LÄN</t>
        </is>
      </c>
      <c r="G735" t="inlineStr">
        <is>
          <t>JÖNKÖPING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46306</v>
      </c>
      <c r="F736" t="inlineStr">
        <is>
          <t>JÖNKÖPINGS LÄN</t>
        </is>
      </c>
      <c r="G736" t="inlineStr">
        <is>
          <t>JÖNKÖPING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46306</v>
      </c>
      <c r="F737" t="inlineStr">
        <is>
          <t>JÖNKÖPINGS LÄN</t>
        </is>
      </c>
      <c r="G737" t="inlineStr">
        <is>
          <t>JÖNKÖPING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46306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46306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46306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46306</v>
      </c>
      <c r="F741" t="inlineStr">
        <is>
          <t>JÖNKÖPINGS LÄN</t>
        </is>
      </c>
      <c r="G741" t="inlineStr">
        <is>
          <t>JÖNKÖPING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46306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14.5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46211</v>
      </c>
      <c r="E743" s="1" t="n">
        <v>46306</v>
      </c>
      <c r="F743" t="inlineStr">
        <is>
          <t>JÖNKÖPINGS LÄN</t>
        </is>
      </c>
      <c r="G743" t="inlineStr">
        <is>
          <t>JÖNKÖPING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46211</v>
      </c>
      <c r="E744" s="1" t="n">
        <v>46306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46306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46306</v>
      </c>
      <c r="F746" t="inlineStr">
        <is>
          <t>JÖNKÖPINGS LÄN</t>
        </is>
      </c>
      <c r="G746" t="inlineStr">
        <is>
          <t>JÖNKÖPING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46306</v>
      </c>
      <c r="F747" t="inlineStr">
        <is>
          <t>JÖNKÖPINGS LÄN</t>
        </is>
      </c>
      <c r="G747" t="inlineStr">
        <is>
          <t>JÖNKÖPING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30625-2026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46306</v>
      </c>
      <c r="F748" t="inlineStr">
        <is>
          <t>JÖNKÖPINGS LÄN</t>
        </is>
      </c>
      <c r="G748" t="inlineStr">
        <is>
          <t>JÖNKÖPING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46306</v>
      </c>
      <c r="F749" t="inlineStr">
        <is>
          <t>JÖNKÖPINGS LÄN</t>
        </is>
      </c>
      <c r="G749" t="inlineStr">
        <is>
          <t>JÖNKÖPING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46306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46306</v>
      </c>
      <c r="F751" t="inlineStr">
        <is>
          <t>JÖNKÖPINGS LÄN</t>
        </is>
      </c>
      <c r="G751" t="inlineStr">
        <is>
          <t>JÖNKÖPING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30837-2026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46212</v>
      </c>
      <c r="E752" s="1" t="n">
        <v>46306</v>
      </c>
      <c r="F752" t="inlineStr">
        <is>
          <t>JÖNKÖPINGS LÄN</t>
        </is>
      </c>
      <c r="G752" t="inlineStr">
        <is>
          <t>JÖNKÖPING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30870-2026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46212</v>
      </c>
      <c r="E753" s="1" t="n">
        <v>46306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46212</v>
      </c>
      <c r="E754" s="1" t="n">
        <v>46306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50896-2025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45946</v>
      </c>
      <c r="E755" s="1" t="n">
        <v>46306</v>
      </c>
      <c r="F755" t="inlineStr">
        <is>
          <t>JÖNKÖPINGS LÄN</t>
        </is>
      </c>
      <c r="G755" t="inlineStr">
        <is>
          <t>JÖNKÖPING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46306</v>
      </c>
      <c r="F756" t="inlineStr">
        <is>
          <t>JÖNKÖPINGS LÄN</t>
        </is>
      </c>
      <c r="G756" t="inlineStr">
        <is>
          <t>JÖNKÖPING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46219</v>
      </c>
      <c r="E757" s="1" t="n">
        <v>46306</v>
      </c>
      <c r="F757" t="inlineStr">
        <is>
          <t>JÖNKÖPINGS LÄN</t>
        </is>
      </c>
      <c r="G757" t="inlineStr">
        <is>
          <t>JÖNKÖPING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46306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33850-2025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45842</v>
      </c>
      <c r="E759" s="1" t="n">
        <v>46306</v>
      </c>
      <c r="F759" t="inlineStr">
        <is>
          <t>JÖNKÖPINGS LÄN</t>
        </is>
      </c>
      <c r="G759" t="inlineStr">
        <is>
          <t>JÖNKÖPING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31405-2026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46220</v>
      </c>
      <c r="E760" s="1" t="n">
        <v>46306</v>
      </c>
      <c r="F760" t="inlineStr">
        <is>
          <t>JÖNKÖPINGS LÄN</t>
        </is>
      </c>
      <c r="G760" t="inlineStr">
        <is>
          <t>JÖNKÖPING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35776-2026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46265</v>
      </c>
      <c r="E761" s="1" t="n">
        <v>46306</v>
      </c>
      <c r="F761" t="inlineStr">
        <is>
          <t>JÖNKÖPINGS LÄN</t>
        </is>
      </c>
      <c r="G761" t="inlineStr">
        <is>
          <t>JÖNKÖPING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36216-2026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46267</v>
      </c>
      <c r="E762" s="1" t="n">
        <v>46306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46306</v>
      </c>
      <c r="F763" t="inlineStr">
        <is>
          <t>JÖNKÖPINGS LÄN</t>
        </is>
      </c>
      <c r="G763" t="inlineStr">
        <is>
          <t>JÖNKÖPING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46270</v>
      </c>
      <c r="E764" s="1" t="n">
        <v>46306</v>
      </c>
      <c r="F764" t="inlineStr">
        <is>
          <t>JÖNKÖPINGS LÄN</t>
        </is>
      </c>
      <c r="G764" t="inlineStr">
        <is>
          <t>JÖNKÖPING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36781-2026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46272</v>
      </c>
      <c r="E765" s="1" t="n">
        <v>46306</v>
      </c>
      <c r="F765" t="inlineStr">
        <is>
          <t>JÖNKÖPINGS LÄN</t>
        </is>
      </c>
      <c r="G765" t="inlineStr">
        <is>
          <t>JÖNKÖPING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46306</v>
      </c>
      <c r="F766" t="inlineStr">
        <is>
          <t>JÖNKÖPINGS LÄN</t>
        </is>
      </c>
      <c r="G766" t="inlineStr">
        <is>
          <t>JÖNKÖPING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36793-2026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46272</v>
      </c>
      <c r="E767" s="1" t="n">
        <v>46306</v>
      </c>
      <c r="F767" t="inlineStr">
        <is>
          <t>JÖNKÖPINGS LÄN</t>
        </is>
      </c>
      <c r="G767" t="inlineStr">
        <is>
          <t>JÖNKÖPING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36774-2026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46272</v>
      </c>
      <c r="E768" s="1" t="n">
        <v>46306</v>
      </c>
      <c r="F768" t="inlineStr">
        <is>
          <t>JÖNKÖPINGS LÄN</t>
        </is>
      </c>
      <c r="G768" t="inlineStr">
        <is>
          <t>JÖNKÖPING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36747-2026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46306</v>
      </c>
      <c r="F769" t="inlineStr">
        <is>
          <t>JÖNKÖPINGS LÄN</t>
        </is>
      </c>
      <c r="G769" t="inlineStr">
        <is>
          <t>JÖNKÖPING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31771-2026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46230</v>
      </c>
      <c r="E770" s="1" t="n">
        <v>46306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31772-2026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46230</v>
      </c>
      <c r="E771" s="1" t="n">
        <v>46306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36940-2026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46273</v>
      </c>
      <c r="E772" s="1" t="n">
        <v>46306</v>
      </c>
      <c r="F772" t="inlineStr">
        <is>
          <t>JÖNKÖPINGS LÄN</t>
        </is>
      </c>
      <c r="G772" t="inlineStr">
        <is>
          <t>JÖNKÖPING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37555-2026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46276</v>
      </c>
      <c r="E773" s="1" t="n">
        <v>46306</v>
      </c>
      <c r="F773" t="inlineStr">
        <is>
          <t>JÖNKÖPINGS LÄN</t>
        </is>
      </c>
      <c r="G773" t="inlineStr">
        <is>
          <t>JÖNKÖPING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37556-2026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46276</v>
      </c>
      <c r="E774" s="1" t="n">
        <v>46306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37316-2026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46274</v>
      </c>
      <c r="E775" s="1" t="n">
        <v>46306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32147-2026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46234</v>
      </c>
      <c r="E776" s="1" t="n">
        <v>46306</v>
      </c>
      <c r="F776" t="inlineStr">
        <is>
          <t>JÖNKÖPINGS LÄN</t>
        </is>
      </c>
      <c r="G776" t="inlineStr">
        <is>
          <t>JÖNKÖPING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46306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46306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37883-2026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46279</v>
      </c>
      <c r="E779" s="1" t="n">
        <v>46306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32072-2026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46306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46234</v>
      </c>
      <c r="E781" s="1" t="n">
        <v>46306</v>
      </c>
      <c r="F781" t="inlineStr">
        <is>
          <t>JÖNKÖPINGS LÄN</t>
        </is>
      </c>
      <c r="G781" t="inlineStr">
        <is>
          <t>JÖNKÖPING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46234</v>
      </c>
      <c r="E782" s="1" t="n">
        <v>46306</v>
      </c>
      <c r="F782" t="inlineStr">
        <is>
          <t>JÖNKÖPINGS LÄN</t>
        </is>
      </c>
      <c r="G782" t="inlineStr">
        <is>
          <t>JÖNKÖPING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32074-2026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46306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46234</v>
      </c>
      <c r="E784" s="1" t="n">
        <v>46306</v>
      </c>
      <c r="F784" t="inlineStr">
        <is>
          <t>JÖNKÖPINGS LÄN</t>
        </is>
      </c>
      <c r="G784" t="inlineStr">
        <is>
          <t>JÖNKÖPING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36217-2026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46267</v>
      </c>
      <c r="E785" s="1" t="n">
        <v>46306</v>
      </c>
      <c r="F785" t="inlineStr">
        <is>
          <t>JÖNKÖPINGS LÄN</t>
        </is>
      </c>
      <c r="G785" t="inlineStr">
        <is>
          <t>JÖNKÖPING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46306</v>
      </c>
      <c r="F786" t="inlineStr">
        <is>
          <t>JÖNKÖPINGS LÄN</t>
        </is>
      </c>
      <c r="G786" t="inlineStr">
        <is>
          <t>JÖNKÖPING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46306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9.1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32543-2026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46306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32329-2026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46238</v>
      </c>
      <c r="E789" s="1" t="n">
        <v>46306</v>
      </c>
      <c r="F789" t="inlineStr">
        <is>
          <t>JÖNKÖPINGS LÄN</t>
        </is>
      </c>
      <c r="G789" t="inlineStr">
        <is>
          <t>JÖNKÖPING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38862-2026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46306</v>
      </c>
      <c r="F790" t="inlineStr">
        <is>
          <t>JÖNKÖPINGS LÄN</t>
        </is>
      </c>
      <c r="G790" t="inlineStr">
        <is>
          <t>JÖNKÖPING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38790-2026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46306</v>
      </c>
      <c r="F791" t="inlineStr">
        <is>
          <t>JÖNKÖPINGS LÄN</t>
        </is>
      </c>
      <c r="G791" t="inlineStr">
        <is>
          <t>JÖNKÖPING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38861-2026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46286</v>
      </c>
      <c r="E792" s="1" t="n">
        <v>46306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38904-2026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46286</v>
      </c>
      <c r="E793" s="1" t="n">
        <v>46306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46281</v>
      </c>
      <c r="E794" s="1" t="n">
        <v>46306</v>
      </c>
      <c r="F794" t="inlineStr">
        <is>
          <t>JÖNKÖPINGS LÄN</t>
        </is>
      </c>
      <c r="G794" t="inlineStr">
        <is>
          <t>JÖNKÖPING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38910-2026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46286</v>
      </c>
      <c r="E795" s="1" t="n">
        <v>46306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38883-2026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46306</v>
      </c>
      <c r="F796" t="inlineStr">
        <is>
          <t>JÖNKÖPINGS LÄN</t>
        </is>
      </c>
      <c r="G796" t="inlineStr">
        <is>
          <t>JÖNKÖPING</t>
        </is>
      </c>
      <c r="I796" t="n">
        <v>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32851-2026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46306</v>
      </c>
      <c r="F797" t="inlineStr">
        <is>
          <t>JÖNKÖPINGS LÄN</t>
        </is>
      </c>
      <c r="G797" t="inlineStr">
        <is>
          <t>JÖNKÖPING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37889-2026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46279</v>
      </c>
      <c r="E798" s="1" t="n">
        <v>46306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32836-2026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46306</v>
      </c>
      <c r="F799" t="inlineStr">
        <is>
          <t>JÖNKÖPINGS LÄN</t>
        </is>
      </c>
      <c r="G799" t="inlineStr">
        <is>
          <t>JÖNKÖPING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46306</v>
      </c>
      <c r="F800" t="inlineStr">
        <is>
          <t>JÖNKÖPINGS LÄN</t>
        </is>
      </c>
      <c r="G800" t="inlineStr">
        <is>
          <t>JÖNKÖPING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46306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33305-2026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46246</v>
      </c>
      <c r="E802" s="1" t="n">
        <v>46306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46306</v>
      </c>
      <c r="F803" t="inlineStr">
        <is>
          <t>JÖNKÖPINGS LÄN</t>
        </is>
      </c>
      <c r="G803" t="inlineStr">
        <is>
          <t>JÖNKÖPING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46246</v>
      </c>
      <c r="E804" s="1" t="n">
        <v>46306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39850-2026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46290</v>
      </c>
      <c r="E805" s="1" t="n">
        <v>46306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39847-2026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46290</v>
      </c>
      <c r="E806" s="1" t="n">
        <v>46306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46247</v>
      </c>
      <c r="E807" s="1" t="n">
        <v>46306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39844-2026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46306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40455-2026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46306</v>
      </c>
      <c r="F809" t="inlineStr">
        <is>
          <t>JÖNKÖPINGS LÄN</t>
        </is>
      </c>
      <c r="G809" t="inlineStr">
        <is>
          <t>JÖNKÖPING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33527-2026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46248</v>
      </c>
      <c r="E810" s="1" t="n">
        <v>46306</v>
      </c>
      <c r="F810" t="inlineStr">
        <is>
          <t>JÖNKÖPINGS LÄN</t>
        </is>
      </c>
      <c r="G810" t="inlineStr">
        <is>
          <t>JÖNKÖPING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40294-2026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46294</v>
      </c>
      <c r="E811" s="1" t="n">
        <v>46306</v>
      </c>
      <c r="F811" t="inlineStr">
        <is>
          <t>JÖNKÖPINGS LÄN</t>
        </is>
      </c>
      <c r="G811" t="inlineStr">
        <is>
          <t>JÖNKÖPING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39979-2026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46293</v>
      </c>
      <c r="E812" s="1" t="n">
        <v>46306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40557-2026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46294</v>
      </c>
      <c r="E813" s="1" t="n">
        <v>46306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40826-2026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46295</v>
      </c>
      <c r="E814" s="1" t="n">
        <v>46306</v>
      </c>
      <c r="F814" t="inlineStr">
        <is>
          <t>JÖNKÖPINGS LÄN</t>
        </is>
      </c>
      <c r="G814" t="inlineStr">
        <is>
          <t>JÖNKÖPING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40548-2026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46306</v>
      </c>
      <c r="F815" t="inlineStr">
        <is>
          <t>JÖNKÖPINGS LÄN</t>
        </is>
      </c>
      <c r="G815" t="inlineStr">
        <is>
          <t>JÖNKÖPING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34038-2026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46306</v>
      </c>
      <c r="F816" t="inlineStr">
        <is>
          <t>JÖNKÖPINGS LÄN</t>
        </is>
      </c>
      <c r="G816" t="inlineStr">
        <is>
          <t>JÖNKÖPING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40477-2026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46306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46306</v>
      </c>
      <c r="F818" t="inlineStr">
        <is>
          <t>JÖNKÖPINGS LÄN</t>
        </is>
      </c>
      <c r="G818" t="inlineStr">
        <is>
          <t>JÖNKÖPING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34622-2026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46255</v>
      </c>
      <c r="E819" s="1" t="n">
        <v>46306</v>
      </c>
      <c r="F819" t="inlineStr">
        <is>
          <t>JÖNKÖPINGS LÄN</t>
        </is>
      </c>
      <c r="G819" t="inlineStr">
        <is>
          <t>JÖNKÖPING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41774-2026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46302</v>
      </c>
      <c r="E820" s="1" t="n">
        <v>46306</v>
      </c>
      <c r="F820" t="inlineStr">
        <is>
          <t>JÖNKÖPINGS LÄN</t>
        </is>
      </c>
      <c r="G820" t="inlineStr">
        <is>
          <t>JÖNKÖPING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33674-2026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46248</v>
      </c>
      <c r="E821" s="1" t="n">
        <v>46306</v>
      </c>
      <c r="F821" t="inlineStr">
        <is>
          <t>JÖNKÖPINGS LÄN</t>
        </is>
      </c>
      <c r="G821" t="inlineStr">
        <is>
          <t>JÖNKÖPING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41444-2026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46301</v>
      </c>
      <c r="E822" s="1" t="n">
        <v>46306</v>
      </c>
      <c r="F822" t="inlineStr">
        <is>
          <t>JÖNKÖPINGS LÄN</t>
        </is>
      </c>
      <c r="G822" t="inlineStr">
        <is>
          <t>JÖNKÖPING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41617-2026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46302</v>
      </c>
      <c r="E823" s="1" t="n">
        <v>46306</v>
      </c>
      <c r="F823" t="inlineStr">
        <is>
          <t>JÖNKÖPINGS LÄN</t>
        </is>
      </c>
      <c r="G823" t="inlineStr">
        <is>
          <t>JÖNKÖPING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41615-2026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46302</v>
      </c>
      <c r="E824" s="1" t="n">
        <v>46306</v>
      </c>
      <c r="F824" t="inlineStr">
        <is>
          <t>JÖNKÖPINGS LÄN</t>
        </is>
      </c>
      <c r="G824" t="inlineStr">
        <is>
          <t>JÖNKÖPING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46303</v>
      </c>
      <c r="E825" s="1" t="n">
        <v>46306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38337-2026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46282</v>
      </c>
      <c r="E826" s="1" t="n">
        <v>46306</v>
      </c>
      <c r="F826" t="inlineStr">
        <is>
          <t>JÖNKÖPINGS LÄN</t>
        </is>
      </c>
      <c r="G826" t="inlineStr">
        <is>
          <t>JÖNKÖPING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6893-2025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45701</v>
      </c>
      <c r="E827" s="1" t="n">
        <v>46306</v>
      </c>
      <c r="F827" t="inlineStr">
        <is>
          <t>JÖNKÖPINGS LÄN</t>
        </is>
      </c>
      <c r="G827" t="inlineStr">
        <is>
          <t>JÖNKÖPING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1870-2022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44658</v>
      </c>
      <c r="E828" s="1" t="n">
        <v>46306</v>
      </c>
      <c r="F828" t="inlineStr">
        <is>
          <t>JÖNKÖPINGS LÄN</t>
        </is>
      </c>
      <c r="G828" t="inlineStr">
        <is>
          <t>JÖNKÖPING</t>
        </is>
      </c>
      <c r="I828" t="n">
        <v>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44607</v>
      </c>
      <c r="E829" s="1" t="n">
        <v>46306</v>
      </c>
      <c r="F829" t="inlineStr">
        <is>
          <t>JÖNKÖPINGS LÄN</t>
        </is>
      </c>
      <c r="G829" t="inlineStr">
        <is>
          <t>JÖNKÖPING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589-2022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44593</v>
      </c>
      <c r="E830" s="1" t="n">
        <v>46306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2909-2022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44711</v>
      </c>
      <c r="E831" s="1" t="n">
        <v>46306</v>
      </c>
      <c r="F831" t="inlineStr">
        <is>
          <t>JÖNKÖPINGS LÄN</t>
        </is>
      </c>
      <c r="G831" t="inlineStr">
        <is>
          <t>JÖNKÖPING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46306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2480-2023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45131</v>
      </c>
      <c r="E833" s="1" t="n">
        <v>46306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Kyrkan</t>
        </is>
      </c>
      <c r="I833" t="n">
        <v>66.7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9015-2021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44510</v>
      </c>
      <c r="E834" s="1" t="n">
        <v>46306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274-2023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44956</v>
      </c>
      <c r="E835" s="1" t="n">
        <v>46306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50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1347-2024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45407</v>
      </c>
      <c r="E836" s="1" t="n">
        <v>46306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Övriga Aktiebolag</t>
        </is>
      </c>
      <c r="I836" t="n">
        <v>40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324-2024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45327</v>
      </c>
      <c r="E837" s="1" t="n">
        <v>46306</v>
      </c>
      <c r="F837" t="inlineStr">
        <is>
          <t>JÖNKÖPINGS LÄN</t>
        </is>
      </c>
      <c r="G837" t="inlineStr">
        <is>
          <t>JÖNKÖPING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3979-2022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44753</v>
      </c>
      <c r="E838" s="1" t="n">
        <v>46306</v>
      </c>
      <c r="F838" t="inlineStr">
        <is>
          <t>JÖNKÖPINGS LÄN</t>
        </is>
      </c>
      <c r="G838" t="inlineStr">
        <is>
          <t>JÖNKÖPING</t>
        </is>
      </c>
      <c r="I838" t="n">
        <v>55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893-2023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44998</v>
      </c>
      <c r="E839" s="1" t="n">
        <v>46306</v>
      </c>
      <c r="F839" t="inlineStr">
        <is>
          <t>JÖNKÖPINGS LÄN</t>
        </is>
      </c>
      <c r="G839" t="inlineStr">
        <is>
          <t>JÖNKÖPING</t>
        </is>
      </c>
      <c r="I839" t="n">
        <v>129.2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1566-2025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45794</v>
      </c>
      <c r="E840" s="1" t="n">
        <v>46306</v>
      </c>
      <c r="F840" t="inlineStr">
        <is>
          <t>JÖNKÖPINGS LÄN</t>
        </is>
      </c>
      <c r="G840" t="inlineStr">
        <is>
          <t>JÖNKÖPING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1618-2025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45798</v>
      </c>
      <c r="E841" s="1" t="n">
        <v>46306</v>
      </c>
      <c r="F841" t="inlineStr">
        <is>
          <t>JÖNKÖPINGS LÄN</t>
        </is>
      </c>
      <c r="G841" t="inlineStr">
        <is>
          <t>JÖNKÖPING</t>
        </is>
      </c>
      <c r="I841" t="n">
        <v>20.6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581-2025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45712</v>
      </c>
      <c r="E842" s="1" t="n">
        <v>46306</v>
      </c>
      <c r="F842" t="inlineStr">
        <is>
          <t>JÖNKÖPINGS LÄN</t>
        </is>
      </c>
      <c r="G842" t="inlineStr">
        <is>
          <t>JÖNKÖPING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  <c r="Z842">
        <f>HYPERLINK("https://klasma.github.io/Logging_0680/knärot/S 581-2025 karta knärot.png", "S 581-2025")</f>
        <v/>
      </c>
      <c r="AA842">
        <f>HYPERLINK("https://klasma.github.io/Logging_0680/klagomål/S 581-2025 FSC-klagomål.docx", "S 581-2025")</f>
        <v/>
      </c>
      <c r="AB842">
        <f>HYPERLINK("https://klasma.github.io/Logging_0680/klagomålsmail/S 581-2025 FSC-klagomål mail.docx", "S 581-2025")</f>
        <v/>
      </c>
      <c r="AC842">
        <f>HYPERLINK("https://klasma.github.io/Logging_0680/tillsyn/S 581-2025 tillsynsbegäran.docx", "S 581-2025")</f>
        <v/>
      </c>
      <c r="AD842">
        <f>HYPERLINK("https://klasma.github.io/Logging_0680/tillsynsmail/S 581-2025 tillsynsbegäran mail.docx", "S 581-2025")</f>
        <v/>
      </c>
    </row>
    <row r="843" ht="15" customHeight="1">
      <c r="A843" t="inlineStr">
        <is>
          <t>S 1610-2025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46306</v>
      </c>
      <c r="F843" t="inlineStr">
        <is>
          <t>JÖNKÖPINGS LÄN</t>
        </is>
      </c>
      <c r="G843" t="inlineStr">
        <is>
          <t>JÖNKÖPING</t>
        </is>
      </c>
      <c r="I843" t="n">
        <v>65.3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577-2025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46306</v>
      </c>
      <c r="F844" t="inlineStr">
        <is>
          <t>JÖNKÖPINGS LÄN</t>
        </is>
      </c>
      <c r="G844" t="inlineStr">
        <is>
          <t>JÖNKÖPING</t>
        </is>
      </c>
      <c r="I844" t="n">
        <v>39.5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1803-2025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45817</v>
      </c>
      <c r="E845" s="1" t="n">
        <v>46306</v>
      </c>
      <c r="F845" t="inlineStr">
        <is>
          <t>JÖNKÖPINGS LÄN</t>
        </is>
      </c>
      <c r="G845" t="inlineStr">
        <is>
          <t>JÖNKÖPING</t>
        </is>
      </c>
      <c r="H845" t="inlineStr">
        <is>
          <t>Kommuner</t>
        </is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2245-2025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45870</v>
      </c>
      <c r="E846" s="1" t="n">
        <v>46306</v>
      </c>
      <c r="F846" t="inlineStr">
        <is>
          <t>JÖNKÖPINGS LÄN</t>
        </is>
      </c>
      <c r="G846" t="inlineStr">
        <is>
          <t>JÖNKÖPING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3374-2025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45994</v>
      </c>
      <c r="E847" s="1" t="n">
        <v>46306</v>
      </c>
      <c r="F847" t="inlineStr">
        <is>
          <t>JÖNKÖPINGS LÄN</t>
        </is>
      </c>
      <c r="G847" t="inlineStr">
        <is>
          <t>JÖNKÖPING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46047</v>
      </c>
      <c r="E848" s="1" t="n">
        <v>46306</v>
      </c>
      <c r="F848" t="inlineStr">
        <is>
          <t>JÖNKÖPINGS LÄN</t>
        </is>
      </c>
      <c r="G848" t="inlineStr">
        <is>
          <t>JÖNKÖPING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>
      <c r="A849" t="inlineStr">
        <is>
          <t>S 2641-2026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46304</v>
      </c>
      <c r="E849" s="1" t="n">
        <v>46306</v>
      </c>
      <c r="F849" t="inlineStr">
        <is>
          <t>JÖNKÖPINGS LÄN</t>
        </is>
      </c>
      <c r="G849" t="inlineStr">
        <is>
          <t>JÖNKÖPING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2026-10-11T02:07:50Z</dcterms:created>
  <dcterms:modified xmlns:dcterms="http://purl.org/dc/terms/" xmlns:xsi="http://www.w3.org/2001/XMLSchema-instance" xsi:type="dcterms:W3CDTF">2026-10-11T02:07:51Z</dcterms:modified>
</cp:coreProperties>
</file>