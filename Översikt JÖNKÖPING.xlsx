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45801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45801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45801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45801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45801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45801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45801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45801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21006-2025</t>
        </is>
      </c>
      <c r="B10" s="1" t="n">
        <v>45777</v>
      </c>
      <c r="C10" s="1" t="n">
        <v>45801</v>
      </c>
      <c r="D10" t="inlineStr">
        <is>
          <t>JÖNKÖPINGS LÄN</t>
        </is>
      </c>
      <c r="E10" t="inlineStr">
        <is>
          <t>JÖNKÖPING</t>
        </is>
      </c>
      <c r="G10" t="n">
        <v>5</v>
      </c>
      <c r="H10" t="n">
        <v>4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Grön sköldmossa
Vätteros
Blåsippa
Gullviva</t>
        </is>
      </c>
      <c r="S10">
        <f>HYPERLINK("https://klasma.github.io/Logging_060680/artfynd/A 21006-2025 artfynd.xlsx", "A 21006-2025")</f>
        <v/>
      </c>
      <c r="T10">
        <f>HYPERLINK("https://klasma.github.io/Logging_060680/kartor/A 21006-2025 karta.png", "A 21006-2025")</f>
        <v/>
      </c>
      <c r="V10">
        <f>HYPERLINK("https://klasma.github.io/Logging_060680/klagomål/A 21006-2025 FSC-klagomål.docx", "A 21006-2025")</f>
        <v/>
      </c>
      <c r="W10">
        <f>HYPERLINK("https://klasma.github.io/Logging_060680/klagomålsmail/A 21006-2025 FSC-klagomål mail.docx", "A 21006-2025")</f>
        <v/>
      </c>
      <c r="X10">
        <f>HYPERLINK("https://klasma.github.io/Logging_060680/tillsyn/A 21006-2025 tillsynsbegäran.docx", "A 21006-2025")</f>
        <v/>
      </c>
      <c r="Y10">
        <f>HYPERLINK("https://klasma.github.io/Logging_060680/tillsynsmail/A 21006-2025 tillsynsbegäran mail.docx", "A 21006-2025")</f>
        <v/>
      </c>
      <c r="Z10">
        <f>HYPERLINK("https://klasma.github.io/Logging_060680/fåglar/A 21006-2025 prioriterade fågelarter.docx", "A 21006-2025")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45801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45801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45801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45801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45801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45801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45801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45801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45801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45801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45801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45801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45801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45801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45801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45801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45801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45801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45801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45801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45801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45801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45801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45801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45801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45801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45801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45801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45801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45801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45801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45801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45801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45801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45801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45801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45801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45801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45801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45801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45801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45801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45801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45801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45801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45801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45801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45801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45801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45801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45801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45801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45801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45801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45801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45801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45801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45801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45801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45801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45801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45801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45801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45801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45801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45801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45801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45801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45801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45801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45801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45801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45801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45801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45801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45801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45801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45801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45801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45801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45801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45801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45801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45801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45801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45801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45801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45801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45801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45801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45801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45801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45801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45801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45801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45801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45801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45801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45801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45801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45801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45801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45801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45801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45801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45801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45801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45801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45801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45801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45801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45801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45801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45801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45801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45801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45801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45801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45801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45801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45801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45801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45801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45801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45801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45801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45801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45801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45801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45801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45801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45801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45801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45801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45801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45801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45801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45801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45801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45801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45801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45801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45801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45801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45801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45801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45801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45801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45801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45801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45801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45801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45801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45801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45801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45801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45801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45801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45801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45801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45801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45801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45801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45801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45801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45801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45801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45801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45801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45801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45801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45801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45801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45801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45801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45801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45801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45801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45801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45801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45801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45801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45801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45801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45801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45801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45801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45801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45801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45801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45801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45801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45801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45801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45801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45801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45801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45801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45801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45801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45801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45801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45801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45801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45801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45801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45801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45801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45801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45801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45801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45801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45801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45801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45801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45801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45801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45801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45801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45801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45801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45801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45801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45801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45801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45801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45801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45801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45801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45801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45801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45801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45801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45801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45801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45801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45801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45801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45801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45801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45801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45801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45801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45801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45801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45801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45801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45801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45801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45801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45801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45801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45801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45801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45801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45801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45801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45801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45801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45801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45801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45801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45801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45801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45801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45801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45801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45801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45801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45801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45801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45801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45801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45801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45801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45801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45801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45801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45801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45801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45801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45801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45801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45801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45801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45801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45801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45801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45801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45801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45801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45801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45801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45801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45801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45801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45801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45801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45801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45801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45801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45801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45801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45801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45801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45801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45801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45801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45801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45801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45801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45801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45801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45801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45801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45801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45801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45801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45801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45801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45801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45801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45801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45801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45801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45801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45801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45801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45801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45801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45801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45801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45801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45801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45801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45801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45801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45801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45801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45801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45801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45801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45801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45801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45801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45801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45801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45801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45801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45801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45801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45801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45801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45801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45801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45801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45801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45801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45801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45801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45801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45801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45801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45801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45801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45801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45801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45801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45801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45801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45801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45801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45801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45801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45801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45801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45801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45801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45801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45801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45801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45801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45801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45801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45801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45801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45801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45801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45801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45801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45801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45801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45801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45801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45801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45801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45801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45801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45801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45801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45801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45801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45801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45801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45801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45801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45801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45801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45801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45801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45801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45801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45801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45801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45801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45801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45801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45801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45801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45801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45801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45801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45801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45801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45801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45801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45801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45801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45801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45801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45801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45801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45801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45801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45801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45801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45801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45801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45801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45801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45801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45801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45801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45801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45801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45801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45801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45801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45801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45801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45801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45801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45801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45801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45801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45801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45801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45801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45801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45801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45801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45801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45801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45801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45801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45801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45801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45801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45801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45801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45801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45801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45801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45801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45801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45801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45801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45801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45801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45801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45801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45801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45801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45801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45801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45801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45801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45801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45801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45801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45801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45801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45801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45801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45801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45801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45801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45801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45801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45801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45801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45801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45801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45801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45801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45801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45801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45801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45801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45801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45801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45801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45801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45801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45801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45801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45801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45801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45801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45801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45801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45801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45801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45801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45801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45801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45801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45801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45801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45801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45801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45801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45801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45801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45801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45801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45801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45801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45801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45801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45801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45801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45801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45801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45801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45801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45801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45801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45801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45801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45801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45801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45801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45801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45801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45801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45801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45801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45801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45801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45801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45801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45801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45801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45801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45801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45801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45801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45801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45801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45801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45801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45801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45801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45801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45801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45801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45801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45801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45801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45801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45801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45801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45801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45801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45801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45801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45801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45801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45801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45801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45801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45801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45801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45801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45801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45801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45801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45801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45801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45801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45801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45801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45801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45801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45801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45801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45801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45801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45801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45801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45801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45801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45801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45801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45801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45801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45801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45801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45801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45801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45801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45801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45801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45801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45801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45801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45801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45801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45801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45801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45801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45801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45801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45801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45801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45801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45801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45801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45801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45801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45801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45801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45801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45801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45801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45801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45801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45801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45801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45801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45801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45801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45801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45801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45801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45801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45801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45801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45801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45801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45801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45801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45801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45801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45801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45801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45801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45801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45801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45801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45801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45801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45801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45801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45801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45801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45801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45801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45801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45801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45801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45801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45801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45801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45801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45801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45801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45801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45801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45801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45801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45801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45801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45801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45801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45801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45801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45801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45801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45801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45801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45801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45801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45801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45801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45801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45801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45801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45801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45801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45801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45801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45801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45801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45801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45801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45801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45801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45801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45801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45801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45801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45801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45801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45801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45801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45801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45801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45801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45801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45801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45801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45801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45801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45801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45801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45801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45801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45801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45801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45801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45801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45801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45801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45801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45801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45801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45801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45801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45801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45801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45801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45801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45801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45801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45801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45801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45801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45801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45801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45801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45801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45801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45801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45801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45801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45801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45801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45801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45801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45801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45801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45801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45801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45801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45801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45801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45801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45801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45801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45801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45801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45801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45801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45801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45801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45801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45801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45801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45801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45801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45801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45801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45801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45801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45801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45801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45801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45801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45801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45801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45801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45801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45801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45801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45801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45801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45801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45801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45801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45801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45801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45801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45801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45801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45801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45801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45801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45801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45801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45801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45801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45801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45801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45801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45801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45801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45801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45801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45801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45801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45801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45801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45801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45801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45801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45801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45801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45801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45801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45801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45801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45801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45801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45801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45801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45801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45801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45801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45801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45801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45801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45801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45801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45801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45801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45801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45801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45801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45801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45801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45801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45801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45801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45801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45801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45801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45801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45801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45801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45801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45801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45801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45801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45801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45801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45801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45801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45801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45801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45801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45801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45801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45801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45801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45801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45801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45801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45801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45801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45801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45801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45801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45801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45801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45801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45801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45801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45801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45801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45801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45801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45801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45801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45801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45801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45801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45801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45801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45801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45801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45801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45801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45801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45801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45801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45801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45801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45801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45801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45801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45801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45801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45801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45801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45801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45801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45801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45801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45801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45801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45801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45801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45801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45801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45801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45801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45801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45801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45801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45801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45801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45801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45801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45801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45801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45801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45801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45801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45801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45801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45801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45801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45801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45801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45801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45801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45801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45801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45801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45801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45801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45801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45801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45801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45801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45801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45801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45801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45801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45801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45801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45801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45801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45801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45801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45801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45801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45801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45801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45801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45801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45801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45801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45801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45801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45801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45801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45801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45801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45801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45801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45801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45801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45801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45801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45801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45801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45801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45801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45801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45801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45801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45801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45801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45801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45801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45801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45801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45801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45801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45801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45801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45801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45801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45801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45801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45801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45801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45801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45801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45801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45801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45801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45801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45801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45801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45801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45801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45801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45801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45801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45801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45801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45801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45801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45801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45801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45801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45801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45801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45801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45801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45801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45801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45801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45801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45801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45801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45801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45801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45801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45801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45801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45801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45801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45801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45801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45801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45801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45801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45801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45801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45801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45801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45801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45801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45801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45801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45801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45801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45801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45801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45801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45801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45801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45801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45801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45801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45801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45801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45801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45801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45801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45801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45801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45801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45801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45801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45801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45801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45801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45801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45801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45801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45801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45801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45801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45801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45801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45801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45801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45801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45801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45801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45801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45801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45801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45801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45801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45801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45801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45801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45801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45801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45801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45801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45801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45801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45801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45801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45801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45801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45801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45801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45801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45801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45801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45801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45801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45801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45801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45801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45801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45801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45801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45801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45801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45801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45801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45801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45801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45801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45801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45801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45801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45801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45801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45801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45801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45801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45801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45801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45801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45801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45801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45801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45801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45801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45801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45801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45801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45801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45801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45801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45801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45801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45801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45801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45801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45801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45801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45801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45801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45801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45801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45801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45801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45801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45801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45801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45801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45801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45801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45801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45801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45801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45801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45801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45801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45801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45801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45801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45801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45801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45801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45801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45801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45801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45801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45801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45801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45801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45801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45801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45801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45801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45801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45801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45801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45801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45801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45801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45801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45801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45801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45801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45801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45801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45801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45801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45801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45801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45801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45801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45801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45801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45801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45801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45801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45801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45801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45801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45801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45801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45801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45801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45801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45801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45801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45801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45801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45801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45801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45801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45801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45801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45801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45801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45801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45801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45801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45801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45801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45801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45801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45801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45801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45801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45801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45801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45801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45801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45801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45801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45801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45801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45801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45801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45801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45801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45801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45801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45801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45801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45801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45801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45801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45801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45801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45801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45801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45801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45801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45801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45801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45801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45801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45801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45801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45801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45801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45801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45801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45801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45801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45801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45801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45801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45801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45801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45801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45801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45801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45801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45801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45801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45801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45801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45801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45801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45801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45801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45801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45801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45801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45801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45801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45801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45801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45801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45801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45801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45801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45801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45801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45801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45801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45801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45801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45801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45801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45801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45801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45801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45801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45801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45801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45801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45801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45801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45801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45801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45801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45801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45801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45801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45801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45801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45801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45801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45801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45801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45801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45801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45801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45801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45801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45801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45801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45801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45801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45801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45801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45801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45801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45801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45801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45801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45801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45801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45801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45801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45801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45801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45801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45801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45801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45801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45801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45801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45801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45801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45801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45801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45801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45801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45801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45801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45801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45801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45801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45801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45801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45801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45801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45801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45801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45801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45801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45801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45801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45801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45801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45801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45801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45801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45801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45801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45801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45801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45801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45801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45801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45801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45801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45801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45801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45801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45801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45801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45801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45801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45801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45801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45801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45801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45801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45801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45801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45801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45801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45801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45801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45801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45801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45801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45801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45801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45801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45801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45801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45801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45801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45801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45801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45801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45801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45801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45801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45801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45801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45801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45801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45801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45801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45801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45801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45801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45801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45801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45801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45801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45801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45801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45801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45801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45801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45801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45801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45801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45801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45801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45801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45801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45801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45801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45801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45801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45801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45801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45801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45801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45801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45801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45801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45801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45801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45801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45801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45801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45801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45801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45801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45801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45801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45801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45801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45801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45801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45801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45801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45801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45801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45801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45801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45801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45801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45801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45801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45801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45801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45801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45801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45801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45801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45801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45801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45801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45801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45801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45801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45801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45801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45801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45801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45801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45801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45801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45801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45801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45801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45801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45801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45801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45801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45801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45801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45801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45801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45801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45801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45801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45801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45801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45801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45801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45801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45801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45801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45801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45801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45801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45801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45801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45801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45801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45801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45801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45801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45801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45801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45801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45801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45801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45801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45801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45801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45801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45801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19211-2025</t>
        </is>
      </c>
      <c r="B1582" s="1" t="n">
        <v>45769</v>
      </c>
      <c r="C1582" s="1" t="n">
        <v>45801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19347-2025</t>
        </is>
      </c>
      <c r="B1583" s="1" t="n">
        <v>45769</v>
      </c>
      <c r="C1583" s="1" t="n">
        <v>45801</v>
      </c>
      <c r="D1583" t="inlineStr">
        <is>
          <t>JÖNKÖPINGS LÄN</t>
        </is>
      </c>
      <c r="E1583" t="inlineStr">
        <is>
          <t>JÖNKÖPING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45801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45801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45801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20376-2025</t>
        </is>
      </c>
      <c r="B1587" s="1" t="n">
        <v>45775</v>
      </c>
      <c r="C1587" s="1" t="n">
        <v>45801</v>
      </c>
      <c r="D1587" t="inlineStr">
        <is>
          <t>JÖNKÖPINGS LÄN</t>
        </is>
      </c>
      <c r="E1587" t="inlineStr">
        <is>
          <t>JÖNKÖPING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45801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20314-2025</t>
        </is>
      </c>
      <c r="B1589" s="1" t="n">
        <v>45775</v>
      </c>
      <c r="C1589" s="1" t="n">
        <v>45801</v>
      </c>
      <c r="D1589" t="inlineStr">
        <is>
          <t>JÖNKÖPINGS LÄN</t>
        </is>
      </c>
      <c r="E1589" t="inlineStr">
        <is>
          <t>JÖNKÖPING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45801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21016-2025</t>
        </is>
      </c>
      <c r="B1591" s="1" t="n">
        <v>45777</v>
      </c>
      <c r="C1591" s="1" t="n">
        <v>45801</v>
      </c>
      <c r="D1591" t="inlineStr">
        <is>
          <t>JÖNKÖPINGS LÄN</t>
        </is>
      </c>
      <c r="E1591" t="inlineStr">
        <is>
          <t>JÖNKÖPING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21083-2025</t>
        </is>
      </c>
      <c r="B1592" s="1" t="n">
        <v>45777</v>
      </c>
      <c r="C1592" s="1" t="n">
        <v>45801</v>
      </c>
      <c r="D1592" t="inlineStr">
        <is>
          <t>JÖNKÖPINGS LÄN</t>
        </is>
      </c>
      <c r="E1592" t="inlineStr">
        <is>
          <t>JÖNKÖPING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21017-2025</t>
        </is>
      </c>
      <c r="B1593" s="1" t="n">
        <v>45777</v>
      </c>
      <c r="C1593" s="1" t="n">
        <v>45801</v>
      </c>
      <c r="D1593" t="inlineStr">
        <is>
          <t>JÖNKÖPINGS LÄN</t>
        </is>
      </c>
      <c r="E1593" t="inlineStr">
        <is>
          <t>JÖNKÖPING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45801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45801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45801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45801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22553-2025</t>
        </is>
      </c>
      <c r="B1598" s="1" t="n">
        <v>45788</v>
      </c>
      <c r="C1598" s="1" t="n">
        <v>45801</v>
      </c>
      <c r="D1598" t="inlineStr">
        <is>
          <t>JÖNKÖPINGS LÄN</t>
        </is>
      </c>
      <c r="E1598" t="inlineStr">
        <is>
          <t>JÖNKÖPING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45801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45801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22554-2025</t>
        </is>
      </c>
      <c r="B1601" s="1" t="n">
        <v>45788</v>
      </c>
      <c r="C1601" s="1" t="n">
        <v>45801</v>
      </c>
      <c r="D1601" t="inlineStr">
        <is>
          <t>JÖNKÖPINGS LÄN</t>
        </is>
      </c>
      <c r="E1601" t="inlineStr">
        <is>
          <t>JÖNKÖPING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45801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23063-2025</t>
        </is>
      </c>
      <c r="B1603" s="1" t="n">
        <v>45790</v>
      </c>
      <c r="C1603" s="1" t="n">
        <v>45801</v>
      </c>
      <c r="D1603" t="inlineStr">
        <is>
          <t>JÖNKÖPINGS LÄN</t>
        </is>
      </c>
      <c r="E1603" t="inlineStr">
        <is>
          <t>JÖNKÖPING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45801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23389-2025</t>
        </is>
      </c>
      <c r="B1605" s="1" t="n">
        <v>45791</v>
      </c>
      <c r="C1605" s="1" t="n">
        <v>45801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23893-2025</t>
        </is>
      </c>
      <c r="B1606" s="1" t="n">
        <v>45793</v>
      </c>
      <c r="C1606" s="1" t="n">
        <v>45801</v>
      </c>
      <c r="D1606" t="inlineStr">
        <is>
          <t>JÖNKÖPINGS LÄN</t>
        </is>
      </c>
      <c r="E1606" t="inlineStr">
        <is>
          <t>JÖNKÖPING</t>
        </is>
      </c>
      <c r="G1606" t="n">
        <v>15.5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24329-2025</t>
        </is>
      </c>
      <c r="B1607" s="1" t="n">
        <v>45797</v>
      </c>
      <c r="C1607" s="1" t="n">
        <v>45801</v>
      </c>
      <c r="D1607" t="inlineStr">
        <is>
          <t>JÖNKÖPINGS LÄN</t>
        </is>
      </c>
      <c r="E1607" t="inlineStr">
        <is>
          <t>JÖNKÖPING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24413-2025</t>
        </is>
      </c>
      <c r="B1608" s="1" t="n">
        <v>45797</v>
      </c>
      <c r="C1608" s="1" t="n">
        <v>45801</v>
      </c>
      <c r="D1608" t="inlineStr">
        <is>
          <t>JÖNKÖPINGS LÄN</t>
        </is>
      </c>
      <c r="E1608" t="inlineStr">
        <is>
          <t>JÖNKÖPING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24883-2025</t>
        </is>
      </c>
      <c r="B1609" s="1" t="n">
        <v>45799</v>
      </c>
      <c r="C1609" s="1" t="n">
        <v>45801</v>
      </c>
      <c r="D1609" t="inlineStr">
        <is>
          <t>JÖNKÖPINGS LÄN</t>
        </is>
      </c>
      <c r="E1609" t="inlineStr">
        <is>
          <t>JÖNKÖPING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24886-2025</t>
        </is>
      </c>
      <c r="B1610" s="1" t="n">
        <v>45799</v>
      </c>
      <c r="C1610" s="1" t="n">
        <v>45801</v>
      </c>
      <c r="D1610" t="inlineStr">
        <is>
          <t>JÖNKÖPINGS LÄN</t>
        </is>
      </c>
      <c r="E1610" t="inlineStr">
        <is>
          <t>JÖNKÖPING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24973-2025</t>
        </is>
      </c>
      <c r="B1611" s="1" t="n">
        <v>45799</v>
      </c>
      <c r="C1611" s="1" t="n">
        <v>45801</v>
      </c>
      <c r="D1611" t="inlineStr">
        <is>
          <t>JÖNKÖPINGS LÄN</t>
        </is>
      </c>
      <c r="E1611" t="inlineStr">
        <is>
          <t>JÖNKÖPING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24896-2025</t>
        </is>
      </c>
      <c r="B1612" s="1" t="n">
        <v>45799</v>
      </c>
      <c r="C1612" s="1" t="n">
        <v>45801</v>
      </c>
      <c r="D1612" t="inlineStr">
        <is>
          <t>JÖNKÖPINGS LÄN</t>
        </is>
      </c>
      <c r="E1612" t="inlineStr">
        <is>
          <t>JÖNKÖPING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24900-2025</t>
        </is>
      </c>
      <c r="B1613" s="1" t="n">
        <v>45799</v>
      </c>
      <c r="C1613" s="1" t="n">
        <v>45801</v>
      </c>
      <c r="D1613" t="inlineStr">
        <is>
          <t>JÖNKÖPINGS LÄN</t>
        </is>
      </c>
      <c r="E1613" t="inlineStr">
        <is>
          <t>JÖNKÖPING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>
      <c r="A1614" t="inlineStr">
        <is>
          <t>A 24965-2025</t>
        </is>
      </c>
      <c r="B1614" s="1" t="n">
        <v>45799</v>
      </c>
      <c r="C1614" s="1" t="n">
        <v>45801</v>
      </c>
      <c r="D1614" t="inlineStr">
        <is>
          <t>JÖNKÖPINGS LÄN</t>
        </is>
      </c>
      <c r="E1614" t="inlineStr">
        <is>
          <t>JÖNKÖPING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2025-05-24T18:24:54Z</dcterms:created>
  <dcterms:modified xmlns:dcterms="http://purl.org/dc/terms/" xmlns:xsi="http://www.w3.org/2001/XMLSchema-instance" xsi:type="dcterms:W3CDTF">2025-05-24T18:24:55Z</dcterms:modified>
</cp:coreProperties>
</file>